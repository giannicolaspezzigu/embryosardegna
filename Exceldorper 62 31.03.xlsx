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f51a5f2e526fb52/Desktop/Dorper/excel/"/>
    </mc:Choice>
  </mc:AlternateContent>
  <xr:revisionPtr revIDLastSave="0" documentId="14_{520607B2-F2B7-4321-B2A4-031749C3D149}" xr6:coauthVersionLast="47" xr6:coauthVersionMax="47" xr10:uidLastSave="{00000000-0000-0000-0000-000000000000}"/>
  <bookViews>
    <workbookView xWindow="-110" yWindow="-110" windowWidth="19420" windowHeight="10420" firstSheet="1" activeTab="5" xr2:uid="{1575AF37-AA88-4B13-93B9-9099EEC7DE7C}"/>
  </bookViews>
  <sheets>
    <sheet name="Pecore" sheetId="1" r:id="rId1"/>
    <sheet name="Agnelli" sheetId="3" r:id="rId2"/>
    <sheet name="Follicoli" sheetId="2" r:id="rId3"/>
    <sheet name="Pecore con maschi" sheetId="4" r:id="rId4"/>
    <sheet name="Agnelli con maschi" sheetId="5" r:id="rId5"/>
    <sheet name="Follicoli con maschi" sheetId="6" r:id="rId6"/>
    <sheet name="Foglio2" sheetId="8" r:id="rId7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98" i="6" l="1"/>
  <c r="AI398" i="6"/>
  <c r="AH398" i="6"/>
  <c r="AG389" i="6"/>
  <c r="AI389" i="6"/>
  <c r="AH389" i="6"/>
  <c r="AG378" i="6"/>
  <c r="AI378" i="6"/>
  <c r="AH378" i="6"/>
  <c r="AG365" i="6"/>
  <c r="AI365" i="6"/>
  <c r="AH365" i="6"/>
  <c r="AG349" i="6"/>
  <c r="AI349" i="6"/>
  <c r="AH349" i="6"/>
  <c r="AG334" i="6"/>
  <c r="AI334" i="6"/>
  <c r="AH334" i="6"/>
  <c r="AG318" i="6"/>
  <c r="AI318" i="6"/>
  <c r="AH318" i="6"/>
  <c r="T312" i="4"/>
  <c r="AG284" i="6"/>
  <c r="AI284" i="6"/>
  <c r="AH284" i="6"/>
  <c r="AG260" i="6"/>
  <c r="AI260" i="6"/>
  <c r="AH260" i="6"/>
  <c r="AG226" i="6"/>
  <c r="AI226" i="6"/>
  <c r="AH226" i="6"/>
  <c r="AG207" i="6"/>
  <c r="AI207" i="6"/>
  <c r="AH207" i="6"/>
  <c r="AG185" i="6"/>
  <c r="AI185" i="6"/>
  <c r="AH185" i="6"/>
  <c r="AG161" i="6"/>
  <c r="AI161" i="6"/>
  <c r="AH161" i="6"/>
  <c r="AG105" i="6"/>
  <c r="AI105" i="6"/>
  <c r="AH105" i="6"/>
  <c r="AG77" i="6"/>
  <c r="AI77" i="6"/>
  <c r="AH77" i="6"/>
  <c r="AG47" i="6"/>
  <c r="AI47" i="6"/>
  <c r="AH47" i="6"/>
  <c r="AN345" i="4"/>
  <c r="AN235" i="4"/>
  <c r="AH48" i="4"/>
  <c r="T78" i="4"/>
  <c r="T345" i="4"/>
  <c r="T235" i="4"/>
  <c r="T269" i="4"/>
  <c r="T166" i="4"/>
  <c r="T192" i="4"/>
  <c r="T401" i="4"/>
  <c r="T311" i="4"/>
  <c r="T390" i="4"/>
  <c r="T214" i="4"/>
  <c r="T48" i="4"/>
  <c r="T410" i="4"/>
  <c r="T107" i="4"/>
  <c r="T361" i="4"/>
  <c r="T294" i="4"/>
  <c r="T377" i="4"/>
  <c r="AG397" i="6"/>
  <c r="AI397" i="6"/>
  <c r="AH397" i="6"/>
  <c r="AG396" i="6"/>
  <c r="AI396" i="6"/>
  <c r="AH396" i="6"/>
  <c r="AG388" i="6"/>
  <c r="AI388" i="6"/>
  <c r="AH388" i="6"/>
  <c r="AG387" i="6"/>
  <c r="AI387" i="6"/>
  <c r="AH387" i="6"/>
  <c r="AG377" i="6"/>
  <c r="AI377" i="6"/>
  <c r="AH377" i="6"/>
  <c r="AG376" i="6"/>
  <c r="AI376" i="6"/>
  <c r="AH376" i="6"/>
  <c r="AG364" i="6"/>
  <c r="AI364" i="6"/>
  <c r="AH364" i="6"/>
  <c r="AG348" i="6"/>
  <c r="AI348" i="6"/>
  <c r="AH348" i="6"/>
  <c r="AG333" i="6"/>
  <c r="AI333" i="6"/>
  <c r="AH333" i="6"/>
  <c r="AG317" i="6"/>
  <c r="AI317" i="6"/>
  <c r="AH317" i="6"/>
  <c r="AG300" i="6"/>
  <c r="AI300" i="6"/>
  <c r="AH300" i="6"/>
  <c r="AG283" i="6"/>
  <c r="AI283" i="6"/>
  <c r="AH283" i="6"/>
  <c r="AG259" i="6"/>
  <c r="AI259" i="6"/>
  <c r="AH259" i="6"/>
  <c r="AG225" i="6"/>
  <c r="AI225" i="6"/>
  <c r="AH225" i="6"/>
  <c r="AG206" i="6"/>
  <c r="AI206" i="6"/>
  <c r="AH206" i="6"/>
  <c r="AG184" i="6"/>
  <c r="AI184" i="6"/>
  <c r="AH184" i="6"/>
  <c r="AG160" i="6"/>
  <c r="AI160" i="6"/>
  <c r="AH160" i="6"/>
  <c r="AG159" i="6"/>
  <c r="AI159" i="6"/>
  <c r="AH159" i="6"/>
  <c r="AG135" i="6"/>
  <c r="AI135" i="6"/>
  <c r="AH135" i="6"/>
  <c r="AG134" i="6"/>
  <c r="AI134" i="6"/>
  <c r="AH134" i="6"/>
  <c r="AH137" i="4"/>
  <c r="AH136" i="4"/>
  <c r="AG104" i="6"/>
  <c r="AI104" i="6"/>
  <c r="AH104" i="6"/>
  <c r="AG76" i="6"/>
  <c r="AI76" i="6"/>
  <c r="AH76" i="6"/>
  <c r="AG46" i="6"/>
  <c r="AI46" i="6"/>
  <c r="AH46" i="6"/>
  <c r="AH19" i="5"/>
  <c r="AT18" i="5"/>
  <c r="AZ17" i="5"/>
  <c r="AZ15" i="5"/>
  <c r="BL14" i="5"/>
  <c r="BO12" i="5"/>
  <c r="CA11" i="5"/>
  <c r="CG10" i="5"/>
  <c r="CJ9" i="5"/>
  <c r="CJ8" i="5"/>
  <c r="CJ7" i="5"/>
  <c r="CM6" i="5"/>
  <c r="CP5" i="5"/>
  <c r="CP4" i="5"/>
  <c r="AD142" i="4" a="1"/>
  <c r="AD142" i="4" s="1"/>
  <c r="T137" i="4"/>
  <c r="T165" i="4"/>
  <c r="T389" i="4"/>
  <c r="T409" i="4"/>
  <c r="T400" i="4"/>
  <c r="T268" i="4"/>
  <c r="T388" i="4"/>
  <c r="T376" i="4"/>
  <c r="T293" i="4"/>
  <c r="T164" i="4"/>
  <c r="T408" i="4"/>
  <c r="T360" i="4"/>
  <c r="T106" i="4"/>
  <c r="T47" i="4"/>
  <c r="T399" i="4"/>
  <c r="T77" i="4"/>
  <c r="T344" i="4"/>
  <c r="T310" i="4"/>
  <c r="T136" i="4"/>
  <c r="T191" i="4"/>
  <c r="T213" i="4"/>
  <c r="T234" i="4"/>
  <c r="AG375" i="6"/>
  <c r="AI375" i="6"/>
  <c r="AH375" i="6"/>
  <c r="AG386" i="6"/>
  <c r="AI386" i="6"/>
  <c r="AH386" i="6"/>
  <c r="AG395" i="6"/>
  <c r="AI395" i="6"/>
  <c r="AH395" i="6"/>
  <c r="T398" i="4"/>
  <c r="T407" i="4"/>
  <c r="T387" i="4"/>
  <c r="AE19" i="5"/>
  <c r="AG394" i="6"/>
  <c r="AI394" i="6"/>
  <c r="AH394" i="6"/>
  <c r="AG393" i="6"/>
  <c r="AI393" i="6"/>
  <c r="AH393" i="6"/>
  <c r="AG385" i="6"/>
  <c r="AI385" i="6"/>
  <c r="AH385" i="6"/>
  <c r="AG384" i="6"/>
  <c r="AI384" i="6"/>
  <c r="AH384" i="6"/>
  <c r="AG374" i="6"/>
  <c r="AI374" i="6"/>
  <c r="AH374" i="6"/>
  <c r="AG373" i="6"/>
  <c r="AI373" i="6"/>
  <c r="AH373" i="6"/>
  <c r="AG363" i="6"/>
  <c r="AI363" i="6"/>
  <c r="AH363" i="6"/>
  <c r="AG362" i="6"/>
  <c r="AI362" i="6"/>
  <c r="AH362" i="6"/>
  <c r="AG347" i="6"/>
  <c r="AI347" i="6"/>
  <c r="AH347" i="6"/>
  <c r="AG346" i="6"/>
  <c r="AI346" i="6"/>
  <c r="AH346" i="6"/>
  <c r="AG332" i="6"/>
  <c r="AI332" i="6"/>
  <c r="AH332" i="6"/>
  <c r="AG331" i="6"/>
  <c r="AI331" i="6"/>
  <c r="AH331" i="6"/>
  <c r="AG316" i="6"/>
  <c r="AI316" i="6"/>
  <c r="AH316" i="6"/>
  <c r="AG299" i="6"/>
  <c r="AI299" i="6"/>
  <c r="AH299" i="6"/>
  <c r="AG282" i="6"/>
  <c r="AI282" i="6"/>
  <c r="AH282" i="6"/>
  <c r="AG258" i="6"/>
  <c r="AI258" i="6"/>
  <c r="AH258" i="6"/>
  <c r="AG224" i="6"/>
  <c r="AI224" i="6"/>
  <c r="AH224" i="6"/>
  <c r="AG205" i="6"/>
  <c r="AI205" i="6"/>
  <c r="AH205" i="6"/>
  <c r="AG183" i="6"/>
  <c r="AI183" i="6"/>
  <c r="AH183" i="6"/>
  <c r="AG158" i="6"/>
  <c r="AI158" i="6"/>
  <c r="AH158" i="6"/>
  <c r="AG133" i="6"/>
  <c r="AI133" i="6"/>
  <c r="AH133" i="6"/>
  <c r="AN134" i="4"/>
  <c r="AG132" i="6"/>
  <c r="AI132" i="6"/>
  <c r="AH132" i="6"/>
  <c r="AG103" i="6"/>
  <c r="AI103" i="6"/>
  <c r="AH103" i="6"/>
  <c r="AG75" i="6"/>
  <c r="AI75" i="6"/>
  <c r="AH75" i="6"/>
  <c r="AG45" i="6"/>
  <c r="AI45" i="6"/>
  <c r="AH45" i="6"/>
  <c r="AB19" i="5"/>
  <c r="AQ18" i="5"/>
  <c r="AW15" i="5"/>
  <c r="AW17" i="5"/>
  <c r="BI14" i="5"/>
  <c r="BL12" i="5"/>
  <c r="BX11" i="5"/>
  <c r="CD10" i="5"/>
  <c r="CG9" i="5"/>
  <c r="CG8" i="5"/>
  <c r="CG7" i="5"/>
  <c r="CJ6" i="5"/>
  <c r="CM5" i="5"/>
  <c r="CM4" i="5"/>
  <c r="CA10" i="5"/>
  <c r="CD9" i="5"/>
  <c r="CD8" i="5"/>
  <c r="CG6" i="5"/>
  <c r="CJ5" i="5"/>
  <c r="CJ4" i="5"/>
  <c r="T46" i="4"/>
  <c r="T135" i="4"/>
  <c r="T375" i="4"/>
  <c r="T309" i="4"/>
  <c r="T267" i="4"/>
  <c r="T343" i="4"/>
  <c r="T359" i="4"/>
  <c r="T233" i="4"/>
  <c r="T212" i="4"/>
  <c r="T386" i="4"/>
  <c r="T406" i="4"/>
  <c r="T76" i="4"/>
  <c r="T292" i="4"/>
  <c r="T190" i="4"/>
  <c r="T163" i="4"/>
  <c r="T105" i="4"/>
  <c r="T397" i="4"/>
  <c r="T134" i="4"/>
  <c r="T385" i="4"/>
  <c r="T342" i="4"/>
  <c r="T358" i="4"/>
  <c r="T374" i="4"/>
  <c r="T405" i="4"/>
  <c r="T396" i="4"/>
  <c r="BU11" i="5"/>
  <c r="BF14" i="5"/>
  <c r="AT15" i="5"/>
  <c r="AT17" i="5"/>
  <c r="AN18" i="5"/>
  <c r="Y19" i="5"/>
  <c r="CD7" i="5"/>
  <c r="BI12" i="5"/>
  <c r="M20" i="5"/>
  <c r="U119" i="1"/>
  <c r="S276" i="4" l="1"/>
  <c r="AC276" i="4" s="1"/>
  <c r="S247" i="4"/>
  <c r="AC248" i="4" s="1"/>
  <c r="AG392" i="6"/>
  <c r="AI392" i="6"/>
  <c r="AH392" i="6"/>
  <c r="AG383" i="6"/>
  <c r="AI383" i="6"/>
  <c r="AH383" i="6"/>
  <c r="AG372" i="6"/>
  <c r="AI372" i="6"/>
  <c r="AH372" i="6"/>
  <c r="AG361" i="6"/>
  <c r="AI361" i="6"/>
  <c r="AH361" i="6"/>
  <c r="AG345" i="6"/>
  <c r="AI345" i="6"/>
  <c r="AH345" i="6"/>
  <c r="AG330" i="6"/>
  <c r="AI330" i="6"/>
  <c r="AH330" i="6"/>
  <c r="AG315" i="6"/>
  <c r="AI315" i="6"/>
  <c r="AH315" i="6"/>
  <c r="AG298" i="6"/>
  <c r="AI298" i="6"/>
  <c r="AH298" i="6"/>
  <c r="AG281" i="6"/>
  <c r="AI281" i="6"/>
  <c r="AH281" i="6"/>
  <c r="AG257" i="6"/>
  <c r="AI257" i="6"/>
  <c r="AH257" i="6"/>
  <c r="AG223" i="6"/>
  <c r="AI223" i="6"/>
  <c r="AH223" i="6"/>
  <c r="AG204" i="6"/>
  <c r="AI204" i="6"/>
  <c r="AH204" i="6"/>
  <c r="AG182" i="6"/>
  <c r="AI182" i="6"/>
  <c r="AH182" i="6"/>
  <c r="AG157" i="6"/>
  <c r="AI157" i="6"/>
  <c r="AH157" i="6"/>
  <c r="AG131" i="6"/>
  <c r="AI131" i="6"/>
  <c r="AH131" i="6"/>
  <c r="AG102" i="6"/>
  <c r="AI102" i="6"/>
  <c r="AH102" i="6"/>
  <c r="AG74" i="6"/>
  <c r="AI74" i="6"/>
  <c r="AH74" i="6"/>
  <c r="AG44" i="6"/>
  <c r="AI44" i="6"/>
  <c r="AH44" i="6"/>
  <c r="T133" i="4"/>
  <c r="T189" i="4"/>
  <c r="T291" i="4"/>
  <c r="T357" i="4"/>
  <c r="T266" i="4"/>
  <c r="T104" i="4"/>
  <c r="T395" i="4"/>
  <c r="T211" i="4"/>
  <c r="T308" i="4"/>
  <c r="T404" i="4"/>
  <c r="T403" i="4"/>
  <c r="AB403" i="4" s="1"/>
  <c r="T75" i="4"/>
  <c r="T162" i="4"/>
  <c r="T373" i="4"/>
  <c r="T384" i="4"/>
  <c r="T45" i="4"/>
  <c r="T232" i="4"/>
  <c r="T341" i="4"/>
  <c r="J20" i="5"/>
  <c r="V19" i="5"/>
  <c r="AK18" i="5"/>
  <c r="AQ17" i="5"/>
  <c r="AQ15" i="5"/>
  <c r="BC14" i="5"/>
  <c r="BF12" i="5"/>
  <c r="BR11" i="5"/>
  <c r="BX10" i="5"/>
  <c r="CA9" i="5"/>
  <c r="CA8" i="5"/>
  <c r="CA7" i="5"/>
  <c r="CD6" i="5"/>
  <c r="CG5" i="5"/>
  <c r="CG4" i="5"/>
  <c r="AG222" i="6"/>
  <c r="AI222" i="6"/>
  <c r="AH222" i="6"/>
  <c r="AG203" i="6"/>
  <c r="AI203" i="6"/>
  <c r="AH203" i="6"/>
  <c r="AG181" i="6"/>
  <c r="AI181" i="6"/>
  <c r="AH181" i="6"/>
  <c r="AG156" i="6"/>
  <c r="AI156" i="6"/>
  <c r="AH156" i="6"/>
  <c r="AG130" i="6"/>
  <c r="AI130" i="6"/>
  <c r="AH130" i="6"/>
  <c r="AG101" i="6"/>
  <c r="AI101" i="6"/>
  <c r="AH101" i="6"/>
  <c r="AG73" i="6"/>
  <c r="AI73" i="6"/>
  <c r="AH73" i="6"/>
  <c r="AG43" i="6"/>
  <c r="AI43" i="6"/>
  <c r="AH43" i="6"/>
  <c r="AI391" i="6"/>
  <c r="AH391" i="6"/>
  <c r="AG391" i="6"/>
  <c r="AG382" i="6"/>
  <c r="AI382" i="6"/>
  <c r="AH382" i="6"/>
  <c r="AG381" i="6"/>
  <c r="AI381" i="6"/>
  <c r="AH381" i="6"/>
  <c r="AG371" i="6"/>
  <c r="AI371" i="6"/>
  <c r="AH371" i="6"/>
  <c r="AG370" i="6"/>
  <c r="AI370" i="6"/>
  <c r="AH370" i="6"/>
  <c r="AG360" i="6"/>
  <c r="AI360" i="6"/>
  <c r="AH360" i="6"/>
  <c r="AG359" i="6"/>
  <c r="AI359" i="6"/>
  <c r="AH359" i="6"/>
  <c r="AG344" i="6"/>
  <c r="AI344" i="6"/>
  <c r="AH344" i="6"/>
  <c r="AG343" i="6"/>
  <c r="AI343" i="6"/>
  <c r="AH343" i="6"/>
  <c r="AG329" i="6"/>
  <c r="AI329" i="6"/>
  <c r="AH329" i="6"/>
  <c r="AG328" i="6"/>
  <c r="AI328" i="6"/>
  <c r="AH328" i="6"/>
  <c r="AG314" i="6"/>
  <c r="AI314" i="6"/>
  <c r="AH314" i="6"/>
  <c r="AG313" i="6"/>
  <c r="AI313" i="6"/>
  <c r="AH313" i="6"/>
  <c r="AG297" i="6"/>
  <c r="AI297" i="6"/>
  <c r="AH297" i="6"/>
  <c r="AG296" i="6"/>
  <c r="AI296" i="6"/>
  <c r="AH296" i="6"/>
  <c r="AG280" i="6"/>
  <c r="AI280" i="6"/>
  <c r="AH280" i="6"/>
  <c r="AG279" i="6"/>
  <c r="AI279" i="6"/>
  <c r="AH279" i="6"/>
  <c r="AG256" i="6"/>
  <c r="AI256" i="6"/>
  <c r="AH256" i="6"/>
  <c r="AG255" i="6"/>
  <c r="AI255" i="6"/>
  <c r="AH255" i="6"/>
  <c r="BL11" i="5"/>
  <c r="AT14" i="5"/>
  <c r="G20" i="5"/>
  <c r="S19" i="5"/>
  <c r="AH18" i="5"/>
  <c r="CA6" i="5"/>
  <c r="E403" i="4"/>
  <c r="G403" i="4" s="1"/>
  <c r="AH276" i="4"/>
  <c r="AN17" i="5"/>
  <c r="AN15" i="5"/>
  <c r="BC12" i="5"/>
  <c r="BO11" i="5"/>
  <c r="BX6" i="5"/>
  <c r="BX7" i="5"/>
  <c r="BX8" i="5"/>
  <c r="BX9" i="5"/>
  <c r="BU10" i="5"/>
  <c r="CD5" i="5"/>
  <c r="CD4" i="5"/>
  <c r="T307" i="4"/>
  <c r="T394" i="4"/>
  <c r="T132" i="4"/>
  <c r="T340" i="4"/>
  <c r="T103" i="4"/>
  <c r="T161" i="4"/>
  <c r="T265" i="4"/>
  <c r="T74" i="4"/>
  <c r="T290" i="4"/>
  <c r="T356" i="4"/>
  <c r="T372" i="4"/>
  <c r="T210" i="4"/>
  <c r="T44" i="4"/>
  <c r="T383" i="4"/>
  <c r="T188" i="4"/>
  <c r="T231" i="4"/>
  <c r="AG221" i="6"/>
  <c r="AI221" i="6"/>
  <c r="AH221" i="6"/>
  <c r="AG202" i="6"/>
  <c r="AI202" i="6"/>
  <c r="AH202" i="6"/>
  <c r="AG180" i="6"/>
  <c r="AI180" i="6"/>
  <c r="AH180" i="6"/>
  <c r="AG155" i="6"/>
  <c r="AI155" i="6"/>
  <c r="AH155" i="6"/>
  <c r="AG129" i="6"/>
  <c r="AI129" i="6"/>
  <c r="AH129" i="6"/>
  <c r="AG100" i="6"/>
  <c r="AI100" i="6"/>
  <c r="AH100" i="6"/>
  <c r="AG72" i="6"/>
  <c r="AI72" i="6"/>
  <c r="AH72" i="6"/>
  <c r="AG42" i="6"/>
  <c r="AI42" i="6"/>
  <c r="AH42" i="6"/>
  <c r="P19" i="5"/>
  <c r="AE18" i="5"/>
  <c r="AK17" i="5"/>
  <c r="AK15" i="5"/>
  <c r="AZ14" i="5"/>
  <c r="AZ12" i="5"/>
  <c r="BR10" i="5"/>
  <c r="BU7" i="5"/>
  <c r="BU8" i="5"/>
  <c r="BU9" i="5"/>
  <c r="CA5" i="5"/>
  <c r="CA4" i="5"/>
  <c r="T131" i="4"/>
  <c r="T339" i="4"/>
  <c r="T371" i="4"/>
  <c r="T264" i="4"/>
  <c r="T393" i="4"/>
  <c r="T355" i="4"/>
  <c r="T289" i="4"/>
  <c r="T43" i="4"/>
  <c r="T73" i="4"/>
  <c r="T187" i="4"/>
  <c r="T306" i="4"/>
  <c r="T382" i="4"/>
  <c r="T102" i="4"/>
  <c r="T209" i="4"/>
  <c r="T160" i="4"/>
  <c r="T230" i="4"/>
  <c r="AI380" i="6"/>
  <c r="AH380" i="6"/>
  <c r="AG380" i="6"/>
  <c r="AG369" i="6"/>
  <c r="AI369" i="6"/>
  <c r="AH369" i="6"/>
  <c r="AG368" i="6"/>
  <c r="AI368" i="6"/>
  <c r="AH368" i="6"/>
  <c r="AG358" i="6"/>
  <c r="AI358" i="6"/>
  <c r="AH358" i="6"/>
  <c r="AG357" i="6"/>
  <c r="AI357" i="6"/>
  <c r="AH357" i="6"/>
  <c r="AG342" i="6"/>
  <c r="AI342" i="6"/>
  <c r="AH342" i="6"/>
  <c r="AG341" i="6"/>
  <c r="AI341" i="6"/>
  <c r="AH341" i="6"/>
  <c r="AG327" i="6"/>
  <c r="AI327" i="6"/>
  <c r="AH327" i="6"/>
  <c r="AG326" i="6"/>
  <c r="AI326" i="6"/>
  <c r="AH326" i="6"/>
  <c r="AG312" i="6"/>
  <c r="AI312" i="6"/>
  <c r="AH312" i="6"/>
  <c r="AG311" i="6"/>
  <c r="AI311" i="6"/>
  <c r="AH311" i="6"/>
  <c r="AG295" i="6"/>
  <c r="AI295" i="6"/>
  <c r="AH295" i="6"/>
  <c r="AG294" i="6"/>
  <c r="AI294" i="6"/>
  <c r="AH294" i="6"/>
  <c r="AG278" i="6"/>
  <c r="AI278" i="6"/>
  <c r="AH278" i="6"/>
  <c r="AG277" i="6"/>
  <c r="AI277" i="6"/>
  <c r="AH277" i="6"/>
  <c r="AG254" i="6"/>
  <c r="AI254" i="6"/>
  <c r="AH254" i="6"/>
  <c r="AG253" i="6"/>
  <c r="AI253" i="6"/>
  <c r="AH253" i="6"/>
  <c r="AG220" i="6"/>
  <c r="AI220" i="6"/>
  <c r="AH220" i="6"/>
  <c r="AG219" i="6"/>
  <c r="AI219" i="6"/>
  <c r="AH219" i="6"/>
  <c r="AG201" i="6"/>
  <c r="AI201" i="6"/>
  <c r="AH201" i="6"/>
  <c r="AG200" i="6"/>
  <c r="AI200" i="6"/>
  <c r="AH200" i="6"/>
  <c r="AG179" i="6"/>
  <c r="AI179" i="6"/>
  <c r="AH179" i="6"/>
  <c r="AG178" i="6"/>
  <c r="AI178" i="6"/>
  <c r="AH178" i="6"/>
  <c r="AG154" i="6"/>
  <c r="AI154" i="6"/>
  <c r="AH154" i="6"/>
  <c r="AG153" i="6"/>
  <c r="AI153" i="6"/>
  <c r="AH153" i="6"/>
  <c r="AG128" i="6"/>
  <c r="AI128" i="6"/>
  <c r="AH128" i="6"/>
  <c r="AG127" i="6"/>
  <c r="AI127" i="6"/>
  <c r="AH127" i="6"/>
  <c r="AG99" i="6"/>
  <c r="AI99" i="6"/>
  <c r="AH99" i="6"/>
  <c r="AG98" i="6"/>
  <c r="AI98" i="6"/>
  <c r="AH98" i="6"/>
  <c r="AG71" i="6"/>
  <c r="AI71" i="6"/>
  <c r="AH71" i="6"/>
  <c r="AG70" i="6"/>
  <c r="AI70" i="6"/>
  <c r="AH70" i="6"/>
  <c r="AG41" i="6"/>
  <c r="AI41" i="6"/>
  <c r="AH41" i="6"/>
  <c r="AG40" i="6"/>
  <c r="AI40" i="6"/>
  <c r="AH40" i="6"/>
  <c r="M19" i="5"/>
  <c r="AB18" i="5"/>
  <c r="AH17" i="5"/>
  <c r="AH15" i="5"/>
  <c r="AW14" i="5"/>
  <c r="AW12" i="5"/>
  <c r="BI11" i="5"/>
  <c r="BO10" i="5"/>
  <c r="BR9" i="5"/>
  <c r="BR8" i="5"/>
  <c r="BR7" i="5"/>
  <c r="BU6" i="5"/>
  <c r="BX5" i="5"/>
  <c r="BX4" i="5"/>
  <c r="T381" i="4"/>
  <c r="T130" i="4"/>
  <c r="T338" i="4"/>
  <c r="T186" i="4"/>
  <c r="T370" i="4"/>
  <c r="T263" i="4"/>
  <c r="T288" i="4"/>
  <c r="T392" i="4"/>
  <c r="E392" i="4"/>
  <c r="G392" i="4" s="1"/>
  <c r="T305" i="4"/>
  <c r="T159" i="4"/>
  <c r="T72" i="4"/>
  <c r="T42" i="4"/>
  <c r="T101" i="4"/>
  <c r="T354" i="4"/>
  <c r="T208" i="4"/>
  <c r="T229" i="4"/>
  <c r="T380" i="4"/>
  <c r="T379" i="4"/>
  <c r="AB379" i="4" s="1"/>
  <c r="T369" i="4"/>
  <c r="T129" i="4"/>
  <c r="T337" i="4"/>
  <c r="T287" i="4"/>
  <c r="T41" i="4"/>
  <c r="T158" i="4"/>
  <c r="T185" i="4"/>
  <c r="T207" i="4"/>
  <c r="T353" i="4"/>
  <c r="T228" i="4"/>
  <c r="T262" i="4"/>
  <c r="T71" i="4"/>
  <c r="T304" i="4"/>
  <c r="T100" i="4"/>
  <c r="Y18" i="5"/>
  <c r="BL10" i="5"/>
  <c r="J19" i="5"/>
  <c r="AE17" i="5"/>
  <c r="AE15" i="5"/>
  <c r="BR6" i="5"/>
  <c r="BU5" i="5"/>
  <c r="BO9" i="5"/>
  <c r="BU4" i="5"/>
  <c r="BF11" i="5"/>
  <c r="BO8" i="5"/>
  <c r="BO7" i="5"/>
  <c r="AT12" i="5"/>
  <c r="AQ14" i="5"/>
  <c r="E379" i="4"/>
  <c r="F379" i="4" s="1"/>
  <c r="AI367" i="6"/>
  <c r="AH367" i="6"/>
  <c r="AG367" i="6"/>
  <c r="AG356" i="6"/>
  <c r="AI356" i="6"/>
  <c r="AH356" i="6"/>
  <c r="AG340" i="6"/>
  <c r="AI340" i="6"/>
  <c r="AH340" i="6"/>
  <c r="AG325" i="6"/>
  <c r="AI325" i="6"/>
  <c r="AH325" i="6"/>
  <c r="AG310" i="6"/>
  <c r="AI310" i="6"/>
  <c r="AH310" i="6"/>
  <c r="AG293" i="6"/>
  <c r="AI293" i="6"/>
  <c r="AH293" i="6"/>
  <c r="AG276" i="6"/>
  <c r="AI276" i="6"/>
  <c r="AH276" i="6"/>
  <c r="AG252" i="6"/>
  <c r="AI252" i="6"/>
  <c r="AH252" i="6"/>
  <c r="AG239" i="6"/>
  <c r="AI239" i="6"/>
  <c r="AH239" i="6"/>
  <c r="AG218" i="6"/>
  <c r="AI218" i="6"/>
  <c r="AH218" i="6"/>
  <c r="AG199" i="6"/>
  <c r="AI199" i="6"/>
  <c r="AH199" i="6"/>
  <c r="AG177" i="6"/>
  <c r="AI177" i="6"/>
  <c r="AH177" i="6"/>
  <c r="AG152" i="6"/>
  <c r="AI152" i="6"/>
  <c r="AH152" i="6"/>
  <c r="AG126" i="6"/>
  <c r="AI126" i="6"/>
  <c r="AH126" i="6"/>
  <c r="AG97" i="6"/>
  <c r="AI97" i="6"/>
  <c r="AH97" i="6"/>
  <c r="AG69" i="6"/>
  <c r="AI69" i="6"/>
  <c r="AH69" i="6"/>
  <c r="AG39" i="6"/>
  <c r="AI39" i="6"/>
  <c r="AH39" i="6"/>
  <c r="G19" i="5"/>
  <c r="T336" i="4"/>
  <c r="T368" i="4"/>
  <c r="T40" i="4"/>
  <c r="T286" i="4"/>
  <c r="T261" i="4"/>
  <c r="T157" i="4"/>
  <c r="AH248" i="4"/>
  <c r="T248" i="4"/>
  <c r="T184" i="4"/>
  <c r="T352" i="4"/>
  <c r="T206" i="4"/>
  <c r="T70" i="4"/>
  <c r="T99" i="4"/>
  <c r="T227" i="4"/>
  <c r="T303" i="4"/>
  <c r="T128" i="4"/>
  <c r="V18" i="5"/>
  <c r="AB17" i="5"/>
  <c r="AB16" i="5"/>
  <c r="AB15" i="5"/>
  <c r="AN14" i="5"/>
  <c r="AN13" i="5"/>
  <c r="AQ12" i="5"/>
  <c r="BC11" i="5"/>
  <c r="BI10" i="5"/>
  <c r="BL9" i="5"/>
  <c r="BL8" i="5"/>
  <c r="BL7" i="5"/>
  <c r="BO6" i="5"/>
  <c r="BR5" i="5"/>
  <c r="BR4" i="5"/>
  <c r="S18" i="5"/>
  <c r="AG355" i="6"/>
  <c r="AI355" i="6"/>
  <c r="AH355" i="6"/>
  <c r="AG339" i="6"/>
  <c r="AI339" i="6"/>
  <c r="AH339" i="6"/>
  <c r="AG324" i="6"/>
  <c r="AI324" i="6"/>
  <c r="AH324" i="6"/>
  <c r="AG309" i="6"/>
  <c r="AI309" i="6"/>
  <c r="AH309" i="6"/>
  <c r="AG292" i="6"/>
  <c r="AI292" i="6"/>
  <c r="AH292" i="6"/>
  <c r="AG275" i="6"/>
  <c r="AI275" i="6"/>
  <c r="AH275" i="6"/>
  <c r="AG268" i="6"/>
  <c r="AI268" i="6"/>
  <c r="AH268" i="6"/>
  <c r="AG251" i="6"/>
  <c r="AI251" i="6"/>
  <c r="AH251" i="6"/>
  <c r="AG238" i="6"/>
  <c r="AI238" i="6"/>
  <c r="AH238" i="6"/>
  <c r="AG217" i="6"/>
  <c r="AI217" i="6"/>
  <c r="AH217" i="6"/>
  <c r="AG198" i="6"/>
  <c r="AI198" i="6"/>
  <c r="AH198" i="6"/>
  <c r="AG176" i="6"/>
  <c r="AI176" i="6"/>
  <c r="AH176" i="6"/>
  <c r="AG151" i="6"/>
  <c r="AI151" i="6"/>
  <c r="AH151" i="6"/>
  <c r="AG125" i="6"/>
  <c r="AI125" i="6"/>
  <c r="AH125" i="6"/>
  <c r="AG96" i="6"/>
  <c r="AI96" i="6"/>
  <c r="AH96" i="6"/>
  <c r="AG68" i="6"/>
  <c r="AI68" i="6"/>
  <c r="AH68" i="6"/>
  <c r="AG38" i="6"/>
  <c r="AI38" i="6"/>
  <c r="AH38" i="6"/>
  <c r="AH277" i="4"/>
  <c r="AH247" i="4"/>
  <c r="Y17" i="5"/>
  <c r="Y16" i="5"/>
  <c r="Y15" i="5"/>
  <c r="AK14" i="5"/>
  <c r="AK13" i="5"/>
  <c r="AN12" i="5"/>
  <c r="AZ11" i="5"/>
  <c r="BF10" i="5"/>
  <c r="BI9" i="5"/>
  <c r="BI8" i="5"/>
  <c r="BI7" i="5"/>
  <c r="BL6" i="5"/>
  <c r="BO5" i="5"/>
  <c r="BO4" i="5"/>
  <c r="T335" i="4"/>
  <c r="T351" i="4"/>
  <c r="T285" i="4"/>
  <c r="T260" i="4"/>
  <c r="T98" i="4"/>
  <c r="T367" i="4"/>
  <c r="T156" i="4"/>
  <c r="T69" i="4"/>
  <c r="T277" i="4"/>
  <c r="T39" i="4"/>
  <c r="T226" i="4"/>
  <c r="T205" i="4"/>
  <c r="T127" i="4"/>
  <c r="T247" i="4"/>
  <c r="T302" i="4"/>
  <c r="T183" i="4"/>
  <c r="AG354" i="6"/>
  <c r="AI354" i="6"/>
  <c r="AH354" i="6"/>
  <c r="AG338" i="6"/>
  <c r="AI338" i="6"/>
  <c r="AH338" i="6"/>
  <c r="AG323" i="6"/>
  <c r="AI323" i="6"/>
  <c r="AH323" i="6"/>
  <c r="AG308" i="6"/>
  <c r="AI308" i="6"/>
  <c r="AH308" i="6"/>
  <c r="AG291" i="6"/>
  <c r="AI291" i="6"/>
  <c r="AH291" i="6"/>
  <c r="AG274" i="6"/>
  <c r="AI274" i="6"/>
  <c r="AH274" i="6"/>
  <c r="AG267" i="6"/>
  <c r="AI267" i="6"/>
  <c r="AH267" i="6"/>
  <c r="AG250" i="6"/>
  <c r="AI250" i="6"/>
  <c r="AH250" i="6"/>
  <c r="AG237" i="6"/>
  <c r="AI237" i="6"/>
  <c r="AH237" i="6"/>
  <c r="AG216" i="6"/>
  <c r="AI216" i="6"/>
  <c r="AH216" i="6"/>
  <c r="AG197" i="6"/>
  <c r="AI197" i="6"/>
  <c r="AH197" i="6"/>
  <c r="AG175" i="6"/>
  <c r="AI175" i="6"/>
  <c r="AH175" i="6"/>
  <c r="AG150" i="6"/>
  <c r="AI150" i="6"/>
  <c r="AH150" i="6"/>
  <c r="AG124" i="6"/>
  <c r="AI124" i="6"/>
  <c r="AH124" i="6"/>
  <c r="AG95" i="6"/>
  <c r="AI95" i="6"/>
  <c r="AH95" i="6"/>
  <c r="AG67" i="6"/>
  <c r="AI67" i="6"/>
  <c r="AH67" i="6"/>
  <c r="AG37" i="6"/>
  <c r="AI37" i="6"/>
  <c r="AH37" i="6"/>
  <c r="G11" i="5"/>
  <c r="BI6" i="5"/>
  <c r="BL5" i="5"/>
  <c r="BL4" i="5"/>
  <c r="BF7" i="5"/>
  <c r="BF8" i="5"/>
  <c r="BF9" i="5"/>
  <c r="P18" i="5"/>
  <c r="V17" i="5"/>
  <c r="V16" i="5"/>
  <c r="V15" i="5"/>
  <c r="AH14" i="5"/>
  <c r="AH13" i="5"/>
  <c r="AK12" i="5"/>
  <c r="AW11" i="5"/>
  <c r="BC10" i="5"/>
  <c r="T246" i="4"/>
  <c r="T259" i="4"/>
  <c r="T276" i="4"/>
  <c r="T284" i="4"/>
  <c r="T301" i="4"/>
  <c r="T334" i="4"/>
  <c r="T350" i="4"/>
  <c r="T366" i="4"/>
  <c r="T225" i="4"/>
  <c r="T204" i="4"/>
  <c r="T182" i="4"/>
  <c r="T155" i="4"/>
  <c r="T126" i="4"/>
  <c r="T97" i="4"/>
  <c r="T68" i="4"/>
  <c r="T38" i="4"/>
  <c r="AG353" i="6"/>
  <c r="AI353" i="6"/>
  <c r="AH353" i="6"/>
  <c r="AG337" i="6"/>
  <c r="AI337" i="6"/>
  <c r="AH337" i="6"/>
  <c r="AG322" i="6"/>
  <c r="AI322" i="6"/>
  <c r="AH322" i="6"/>
  <c r="AG307" i="6"/>
  <c r="AI307" i="6"/>
  <c r="AH307" i="6"/>
  <c r="AG290" i="6"/>
  <c r="AI290" i="6"/>
  <c r="AH290" i="6"/>
  <c r="AG273" i="6"/>
  <c r="AI273" i="6"/>
  <c r="AH273" i="6"/>
  <c r="AG266" i="6"/>
  <c r="AI266" i="6"/>
  <c r="AH266" i="6"/>
  <c r="AG249" i="6"/>
  <c r="AI249" i="6"/>
  <c r="AH249" i="6"/>
  <c r="AG236" i="6"/>
  <c r="AI236" i="6"/>
  <c r="AH236" i="6"/>
  <c r="AG215" i="6"/>
  <c r="AI215" i="6"/>
  <c r="AH215" i="6"/>
  <c r="AG196" i="6"/>
  <c r="AI196" i="6"/>
  <c r="AH196" i="6"/>
  <c r="AG174" i="6"/>
  <c r="AI174" i="6"/>
  <c r="AH174" i="6"/>
  <c r="AG149" i="6"/>
  <c r="AI149" i="6"/>
  <c r="AH149" i="6"/>
  <c r="AG123" i="6"/>
  <c r="AI123" i="6"/>
  <c r="AH123" i="6"/>
  <c r="AG94" i="6"/>
  <c r="AI94" i="6"/>
  <c r="AH94" i="6"/>
  <c r="AG66" i="6"/>
  <c r="AI66" i="6"/>
  <c r="AH66" i="6"/>
  <c r="AG36" i="6"/>
  <c r="AI36" i="6"/>
  <c r="AH36" i="6"/>
  <c r="T275" i="4"/>
  <c r="T365" i="4"/>
  <c r="T333" i="4"/>
  <c r="T37" i="4"/>
  <c r="T283" i="4"/>
  <c r="T203" i="4"/>
  <c r="T300" i="4"/>
  <c r="T349" i="4"/>
  <c r="T154" i="4"/>
  <c r="T258" i="4"/>
  <c r="T125" i="4"/>
  <c r="T67" i="4"/>
  <c r="T181" i="4"/>
  <c r="M18" i="5"/>
  <c r="S17" i="5"/>
  <c r="S16" i="5"/>
  <c r="S15" i="5"/>
  <c r="AE14" i="5"/>
  <c r="AE13" i="5"/>
  <c r="AH12" i="5"/>
  <c r="AT11" i="5"/>
  <c r="AZ10" i="5"/>
  <c r="BC9" i="5"/>
  <c r="BC8" i="5"/>
  <c r="BC7" i="5"/>
  <c r="BF6" i="5"/>
  <c r="BI5" i="5"/>
  <c r="BI4" i="5"/>
  <c r="T96" i="4"/>
  <c r="T224" i="4"/>
  <c r="T245" i="4"/>
  <c r="AI320" i="6"/>
  <c r="AI321" i="6"/>
  <c r="AI336" i="6"/>
  <c r="AI351" i="6"/>
  <c r="AI352" i="6"/>
  <c r="AH320" i="6"/>
  <c r="AH321" i="6"/>
  <c r="AH336" i="6"/>
  <c r="AH351" i="6"/>
  <c r="AH352" i="6"/>
  <c r="AG320" i="6"/>
  <c r="AG321" i="6"/>
  <c r="AG336" i="6"/>
  <c r="AG351" i="6"/>
  <c r="AG352" i="6"/>
  <c r="AG306" i="6"/>
  <c r="AI306" i="6"/>
  <c r="AH306" i="6"/>
  <c r="AG289" i="6"/>
  <c r="AI289" i="6"/>
  <c r="AH289" i="6"/>
  <c r="AG272" i="6"/>
  <c r="AI272" i="6"/>
  <c r="AH272" i="6"/>
  <c r="AG265" i="6"/>
  <c r="AI265" i="6"/>
  <c r="AH265" i="6"/>
  <c r="AG248" i="6"/>
  <c r="AI248" i="6"/>
  <c r="AH248" i="6"/>
  <c r="AG235" i="6"/>
  <c r="AI235" i="6"/>
  <c r="AH235" i="6"/>
  <c r="AG214" i="6"/>
  <c r="AI214" i="6"/>
  <c r="AH214" i="6"/>
  <c r="AG195" i="6"/>
  <c r="AI195" i="6"/>
  <c r="AH195" i="6"/>
  <c r="AG173" i="6"/>
  <c r="AI173" i="6"/>
  <c r="AH173" i="6"/>
  <c r="AG148" i="6"/>
  <c r="AI148" i="6"/>
  <c r="AH148" i="6"/>
  <c r="AG122" i="6"/>
  <c r="AI122" i="6"/>
  <c r="AH122" i="6"/>
  <c r="AG93" i="6"/>
  <c r="AI93" i="6"/>
  <c r="AH93" i="6"/>
  <c r="AG65" i="6"/>
  <c r="AI65" i="6"/>
  <c r="AH65" i="6"/>
  <c r="AG35" i="6"/>
  <c r="AI35" i="6"/>
  <c r="AH35" i="6"/>
  <c r="J18" i="5"/>
  <c r="P17" i="5"/>
  <c r="P16" i="5"/>
  <c r="P15" i="5"/>
  <c r="AB14" i="5"/>
  <c r="AB13" i="5"/>
  <c r="AE12" i="5"/>
  <c r="AQ11" i="5"/>
  <c r="AW10" i="5"/>
  <c r="AZ7" i="5"/>
  <c r="AZ8" i="5"/>
  <c r="AZ9" i="5"/>
  <c r="BC6" i="5"/>
  <c r="BF5" i="5"/>
  <c r="BF4" i="5"/>
  <c r="T299" i="4"/>
  <c r="T274" i="4"/>
  <c r="T332" i="4"/>
  <c r="T282" i="4"/>
  <c r="T223" i="4"/>
  <c r="T244" i="4"/>
  <c r="T153" i="4"/>
  <c r="T257" i="4"/>
  <c r="T202" i="4"/>
  <c r="T180" i="4"/>
  <c r="T364" i="4"/>
  <c r="T363" i="4"/>
  <c r="AB363" i="4" s="1"/>
  <c r="T348" i="4"/>
  <c r="T347" i="4"/>
  <c r="T124" i="4"/>
  <c r="T95" i="4"/>
  <c r="T36" i="4"/>
  <c r="T66" i="4"/>
  <c r="AG305" i="6"/>
  <c r="AI305" i="6"/>
  <c r="AH305" i="6"/>
  <c r="AG288" i="6"/>
  <c r="AI288" i="6"/>
  <c r="AH288" i="6"/>
  <c r="AG271" i="6"/>
  <c r="AI271" i="6"/>
  <c r="AH271" i="6"/>
  <c r="AG264" i="6"/>
  <c r="AI264" i="6"/>
  <c r="AH264" i="6"/>
  <c r="AG247" i="6"/>
  <c r="AI247" i="6"/>
  <c r="AH247" i="6"/>
  <c r="AG234" i="6"/>
  <c r="AI234" i="6"/>
  <c r="AH234" i="6"/>
  <c r="AG213" i="6"/>
  <c r="AI213" i="6"/>
  <c r="AH213" i="6"/>
  <c r="AG194" i="6"/>
  <c r="AI194" i="6"/>
  <c r="AH194" i="6"/>
  <c r="AG172" i="6"/>
  <c r="AI172" i="6"/>
  <c r="AH172" i="6"/>
  <c r="AG147" i="6"/>
  <c r="AI147" i="6"/>
  <c r="AH147" i="6"/>
  <c r="AG121" i="6"/>
  <c r="AI121" i="6"/>
  <c r="AH121" i="6"/>
  <c r="AG92" i="6"/>
  <c r="AI92" i="6"/>
  <c r="AH92" i="6"/>
  <c r="AG64" i="6"/>
  <c r="AI64" i="6"/>
  <c r="AH64" i="6"/>
  <c r="AG34" i="6"/>
  <c r="AI34" i="6"/>
  <c r="AH34" i="6"/>
  <c r="E331" i="4"/>
  <c r="G331" i="4" s="1"/>
  <c r="E347" i="4"/>
  <c r="F347" i="4" s="1"/>
  <c r="E363" i="4"/>
  <c r="F363" i="4" s="1"/>
  <c r="T331" i="4"/>
  <c r="AB331" i="4" s="1"/>
  <c r="Y14" i="5"/>
  <c r="AT10" i="5"/>
  <c r="AZ6" i="5"/>
  <c r="Y13" i="5"/>
  <c r="G18" i="5"/>
  <c r="BC4" i="5"/>
  <c r="BC5" i="5"/>
  <c r="M15" i="5"/>
  <c r="M16" i="5"/>
  <c r="M17" i="5"/>
  <c r="AN11" i="5"/>
  <c r="AB12" i="5"/>
  <c r="AW9" i="5"/>
  <c r="AW7" i="5"/>
  <c r="AW8" i="5"/>
  <c r="T298" i="4"/>
  <c r="T281" i="4"/>
  <c r="T222" i="4"/>
  <c r="T273" i="4"/>
  <c r="T152" i="4"/>
  <c r="T94" i="4"/>
  <c r="T123" i="4"/>
  <c r="T201" i="4"/>
  <c r="T256" i="4"/>
  <c r="T179" i="4"/>
  <c r="T35" i="4"/>
  <c r="T65" i="4"/>
  <c r="T243" i="4"/>
  <c r="AI304" i="6"/>
  <c r="AH304" i="6"/>
  <c r="AG304" i="6"/>
  <c r="AI287" i="6"/>
  <c r="AH287" i="6"/>
  <c r="AG287" i="6"/>
  <c r="AI270" i="6"/>
  <c r="AH270" i="6"/>
  <c r="AG270" i="6"/>
  <c r="AG263" i="6"/>
  <c r="AI263" i="6"/>
  <c r="AH263" i="6"/>
  <c r="AG246" i="6"/>
  <c r="AI246" i="6"/>
  <c r="AH246" i="6"/>
  <c r="AG233" i="6"/>
  <c r="AI233" i="6"/>
  <c r="AH233" i="6"/>
  <c r="AG212" i="6"/>
  <c r="AI212" i="6"/>
  <c r="AH212" i="6"/>
  <c r="AG193" i="6"/>
  <c r="AI193" i="6"/>
  <c r="AH193" i="6"/>
  <c r="AG171" i="6"/>
  <c r="AI171" i="6"/>
  <c r="AH171" i="6"/>
  <c r="AG146" i="6"/>
  <c r="AI146" i="6"/>
  <c r="AH146" i="6"/>
  <c r="AG120" i="6"/>
  <c r="AI120" i="6"/>
  <c r="AH120" i="6"/>
  <c r="AG91" i="6"/>
  <c r="AI91" i="6"/>
  <c r="AH91" i="6"/>
  <c r="AG63" i="6"/>
  <c r="AI63" i="6"/>
  <c r="AH63" i="6"/>
  <c r="AG33" i="6"/>
  <c r="AI33" i="6"/>
  <c r="AH33" i="6"/>
  <c r="T272" i="4"/>
  <c r="T93" i="4"/>
  <c r="T280" i="4"/>
  <c r="T64" i="4"/>
  <c r="T151" i="4"/>
  <c r="T122" i="4"/>
  <c r="T178" i="4"/>
  <c r="T221" i="4"/>
  <c r="T297" i="4"/>
  <c r="T34" i="4"/>
  <c r="T255" i="4"/>
  <c r="T242" i="4"/>
  <c r="T200" i="4"/>
  <c r="J17" i="5"/>
  <c r="J16" i="5"/>
  <c r="J15" i="5"/>
  <c r="V14" i="5"/>
  <c r="V13" i="5"/>
  <c r="Y12" i="5"/>
  <c r="AK11" i="5"/>
  <c r="AQ10" i="5"/>
  <c r="AT9" i="5"/>
  <c r="AT8" i="5"/>
  <c r="AT7" i="5"/>
  <c r="AW6" i="5"/>
  <c r="AZ5" i="5"/>
  <c r="AZ4" i="5"/>
  <c r="AI262" i="6"/>
  <c r="AI286" i="6"/>
  <c r="AI303" i="6"/>
  <c r="AH303" i="6"/>
  <c r="AH262" i="6"/>
  <c r="AH286" i="6"/>
  <c r="AG262" i="6"/>
  <c r="AG286" i="6"/>
  <c r="AG303" i="6"/>
  <c r="AG245" i="6"/>
  <c r="AI245" i="6"/>
  <c r="AH245" i="6"/>
  <c r="AG232" i="6"/>
  <c r="AI232" i="6"/>
  <c r="AH232" i="6"/>
  <c r="AG211" i="6"/>
  <c r="AI211" i="6"/>
  <c r="AH211" i="6"/>
  <c r="AG192" i="6"/>
  <c r="AI192" i="6"/>
  <c r="AH192" i="6"/>
  <c r="AG170" i="6"/>
  <c r="AI170" i="6"/>
  <c r="AH170" i="6"/>
  <c r="AG145" i="6"/>
  <c r="AI145" i="6"/>
  <c r="AH145" i="6"/>
  <c r="AG119" i="6"/>
  <c r="AI119" i="6"/>
  <c r="AH119" i="6"/>
  <c r="AG90" i="6"/>
  <c r="AI90" i="6"/>
  <c r="AH90" i="6"/>
  <c r="AG62" i="6"/>
  <c r="AI62" i="6"/>
  <c r="AH62" i="6"/>
  <c r="AG32" i="6"/>
  <c r="AI32" i="6"/>
  <c r="AH32" i="6"/>
  <c r="E271" i="4"/>
  <c r="F271" i="4" s="1"/>
  <c r="E279" i="4"/>
  <c r="F279" i="4" s="1"/>
  <c r="E296" i="4"/>
  <c r="G296" i="4" s="1"/>
  <c r="E314" i="4"/>
  <c r="T271" i="4"/>
  <c r="T279" i="4"/>
  <c r="T63" i="4"/>
  <c r="T296" i="4"/>
  <c r="T254" i="4"/>
  <c r="T92" i="4"/>
  <c r="T33" i="4"/>
  <c r="T121" i="4"/>
  <c r="T150" i="4"/>
  <c r="T241" i="4"/>
  <c r="T220" i="4"/>
  <c r="T199" i="4"/>
  <c r="T177" i="4"/>
  <c r="G15" i="5"/>
  <c r="G16" i="5"/>
  <c r="G17" i="5"/>
  <c r="S14" i="5"/>
  <c r="S13" i="5"/>
  <c r="V12" i="5"/>
  <c r="AH11" i="5"/>
  <c r="AN10" i="5"/>
  <c r="AQ9" i="5"/>
  <c r="AQ8" i="5"/>
  <c r="AQ7" i="5"/>
  <c r="AT6" i="5"/>
  <c r="AW5" i="5"/>
  <c r="AW4" i="5"/>
  <c r="AG244" i="6"/>
  <c r="AI244" i="6"/>
  <c r="AH244" i="6"/>
  <c r="AG231" i="6"/>
  <c r="AI231" i="6"/>
  <c r="AH231" i="6"/>
  <c r="AG210" i="6"/>
  <c r="AI210" i="6"/>
  <c r="AH210" i="6"/>
  <c r="AG191" i="6"/>
  <c r="AI191" i="6"/>
  <c r="AH191" i="6"/>
  <c r="AG169" i="6"/>
  <c r="AI169" i="6"/>
  <c r="AH169" i="6"/>
  <c r="AG144" i="6"/>
  <c r="AI144" i="6"/>
  <c r="AH144" i="6"/>
  <c r="AG118" i="6"/>
  <c r="AI118" i="6"/>
  <c r="AH118" i="6"/>
  <c r="AG89" i="6"/>
  <c r="AI89" i="6"/>
  <c r="AH89" i="6"/>
  <c r="AG61" i="6"/>
  <c r="AI61" i="6"/>
  <c r="AH61" i="6"/>
  <c r="AG31" i="6"/>
  <c r="AI31" i="6"/>
  <c r="AH31" i="6"/>
  <c r="P14" i="5"/>
  <c r="P13" i="5"/>
  <c r="S12" i="5"/>
  <c r="AE11" i="5"/>
  <c r="AK10" i="5"/>
  <c r="AN9" i="5"/>
  <c r="AN8" i="5"/>
  <c r="AN7" i="5"/>
  <c r="AQ6" i="5"/>
  <c r="AT5" i="5"/>
  <c r="AT4" i="5"/>
  <c r="T253" i="4"/>
  <c r="T120" i="4"/>
  <c r="T62" i="4"/>
  <c r="T149" i="4"/>
  <c r="T240" i="4"/>
  <c r="T32" i="4"/>
  <c r="T176" i="4"/>
  <c r="T219" i="4"/>
  <c r="T91" i="4"/>
  <c r="T198" i="4"/>
  <c r="AG243" i="6"/>
  <c r="AI243" i="6"/>
  <c r="AH243" i="6"/>
  <c r="AI230" i="6"/>
  <c r="AH230" i="6"/>
  <c r="AG230" i="6"/>
  <c r="AI209" i="6"/>
  <c r="AH209" i="6"/>
  <c r="AG209" i="6"/>
  <c r="AG190" i="6"/>
  <c r="AI190" i="6"/>
  <c r="AH190" i="6"/>
  <c r="AG168" i="6"/>
  <c r="AI168" i="6"/>
  <c r="AH168" i="6"/>
  <c r="AG143" i="6"/>
  <c r="AI143" i="6"/>
  <c r="AH143" i="6"/>
  <c r="AG117" i="6"/>
  <c r="AI117" i="6"/>
  <c r="AH117" i="6"/>
  <c r="AG88" i="6"/>
  <c r="AI88" i="6"/>
  <c r="AH88" i="6"/>
  <c r="AG60" i="6"/>
  <c r="AI60" i="6"/>
  <c r="AH60" i="6"/>
  <c r="AG30" i="6"/>
  <c r="AI30" i="6"/>
  <c r="AH30" i="6"/>
  <c r="M14" i="5"/>
  <c r="M13" i="5"/>
  <c r="P12" i="5"/>
  <c r="AB11" i="5"/>
  <c r="AH10" i="5"/>
  <c r="AK9" i="5"/>
  <c r="AK8" i="5"/>
  <c r="AK7" i="5"/>
  <c r="AN6" i="5"/>
  <c r="AQ3" i="5"/>
  <c r="AQ4" i="5"/>
  <c r="AQ5" i="5"/>
  <c r="AQ2" i="5"/>
  <c r="T218" i="4"/>
  <c r="T31" i="4"/>
  <c r="T148" i="4"/>
  <c r="T252" i="4"/>
  <c r="T175" i="4"/>
  <c r="T90" i="4"/>
  <c r="T119" i="4"/>
  <c r="T61" i="4"/>
  <c r="T239" i="4"/>
  <c r="T197" i="4"/>
  <c r="P4" i="3"/>
  <c r="T328" i="4" l="1"/>
  <c r="T329" i="4"/>
  <c r="T314" i="4"/>
  <c r="T327" i="4"/>
  <c r="AD277" i="4"/>
  <c r="AD276" i="4"/>
  <c r="AC277" i="4"/>
  <c r="AD247" i="4"/>
  <c r="AD248" i="4"/>
  <c r="AC247" i="4"/>
  <c r="T326" i="4"/>
  <c r="F403" i="4"/>
  <c r="T325" i="4"/>
  <c r="T324" i="4"/>
  <c r="T323" i="4"/>
  <c r="F392" i="4"/>
  <c r="T322" i="4"/>
  <c r="G379" i="4"/>
  <c r="T321" i="4"/>
  <c r="T320" i="4"/>
  <c r="T319" i="4"/>
  <c r="T318" i="4"/>
  <c r="T317" i="4"/>
  <c r="G363" i="4"/>
  <c r="F331" i="4"/>
  <c r="G347" i="4"/>
  <c r="T316" i="4"/>
  <c r="T315" i="4"/>
  <c r="F314" i="4"/>
  <c r="F296" i="4"/>
  <c r="G279" i="4"/>
  <c r="G271" i="4"/>
  <c r="G314" i="4"/>
  <c r="F336" i="1"/>
  <c r="F323" i="1"/>
  <c r="F304" i="1"/>
  <c r="F290" i="1"/>
  <c r="F279" i="1"/>
  <c r="F266" i="1"/>
  <c r="F258" i="1"/>
  <c r="F249" i="1"/>
  <c r="F238" i="1"/>
  <c r="F228" i="1"/>
  <c r="F215" i="1"/>
  <c r="F206" i="1"/>
  <c r="F193" i="1"/>
  <c r="F184" i="1"/>
  <c r="F171" i="1"/>
  <c r="F159" i="1"/>
  <c r="F150" i="1"/>
  <c r="F134" i="1"/>
  <c r="F119" i="1"/>
  <c r="F104" i="1"/>
  <c r="F89" i="1"/>
  <c r="F71" i="1"/>
  <c r="F55" i="1"/>
  <c r="F38" i="1"/>
  <c r="F20" i="1"/>
  <c r="F3" i="1"/>
  <c r="V336" i="1"/>
  <c r="V323" i="1"/>
  <c r="V304" i="1"/>
  <c r="V290" i="1"/>
  <c r="V279" i="1"/>
  <c r="V266" i="1"/>
  <c r="V258" i="1"/>
  <c r="V249" i="1"/>
  <c r="V238" i="1"/>
  <c r="V228" i="1"/>
  <c r="V215" i="1"/>
  <c r="V206" i="1"/>
  <c r="V193" i="1"/>
  <c r="V184" i="1"/>
  <c r="V171" i="1"/>
  <c r="V159" i="1"/>
  <c r="V150" i="1"/>
  <c r="V134" i="1"/>
  <c r="V119" i="1"/>
  <c r="V104" i="1"/>
  <c r="V89" i="1"/>
  <c r="V71" i="1"/>
  <c r="V55" i="1"/>
  <c r="V38" i="1"/>
  <c r="V20" i="1"/>
  <c r="V3" i="1"/>
  <c r="J14" i="5"/>
  <c r="J13" i="5"/>
  <c r="M12" i="5"/>
  <c r="Y11" i="5"/>
  <c r="AE10" i="5"/>
  <c r="AH9" i="5"/>
  <c r="AH8" i="5"/>
  <c r="AH7" i="5"/>
  <c r="AK6" i="5"/>
  <c r="AN3" i="5"/>
  <c r="AN4" i="5"/>
  <c r="AN5" i="5"/>
  <c r="AN2" i="5"/>
  <c r="AI242" i="6"/>
  <c r="AH242" i="6"/>
  <c r="AG242" i="6"/>
  <c r="AI229" i="6"/>
  <c r="AH229" i="6"/>
  <c r="AG229" i="6"/>
  <c r="AG189" i="6"/>
  <c r="AI189" i="6"/>
  <c r="AH189" i="6"/>
  <c r="AG167" i="6"/>
  <c r="AI167" i="6"/>
  <c r="AH167" i="6"/>
  <c r="AG142" i="6"/>
  <c r="AI142" i="6"/>
  <c r="AH142" i="6"/>
  <c r="AG116" i="6"/>
  <c r="AI116" i="6"/>
  <c r="AH116" i="6"/>
  <c r="AG87" i="6"/>
  <c r="AI87" i="6"/>
  <c r="AH87" i="6"/>
  <c r="AG59" i="6"/>
  <c r="AI59" i="6"/>
  <c r="AH59" i="6"/>
  <c r="AG29" i="6"/>
  <c r="AI29" i="6"/>
  <c r="AH29" i="6"/>
  <c r="T238" i="4"/>
  <c r="T237" i="4"/>
  <c r="T147" i="4"/>
  <c r="T89" i="4"/>
  <c r="T217" i="4"/>
  <c r="T251" i="4"/>
  <c r="T118" i="4"/>
  <c r="T60" i="4"/>
  <c r="T174" i="4"/>
  <c r="T30" i="4"/>
  <c r="T196" i="4"/>
  <c r="AI241" i="6" l="1"/>
  <c r="AH241" i="6"/>
  <c r="AG241" i="6"/>
  <c r="AI228" i="6"/>
  <c r="AH228" i="6"/>
  <c r="AG228" i="6"/>
  <c r="AG188" i="6"/>
  <c r="AI188" i="6"/>
  <c r="AH188" i="6"/>
  <c r="AG166" i="6"/>
  <c r="AI166" i="6"/>
  <c r="AH166" i="6"/>
  <c r="AG141" i="6"/>
  <c r="AI141" i="6"/>
  <c r="AH141" i="6"/>
  <c r="AG115" i="6"/>
  <c r="AI115" i="6"/>
  <c r="AH115" i="6"/>
  <c r="AG86" i="6"/>
  <c r="AI86" i="6"/>
  <c r="AH86" i="6"/>
  <c r="AG58" i="6"/>
  <c r="AI58" i="6"/>
  <c r="AH58" i="6"/>
  <c r="AG28" i="6"/>
  <c r="AI28" i="6"/>
  <c r="AH28" i="6"/>
  <c r="G14" i="5"/>
  <c r="G13" i="5"/>
  <c r="AK3" i="5"/>
  <c r="AK4" i="5"/>
  <c r="AK5" i="5"/>
  <c r="AK2" i="5"/>
  <c r="T250" i="4"/>
  <c r="T216" i="4"/>
  <c r="E250" i="4"/>
  <c r="G250" i="4" s="1"/>
  <c r="E194" i="4"/>
  <c r="F194" i="4" s="1"/>
  <c r="E216" i="4"/>
  <c r="G216" i="4" s="1"/>
  <c r="E237" i="4"/>
  <c r="G237" i="4" s="1"/>
  <c r="T146" i="4"/>
  <c r="T29" i="4"/>
  <c r="T117" i="4"/>
  <c r="T59" i="4"/>
  <c r="T173" i="4"/>
  <c r="T88" i="4"/>
  <c r="T195" i="4"/>
  <c r="T194" i="4"/>
  <c r="AB237" i="4"/>
  <c r="J12" i="5"/>
  <c r="V11" i="5"/>
  <c r="AB10" i="5"/>
  <c r="AE9" i="5"/>
  <c r="AE8" i="5"/>
  <c r="AE7" i="5"/>
  <c r="AH6" i="5"/>
  <c r="AI187" i="6"/>
  <c r="AH187" i="6"/>
  <c r="AG187" i="6"/>
  <c r="AG165" i="6"/>
  <c r="AI165" i="6"/>
  <c r="AH165" i="6"/>
  <c r="AG140" i="6"/>
  <c r="AI140" i="6"/>
  <c r="AH140" i="6"/>
  <c r="AG114" i="6"/>
  <c r="AI114" i="6"/>
  <c r="AH114" i="6"/>
  <c r="AG85" i="6"/>
  <c r="AI85" i="6"/>
  <c r="AH85" i="6"/>
  <c r="AG57" i="6"/>
  <c r="AI57" i="6"/>
  <c r="AH57" i="6"/>
  <c r="AG27" i="6"/>
  <c r="AI27" i="6"/>
  <c r="AH27" i="6"/>
  <c r="G12" i="5"/>
  <c r="S11" i="5"/>
  <c r="Y10" i="5"/>
  <c r="AB9" i="5"/>
  <c r="AB8" i="5"/>
  <c r="AB7" i="5"/>
  <c r="AE6" i="5"/>
  <c r="AH3" i="5"/>
  <c r="AH4" i="5"/>
  <c r="AH5" i="5"/>
  <c r="AH2" i="5"/>
  <c r="T172" i="4"/>
  <c r="T116" i="4"/>
  <c r="T58" i="4"/>
  <c r="T28" i="4"/>
  <c r="T145" i="4"/>
  <c r="T87" i="4"/>
  <c r="AG164" i="6"/>
  <c r="AI164" i="6"/>
  <c r="AH164" i="6"/>
  <c r="AG139" i="6"/>
  <c r="AI139" i="6"/>
  <c r="AH139" i="6"/>
  <c r="AG113" i="6"/>
  <c r="AI113" i="6"/>
  <c r="AH113" i="6"/>
  <c r="AG84" i="6"/>
  <c r="AI84" i="6"/>
  <c r="AH84" i="6"/>
  <c r="AG56" i="6"/>
  <c r="AI56" i="6"/>
  <c r="AH56" i="6"/>
  <c r="AG26" i="6"/>
  <c r="AI26" i="6"/>
  <c r="AH26" i="6"/>
  <c r="AG16" i="6"/>
  <c r="AI16" i="6"/>
  <c r="AH16" i="6"/>
  <c r="AI163" i="6"/>
  <c r="AH163" i="6"/>
  <c r="AG163" i="6"/>
  <c r="AI138" i="6"/>
  <c r="AH138" i="6"/>
  <c r="AG138" i="6"/>
  <c r="AI112" i="6"/>
  <c r="AH112" i="6"/>
  <c r="AG112" i="6"/>
  <c r="AI83" i="6"/>
  <c r="AH83" i="6"/>
  <c r="AG83" i="6"/>
  <c r="AI55" i="6"/>
  <c r="AH55" i="6"/>
  <c r="AG55" i="6"/>
  <c r="AI25" i="6"/>
  <c r="AH25" i="6"/>
  <c r="AG25" i="6"/>
  <c r="AI15" i="6"/>
  <c r="AH15" i="6"/>
  <c r="AG15" i="6"/>
  <c r="AQ17" i="4"/>
  <c r="AN17" i="4"/>
  <c r="S16" i="4"/>
  <c r="AC16" i="4" s="1"/>
  <c r="AN16" i="4"/>
  <c r="P11" i="5"/>
  <c r="V10" i="5"/>
  <c r="Y9" i="5"/>
  <c r="Y8" i="5"/>
  <c r="Y7" i="5"/>
  <c r="AB6" i="5"/>
  <c r="AE3" i="5"/>
  <c r="AE4" i="5"/>
  <c r="AE5" i="5"/>
  <c r="AE2" i="5"/>
  <c r="T57" i="4"/>
  <c r="T115" i="4"/>
  <c r="T144" i="4"/>
  <c r="T171" i="4"/>
  <c r="T86" i="4"/>
  <c r="T27" i="4"/>
  <c r="T17" i="4"/>
  <c r="M11" i="5"/>
  <c r="S10" i="5"/>
  <c r="V9" i="5"/>
  <c r="V8" i="5"/>
  <c r="V7" i="5"/>
  <c r="AB3" i="5"/>
  <c r="AB4" i="5"/>
  <c r="AB5" i="5"/>
  <c r="AB2" i="5"/>
  <c r="Y2" i="5"/>
  <c r="Y3" i="5"/>
  <c r="Y4" i="5"/>
  <c r="Y5" i="5"/>
  <c r="Y6" i="5"/>
  <c r="T26" i="4"/>
  <c r="T170" i="4"/>
  <c r="T143" i="4"/>
  <c r="T114" i="4"/>
  <c r="T85" i="4"/>
  <c r="T56" i="4"/>
  <c r="T16" i="4"/>
  <c r="AI137" i="6"/>
  <c r="AH137" i="6"/>
  <c r="AG137" i="6"/>
  <c r="AG111" i="6"/>
  <c r="AI111" i="6"/>
  <c r="AH111" i="6"/>
  <c r="AG82" i="6"/>
  <c r="AI82" i="6"/>
  <c r="AH82" i="6"/>
  <c r="AG54" i="6"/>
  <c r="AI54" i="6"/>
  <c r="AH54" i="6"/>
  <c r="AG24" i="6"/>
  <c r="AI24" i="6"/>
  <c r="AH24" i="6"/>
  <c r="AG14" i="6"/>
  <c r="AI14" i="6"/>
  <c r="AH14" i="6"/>
  <c r="J11" i="5"/>
  <c r="P10" i="5"/>
  <c r="S9" i="5"/>
  <c r="S8" i="5"/>
  <c r="S7" i="5"/>
  <c r="V6" i="5"/>
  <c r="V2" i="5"/>
  <c r="T168" i="4"/>
  <c r="T169" i="4"/>
  <c r="T142" i="4"/>
  <c r="T113" i="4"/>
  <c r="T84" i="4"/>
  <c r="T55" i="4"/>
  <c r="T25" i="4"/>
  <c r="T15" i="4"/>
  <c r="E80" i="4"/>
  <c r="F80" i="4" s="1"/>
  <c r="E109" i="4"/>
  <c r="F109" i="4" s="1"/>
  <c r="E139" i="4"/>
  <c r="G139" i="4" s="1"/>
  <c r="E168" i="4"/>
  <c r="G168" i="4" s="1"/>
  <c r="S6" i="4"/>
  <c r="AC7" i="4" s="1"/>
  <c r="AG110" i="6"/>
  <c r="AI110" i="6"/>
  <c r="AH110" i="6"/>
  <c r="AG81" i="6"/>
  <c r="AI81" i="6"/>
  <c r="AH81" i="6"/>
  <c r="AG53" i="6"/>
  <c r="AI53" i="6"/>
  <c r="AH53" i="6"/>
  <c r="AG23" i="6"/>
  <c r="AI23" i="6"/>
  <c r="AH23" i="6"/>
  <c r="AG13" i="6"/>
  <c r="AI13" i="6"/>
  <c r="AH13" i="6"/>
  <c r="V3" i="5"/>
  <c r="V4" i="5"/>
  <c r="V5" i="5"/>
  <c r="S2" i="5"/>
  <c r="S6" i="5"/>
  <c r="P9" i="5"/>
  <c r="P8" i="5"/>
  <c r="P7" i="5"/>
  <c r="M10" i="5"/>
  <c r="T140" i="4"/>
  <c r="T141" i="4"/>
  <c r="T111" i="4"/>
  <c r="T112" i="4"/>
  <c r="T82" i="4"/>
  <c r="T83" i="4"/>
  <c r="T53" i="4"/>
  <c r="T54" i="4"/>
  <c r="T24" i="4"/>
  <c r="T14" i="4"/>
  <c r="AG109" i="6"/>
  <c r="AI109" i="6"/>
  <c r="AH109" i="6"/>
  <c r="AG80" i="6"/>
  <c r="AI80" i="6"/>
  <c r="AH80" i="6"/>
  <c r="AG52" i="6"/>
  <c r="AI52" i="6"/>
  <c r="AH52" i="6"/>
  <c r="AG22" i="6"/>
  <c r="AI22" i="6"/>
  <c r="AH22" i="6"/>
  <c r="AG12" i="6"/>
  <c r="AI12" i="6"/>
  <c r="AH12" i="6"/>
  <c r="AG7" i="6"/>
  <c r="AI7" i="6"/>
  <c r="AH7" i="6"/>
  <c r="J10" i="5"/>
  <c r="M9" i="5"/>
  <c r="M8" i="5"/>
  <c r="M7" i="5"/>
  <c r="P6" i="5"/>
  <c r="S3" i="5"/>
  <c r="S4" i="5"/>
  <c r="S5" i="5"/>
  <c r="P3" i="5"/>
  <c r="P4" i="5"/>
  <c r="P5" i="5"/>
  <c r="P2" i="5"/>
  <c r="AH7" i="4"/>
  <c r="T23" i="4"/>
  <c r="T13" i="4"/>
  <c r="T7" i="4"/>
  <c r="AI79" i="6"/>
  <c r="AI107" i="6"/>
  <c r="AI108" i="6"/>
  <c r="AH79" i="6"/>
  <c r="AH107" i="6"/>
  <c r="AH108" i="6"/>
  <c r="AG79" i="6"/>
  <c r="AG107" i="6"/>
  <c r="AG108" i="6"/>
  <c r="AG51" i="6"/>
  <c r="AI51" i="6"/>
  <c r="AH51" i="6"/>
  <c r="AG21" i="6"/>
  <c r="AI21" i="6"/>
  <c r="AH21" i="6"/>
  <c r="AG11" i="6"/>
  <c r="AI11" i="6"/>
  <c r="AH11" i="6"/>
  <c r="AI6" i="6"/>
  <c r="AH6" i="6"/>
  <c r="AG6" i="6"/>
  <c r="G10" i="5"/>
  <c r="AH6" i="4"/>
  <c r="J9" i="5"/>
  <c r="J8" i="5"/>
  <c r="J7" i="5"/>
  <c r="M6" i="5"/>
  <c r="T139" i="4"/>
  <c r="T12" i="4"/>
  <c r="T110" i="4"/>
  <c r="T109" i="4"/>
  <c r="T22" i="4"/>
  <c r="T81" i="4"/>
  <c r="T80" i="4"/>
  <c r="T52" i="4"/>
  <c r="T6" i="4"/>
  <c r="AG50" i="6"/>
  <c r="AI50" i="6"/>
  <c r="AH50" i="6"/>
  <c r="AG20" i="6"/>
  <c r="AI20" i="6"/>
  <c r="AH20" i="6"/>
  <c r="AG10" i="6"/>
  <c r="AI10" i="6"/>
  <c r="AH10" i="6"/>
  <c r="AI5" i="6"/>
  <c r="AH5" i="6"/>
  <c r="AG5" i="6"/>
  <c r="G7" i="5"/>
  <c r="G8" i="5"/>
  <c r="G9" i="5"/>
  <c r="J6" i="5"/>
  <c r="M3" i="5"/>
  <c r="M4" i="5"/>
  <c r="M5" i="5"/>
  <c r="M2" i="5"/>
  <c r="T21" i="4"/>
  <c r="T51" i="4"/>
  <c r="T5" i="4"/>
  <c r="T11" i="4"/>
  <c r="AI49" i="6"/>
  <c r="AH49" i="6"/>
  <c r="AG49" i="6"/>
  <c r="AI19" i="6"/>
  <c r="AH19" i="6"/>
  <c r="AG19" i="6"/>
  <c r="AI9" i="6"/>
  <c r="AH9" i="6"/>
  <c r="AG9" i="6"/>
  <c r="AI4" i="6"/>
  <c r="AH4" i="6"/>
  <c r="AG4" i="6"/>
  <c r="J3" i="5"/>
  <c r="J4" i="5"/>
  <c r="J5" i="5"/>
  <c r="J2" i="5"/>
  <c r="G6" i="5"/>
  <c r="T4" i="4"/>
  <c r="T3" i="4"/>
  <c r="T10" i="4"/>
  <c r="T9" i="4"/>
  <c r="T50" i="4"/>
  <c r="T20" i="4"/>
  <c r="T19" i="4"/>
  <c r="E50" i="4"/>
  <c r="G50" i="4" s="1"/>
  <c r="E9" i="4"/>
  <c r="G9" i="4" s="1"/>
  <c r="AI18" i="6"/>
  <c r="AH18" i="6"/>
  <c r="AG18" i="6"/>
  <c r="AI3" i="6"/>
  <c r="AH3" i="6"/>
  <c r="AG3" i="6"/>
  <c r="G3" i="5"/>
  <c r="G4" i="5"/>
  <c r="G5" i="5"/>
  <c r="G2" i="5"/>
  <c r="E19" i="4"/>
  <c r="F19" i="4" s="1"/>
  <c r="E3" i="4"/>
  <c r="G3" i="4" s="1"/>
  <c r="T223" i="1"/>
  <c r="AE225" i="1" s="1"/>
  <c r="T210" i="1"/>
  <c r="AE211" i="1" s="1"/>
  <c r="T201" i="1"/>
  <c r="AE201" i="1" s="1"/>
  <c r="T188" i="1"/>
  <c r="AE191" i="1" s="1"/>
  <c r="AE168" i="1"/>
  <c r="AE169" i="1"/>
  <c r="T167" i="1"/>
  <c r="AE167" i="1" s="1"/>
  <c r="U343" i="1"/>
  <c r="T244" i="1"/>
  <c r="AE245" i="1" s="1"/>
  <c r="T253" i="1"/>
  <c r="AE254" i="1" s="1"/>
  <c r="T273" i="1"/>
  <c r="AE273" i="1" s="1"/>
  <c r="T299" i="1"/>
  <c r="AE302" i="1" s="1"/>
  <c r="T310" i="1"/>
  <c r="AE310" i="1" s="1"/>
  <c r="T333" i="1"/>
  <c r="AE334" i="1" s="1"/>
  <c r="T341" i="1"/>
  <c r="AE342" i="1" s="1"/>
  <c r="AG332" i="2"/>
  <c r="AI332" i="2"/>
  <c r="AH332" i="2"/>
  <c r="AP342" i="1"/>
  <c r="U342" i="1"/>
  <c r="AG331" i="2"/>
  <c r="AI331" i="2"/>
  <c r="AH331" i="2"/>
  <c r="AP341" i="1"/>
  <c r="AJ341" i="1"/>
  <c r="U341" i="1"/>
  <c r="AG330" i="2"/>
  <c r="AI330" i="2"/>
  <c r="AH330" i="2"/>
  <c r="U340" i="1"/>
  <c r="AG324" i="2"/>
  <c r="AI324" i="2"/>
  <c r="AH324" i="2"/>
  <c r="AS334" i="1"/>
  <c r="AP334" i="1"/>
  <c r="AJ334" i="1"/>
  <c r="AG329" i="2"/>
  <c r="AI329" i="2"/>
  <c r="AH329" i="2"/>
  <c r="U334" i="1"/>
  <c r="U339" i="1"/>
  <c r="AG298" i="2"/>
  <c r="AI298" i="2"/>
  <c r="AH298" i="2"/>
  <c r="AG323" i="2"/>
  <c r="AI323" i="2"/>
  <c r="AH323" i="2"/>
  <c r="AG328" i="2"/>
  <c r="AI328" i="2"/>
  <c r="AH328" i="2"/>
  <c r="AP302" i="1"/>
  <c r="AJ302" i="1"/>
  <c r="AP333" i="1"/>
  <c r="AJ333" i="1"/>
  <c r="U333" i="1"/>
  <c r="U338" i="1"/>
  <c r="U302" i="1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8" i="2"/>
  <c r="AI149" i="2"/>
  <c r="AI150" i="2"/>
  <c r="AI151" i="2"/>
  <c r="AI152" i="2"/>
  <c r="AI153" i="2"/>
  <c r="AI154" i="2"/>
  <c r="AI156" i="2"/>
  <c r="AI157" i="2"/>
  <c r="AI158" i="2"/>
  <c r="AI159" i="2"/>
  <c r="AI160" i="2"/>
  <c r="AI161" i="2"/>
  <c r="AI162" i="2"/>
  <c r="AI163" i="2"/>
  <c r="AI164" i="2"/>
  <c r="AI165" i="2"/>
  <c r="AI166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1" i="2"/>
  <c r="AI182" i="2"/>
  <c r="AI183" i="2"/>
  <c r="AI184" i="2"/>
  <c r="AI185" i="2"/>
  <c r="AI186" i="2"/>
  <c r="AI187" i="2"/>
  <c r="AI188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3" i="2"/>
  <c r="AI204" i="2"/>
  <c r="AI205" i="2"/>
  <c r="AI206" i="2"/>
  <c r="AI207" i="2"/>
  <c r="AI208" i="2"/>
  <c r="AI209" i="2"/>
  <c r="AI210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5" i="2"/>
  <c r="AI226" i="2"/>
  <c r="AI227" i="2"/>
  <c r="AI228" i="2"/>
  <c r="AI229" i="2"/>
  <c r="AI230" i="2"/>
  <c r="AI231" i="2"/>
  <c r="AI232" i="2"/>
  <c r="AI233" i="2"/>
  <c r="AI235" i="2"/>
  <c r="AI236" i="2"/>
  <c r="AI237" i="2"/>
  <c r="AI238" i="2"/>
  <c r="AI239" i="2"/>
  <c r="AI240" i="2"/>
  <c r="AI241" i="2"/>
  <c r="AI242" i="2"/>
  <c r="AI243" i="2"/>
  <c r="AI244" i="2"/>
  <c r="AI246" i="2"/>
  <c r="AI247" i="2"/>
  <c r="AI248" i="2"/>
  <c r="AI249" i="2"/>
  <c r="AI250" i="2"/>
  <c r="AI251" i="2"/>
  <c r="AI252" i="2"/>
  <c r="AI254" i="2"/>
  <c r="AI255" i="2"/>
  <c r="AI256" i="2"/>
  <c r="AI257" i="2"/>
  <c r="AI258" i="2"/>
  <c r="AI259" i="2"/>
  <c r="AI260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5" i="2"/>
  <c r="AI276" i="2"/>
  <c r="AI277" i="2"/>
  <c r="AI278" i="2"/>
  <c r="AI279" i="2"/>
  <c r="AI280" i="2"/>
  <c r="AI281" i="2"/>
  <c r="AI282" i="2"/>
  <c r="AI283" i="2"/>
  <c r="AI284" i="2"/>
  <c r="AI286" i="2"/>
  <c r="AI287" i="2"/>
  <c r="AI289" i="2"/>
  <c r="AI290" i="2"/>
  <c r="AI291" i="2"/>
  <c r="AI292" i="2"/>
  <c r="AI293" i="2"/>
  <c r="AI294" i="2"/>
  <c r="AI295" i="2"/>
  <c r="AI296" i="2"/>
  <c r="AI297" i="2"/>
  <c r="AI300" i="2"/>
  <c r="AI301" i="2"/>
  <c r="AI302" i="2"/>
  <c r="AI303" i="2"/>
  <c r="AI304" i="2"/>
  <c r="AI305" i="2"/>
  <c r="AI306" i="2"/>
  <c r="AI307" i="2"/>
  <c r="AI308" i="2"/>
  <c r="AI310" i="2"/>
  <c r="AI313" i="2"/>
  <c r="AI314" i="2"/>
  <c r="AI315" i="2"/>
  <c r="AI316" i="2"/>
  <c r="AI317" i="2"/>
  <c r="AI318" i="2"/>
  <c r="AI319" i="2"/>
  <c r="AI320" i="2"/>
  <c r="AI321" i="2"/>
  <c r="AI322" i="2"/>
  <c r="AI326" i="2"/>
  <c r="AI327" i="2"/>
  <c r="AI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8" i="2"/>
  <c r="AG149" i="2"/>
  <c r="AG150" i="2"/>
  <c r="AG151" i="2"/>
  <c r="AG152" i="2"/>
  <c r="AG153" i="2"/>
  <c r="AG154" i="2"/>
  <c r="AG156" i="2"/>
  <c r="AG157" i="2"/>
  <c r="AG158" i="2"/>
  <c r="AG159" i="2"/>
  <c r="AG160" i="2"/>
  <c r="AG161" i="2"/>
  <c r="AG162" i="2"/>
  <c r="AG163" i="2"/>
  <c r="AG164" i="2"/>
  <c r="AG165" i="2"/>
  <c r="AG166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1" i="2"/>
  <c r="AG182" i="2"/>
  <c r="AG183" i="2"/>
  <c r="AG184" i="2"/>
  <c r="AG185" i="2"/>
  <c r="AG186" i="2"/>
  <c r="AG187" i="2"/>
  <c r="AG188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3" i="2"/>
  <c r="AG204" i="2"/>
  <c r="AG205" i="2"/>
  <c r="AG206" i="2"/>
  <c r="AG207" i="2"/>
  <c r="AG208" i="2"/>
  <c r="AG209" i="2"/>
  <c r="AG210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5" i="2"/>
  <c r="AG226" i="2"/>
  <c r="AG227" i="2"/>
  <c r="AG228" i="2"/>
  <c r="AG229" i="2"/>
  <c r="AG230" i="2"/>
  <c r="AG231" i="2"/>
  <c r="AG232" i="2"/>
  <c r="AG233" i="2"/>
  <c r="AG235" i="2"/>
  <c r="AG236" i="2"/>
  <c r="AG237" i="2"/>
  <c r="AG238" i="2"/>
  <c r="AG239" i="2"/>
  <c r="AG240" i="2"/>
  <c r="AG241" i="2"/>
  <c r="AG242" i="2"/>
  <c r="AG243" i="2"/>
  <c r="AG244" i="2"/>
  <c r="AG246" i="2"/>
  <c r="AG247" i="2"/>
  <c r="AG248" i="2"/>
  <c r="AG249" i="2"/>
  <c r="AG250" i="2"/>
  <c r="AG251" i="2"/>
  <c r="AG252" i="2"/>
  <c r="AG254" i="2"/>
  <c r="AG255" i="2"/>
  <c r="AG256" i="2"/>
  <c r="AG257" i="2"/>
  <c r="AG258" i="2"/>
  <c r="AG259" i="2"/>
  <c r="AG260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5" i="2"/>
  <c r="AG276" i="2"/>
  <c r="AG277" i="2"/>
  <c r="AG278" i="2"/>
  <c r="AG279" i="2"/>
  <c r="AG280" i="2"/>
  <c r="AG281" i="2"/>
  <c r="AG282" i="2"/>
  <c r="AG283" i="2"/>
  <c r="AG284" i="2"/>
  <c r="AG286" i="2"/>
  <c r="AG287" i="2"/>
  <c r="AG289" i="2"/>
  <c r="AG290" i="2"/>
  <c r="AG291" i="2"/>
  <c r="AG292" i="2"/>
  <c r="AG293" i="2"/>
  <c r="AG294" i="2"/>
  <c r="AG295" i="2"/>
  <c r="AG296" i="2"/>
  <c r="AG297" i="2"/>
  <c r="AG300" i="2"/>
  <c r="AG301" i="2"/>
  <c r="AG302" i="2"/>
  <c r="AG303" i="2"/>
  <c r="AG304" i="2"/>
  <c r="AG305" i="2"/>
  <c r="AG306" i="2"/>
  <c r="AG307" i="2"/>
  <c r="AG308" i="2"/>
  <c r="AG313" i="2"/>
  <c r="AG314" i="2"/>
  <c r="AG315" i="2"/>
  <c r="AG316" i="2"/>
  <c r="AG317" i="2"/>
  <c r="AG318" i="2"/>
  <c r="AG319" i="2"/>
  <c r="AG320" i="2"/>
  <c r="AG321" i="2"/>
  <c r="AG322" i="2"/>
  <c r="AG326" i="2"/>
  <c r="AG327" i="2"/>
  <c r="AG3" i="2"/>
  <c r="AH273" i="2"/>
  <c r="AH297" i="2"/>
  <c r="AH322" i="2"/>
  <c r="AH327" i="2"/>
  <c r="AP301" i="1"/>
  <c r="AJ277" i="1"/>
  <c r="U337" i="1"/>
  <c r="U336" i="1"/>
  <c r="AD336" i="1" s="1"/>
  <c r="U301" i="1"/>
  <c r="U332" i="1"/>
  <c r="AF334" i="1" s="1"/>
  <c r="U277" i="1"/>
  <c r="AH326" i="2"/>
  <c r="AH321" i="2"/>
  <c r="AH296" i="2"/>
  <c r="AH284" i="2"/>
  <c r="AH272" i="2"/>
  <c r="AJ275" i="1"/>
  <c r="AM276" i="1"/>
  <c r="AJ276" i="1"/>
  <c r="AJ288" i="1"/>
  <c r="U288" i="1"/>
  <c r="U300" i="1"/>
  <c r="U331" i="1"/>
  <c r="U276" i="1"/>
  <c r="AH320" i="2"/>
  <c r="AH308" i="2"/>
  <c r="AH295" i="2"/>
  <c r="AH283" i="2"/>
  <c r="AH271" i="2"/>
  <c r="AH244" i="2"/>
  <c r="AH223" i="2"/>
  <c r="AH201" i="2"/>
  <c r="AH179" i="2"/>
  <c r="E336" i="1"/>
  <c r="G336" i="1" s="1"/>
  <c r="AJ330" i="1"/>
  <c r="AP312" i="1"/>
  <c r="AJ312" i="1"/>
  <c r="AJ299" i="1"/>
  <c r="T287" i="1"/>
  <c r="AE287" i="1" s="1"/>
  <c r="AJ287" i="1"/>
  <c r="T263" i="1"/>
  <c r="AE264" i="1" s="1"/>
  <c r="AP247" i="1"/>
  <c r="AJ247" i="1"/>
  <c r="T235" i="1"/>
  <c r="AE236" i="1" s="1"/>
  <c r="AP226" i="1"/>
  <c r="AJ226" i="1"/>
  <c r="AS204" i="1"/>
  <c r="AP204" i="1"/>
  <c r="T180" i="1"/>
  <c r="AE182" i="1" s="1"/>
  <c r="AS182" i="1"/>
  <c r="AP182" i="1"/>
  <c r="U299" i="1"/>
  <c r="U312" i="1"/>
  <c r="U275" i="1"/>
  <c r="U330" i="1"/>
  <c r="U204" i="1"/>
  <c r="U287" i="1"/>
  <c r="U247" i="1"/>
  <c r="U226" i="1"/>
  <c r="U182" i="1"/>
  <c r="AH319" i="2"/>
  <c r="AH307" i="2"/>
  <c r="AH294" i="2"/>
  <c r="AH282" i="2"/>
  <c r="AH270" i="2"/>
  <c r="AH243" i="2"/>
  <c r="AH222" i="2"/>
  <c r="AH200" i="2"/>
  <c r="AH178" i="2"/>
  <c r="AJ311" i="1"/>
  <c r="U246" i="1"/>
  <c r="AP225" i="1"/>
  <c r="AJ225" i="1"/>
  <c r="AP181" i="1"/>
  <c r="U286" i="1"/>
  <c r="U274" i="1"/>
  <c r="U329" i="1"/>
  <c r="U225" i="1"/>
  <c r="U203" i="1"/>
  <c r="U181" i="1"/>
  <c r="U311" i="1"/>
  <c r="U298" i="1"/>
  <c r="AH318" i="2"/>
  <c r="AH317" i="2"/>
  <c r="AH54" i="2"/>
  <c r="AH166" i="2"/>
  <c r="AH3" i="2"/>
  <c r="AH146" i="2"/>
  <c r="AH306" i="2"/>
  <c r="AH310" i="2"/>
  <c r="AH313" i="2"/>
  <c r="AH314" i="2"/>
  <c r="AH315" i="2"/>
  <c r="AH316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8" i="2"/>
  <c r="AH149" i="2"/>
  <c r="AH150" i="2"/>
  <c r="AH151" i="2"/>
  <c r="AH152" i="2"/>
  <c r="AH153" i="2"/>
  <c r="AH154" i="2"/>
  <c r="AH156" i="2"/>
  <c r="AH157" i="2"/>
  <c r="AH158" i="2"/>
  <c r="AH159" i="2"/>
  <c r="AH160" i="2"/>
  <c r="AH161" i="2"/>
  <c r="AH162" i="2"/>
  <c r="AH163" i="2"/>
  <c r="AH164" i="2"/>
  <c r="AH165" i="2"/>
  <c r="AH168" i="2"/>
  <c r="AH169" i="2"/>
  <c r="AH170" i="2"/>
  <c r="AH171" i="2"/>
  <c r="AH172" i="2"/>
  <c r="AH173" i="2"/>
  <c r="AH174" i="2"/>
  <c r="AH175" i="2"/>
  <c r="AH176" i="2"/>
  <c r="AH177" i="2"/>
  <c r="AH181" i="2"/>
  <c r="AH182" i="2"/>
  <c r="AH183" i="2"/>
  <c r="AH184" i="2"/>
  <c r="AH185" i="2"/>
  <c r="AH186" i="2"/>
  <c r="AH187" i="2"/>
  <c r="AH188" i="2"/>
  <c r="AH190" i="2"/>
  <c r="AH191" i="2"/>
  <c r="AH192" i="2"/>
  <c r="AH193" i="2"/>
  <c r="AH194" i="2"/>
  <c r="AH195" i="2"/>
  <c r="AH196" i="2"/>
  <c r="AH197" i="2"/>
  <c r="AH198" i="2"/>
  <c r="AH199" i="2"/>
  <c r="AH203" i="2"/>
  <c r="AH204" i="2"/>
  <c r="AH205" i="2"/>
  <c r="AH206" i="2"/>
  <c r="AH207" i="2"/>
  <c r="AH208" i="2"/>
  <c r="AH209" i="2"/>
  <c r="AH210" i="2"/>
  <c r="AH212" i="2"/>
  <c r="AH213" i="2"/>
  <c r="AH214" i="2"/>
  <c r="AH215" i="2"/>
  <c r="AH216" i="2"/>
  <c r="AH217" i="2"/>
  <c r="AH218" i="2"/>
  <c r="AH219" i="2"/>
  <c r="AH220" i="2"/>
  <c r="AH221" i="2"/>
  <c r="AH225" i="2"/>
  <c r="AH226" i="2"/>
  <c r="AH227" i="2"/>
  <c r="AH228" i="2"/>
  <c r="AH229" i="2"/>
  <c r="AH230" i="2"/>
  <c r="AH231" i="2"/>
  <c r="AH232" i="2"/>
  <c r="AH233" i="2"/>
  <c r="AH235" i="2"/>
  <c r="AH236" i="2"/>
  <c r="AH237" i="2"/>
  <c r="AH238" i="2"/>
  <c r="AH239" i="2"/>
  <c r="AH240" i="2"/>
  <c r="AH241" i="2"/>
  <c r="AH242" i="2"/>
  <c r="AH246" i="2"/>
  <c r="AH247" i="2"/>
  <c r="AH248" i="2"/>
  <c r="AH249" i="2"/>
  <c r="AH250" i="2"/>
  <c r="AH251" i="2"/>
  <c r="AH252" i="2"/>
  <c r="AH254" i="2"/>
  <c r="AH255" i="2"/>
  <c r="AH256" i="2"/>
  <c r="AH257" i="2"/>
  <c r="AH258" i="2"/>
  <c r="AH259" i="2"/>
  <c r="AH260" i="2"/>
  <c r="AH262" i="2"/>
  <c r="AH263" i="2"/>
  <c r="AH264" i="2"/>
  <c r="AH265" i="2"/>
  <c r="AH266" i="2"/>
  <c r="AH267" i="2"/>
  <c r="AH268" i="2"/>
  <c r="AH269" i="2"/>
  <c r="AH275" i="2"/>
  <c r="AH276" i="2"/>
  <c r="AH277" i="2"/>
  <c r="AH278" i="2"/>
  <c r="AH279" i="2"/>
  <c r="AH280" i="2"/>
  <c r="AH281" i="2"/>
  <c r="AH286" i="2"/>
  <c r="AH287" i="2"/>
  <c r="AH289" i="2"/>
  <c r="AH290" i="2"/>
  <c r="AH291" i="2"/>
  <c r="AH292" i="2"/>
  <c r="AH293" i="2"/>
  <c r="AH300" i="2"/>
  <c r="AH301" i="2"/>
  <c r="AH302" i="2"/>
  <c r="AH303" i="2"/>
  <c r="AH304" i="2"/>
  <c r="AH305" i="2"/>
  <c r="AK25" i="3"/>
  <c r="AW15" i="3"/>
  <c r="AJ264" i="1"/>
  <c r="AS255" i="1"/>
  <c r="AP255" i="1"/>
  <c r="AP244" i="1"/>
  <c r="AP236" i="1"/>
  <c r="AS236" i="1"/>
  <c r="AS235" i="1"/>
  <c r="AP235" i="1"/>
  <c r="AJ224" i="1"/>
  <c r="AP224" i="1"/>
  <c r="AP213" i="1"/>
  <c r="AJ213" i="1"/>
  <c r="AP211" i="1"/>
  <c r="AS210" i="1"/>
  <c r="AP210" i="1"/>
  <c r="AJ191" i="1"/>
  <c r="AP189" i="1"/>
  <c r="AP188" i="1"/>
  <c r="AP180" i="1"/>
  <c r="AP169" i="1"/>
  <c r="AJ169" i="1"/>
  <c r="AJ148" i="1"/>
  <c r="T147" i="1"/>
  <c r="AE147" i="1" s="1"/>
  <c r="AS117" i="1"/>
  <c r="AS116" i="1"/>
  <c r="U264" i="1"/>
  <c r="U169" i="1"/>
  <c r="U202" i="1"/>
  <c r="U245" i="1"/>
  <c r="U328" i="1"/>
  <c r="U224" i="1"/>
  <c r="U297" i="1"/>
  <c r="U273" i="1"/>
  <c r="U236" i="1"/>
  <c r="U310" i="1"/>
  <c r="U148" i="1"/>
  <c r="U180" i="1"/>
  <c r="U285" i="1"/>
  <c r="T16" i="1"/>
  <c r="AE17" i="1" s="1"/>
  <c r="AD16" i="4" l="1"/>
  <c r="AD7" i="4"/>
  <c r="AF301" i="1"/>
  <c r="AE274" i="1"/>
  <c r="AE301" i="1"/>
  <c r="AE300" i="1"/>
  <c r="AF341" i="1"/>
  <c r="AF302" i="1"/>
  <c r="AE224" i="1"/>
  <c r="AF342" i="1"/>
  <c r="AE312" i="1"/>
  <c r="AE277" i="1"/>
  <c r="AF299" i="1"/>
  <c r="AE311" i="1"/>
  <c r="AE276" i="1"/>
  <c r="AE275" i="1"/>
  <c r="AE244" i="1"/>
  <c r="AE333" i="1"/>
  <c r="AE253" i="1"/>
  <c r="AE247" i="1"/>
  <c r="AE188" i="1"/>
  <c r="AE255" i="1"/>
  <c r="AF333" i="1"/>
  <c r="AE190" i="1"/>
  <c r="AE204" i="1"/>
  <c r="AE210" i="1"/>
  <c r="AE341" i="1"/>
  <c r="AF300" i="1"/>
  <c r="AE189" i="1"/>
  <c r="AE203" i="1"/>
  <c r="AE223" i="1"/>
  <c r="AE299" i="1"/>
  <c r="AE202" i="1"/>
  <c r="AE212" i="1"/>
  <c r="AE226" i="1"/>
  <c r="AE246" i="1"/>
  <c r="AE213" i="1"/>
  <c r="G194" i="4"/>
  <c r="F250" i="4"/>
  <c r="F237" i="4"/>
  <c r="F216" i="4"/>
  <c r="AD17" i="4"/>
  <c r="AC17" i="4"/>
  <c r="F168" i="4"/>
  <c r="F139" i="4"/>
  <c r="G109" i="4"/>
  <c r="AC6" i="4"/>
  <c r="AD6" i="4"/>
  <c r="G80" i="4"/>
  <c r="F50" i="4"/>
  <c r="F9" i="4"/>
  <c r="G19" i="4"/>
  <c r="F3" i="4"/>
  <c r="AF288" i="1"/>
  <c r="AE288" i="1"/>
  <c r="AE263" i="1"/>
  <c r="H336" i="1"/>
  <c r="AE181" i="1"/>
  <c r="AF287" i="1"/>
  <c r="AE235" i="1"/>
  <c r="AE180" i="1"/>
  <c r="AE148" i="1"/>
  <c r="AE16" i="1"/>
  <c r="AP167" i="1" l="1"/>
  <c r="AJ167" i="1"/>
  <c r="AJ156" i="1"/>
  <c r="AJ155" i="1"/>
  <c r="AJ147" i="1"/>
  <c r="AP132" i="1"/>
  <c r="AP131" i="1"/>
  <c r="AJ131" i="1"/>
  <c r="AJ132" i="1"/>
  <c r="AJ130" i="1"/>
  <c r="AJ129" i="1"/>
  <c r="AP117" i="1"/>
  <c r="AP116" i="1"/>
  <c r="AP102" i="1"/>
  <c r="AJ102" i="1"/>
  <c r="AP101" i="1"/>
  <c r="AP86" i="1"/>
  <c r="AJ86" i="1"/>
  <c r="AP85" i="1"/>
  <c r="AJ85" i="1"/>
  <c r="AJ69" i="1"/>
  <c r="AJ68" i="1"/>
  <c r="AJ67" i="1"/>
  <c r="AJ66" i="1"/>
  <c r="AJ65" i="1"/>
  <c r="AJ64" i="1"/>
  <c r="AJ63" i="1"/>
  <c r="AS53" i="1"/>
  <c r="AS52" i="1"/>
  <c r="AP53" i="1"/>
  <c r="AP52" i="1"/>
  <c r="AJ36" i="1"/>
  <c r="AP36" i="1"/>
  <c r="AP35" i="1"/>
  <c r="AJ35" i="1"/>
  <c r="AP17" i="1"/>
  <c r="AJ17" i="1"/>
  <c r="AJ16" i="1"/>
  <c r="AT15" i="3"/>
  <c r="AH25" i="3"/>
  <c r="U327" i="1"/>
  <c r="U168" i="1"/>
  <c r="U272" i="1"/>
  <c r="U244" i="1"/>
  <c r="U235" i="1"/>
  <c r="U263" i="1"/>
  <c r="U284" i="1"/>
  <c r="U309" i="1"/>
  <c r="U223" i="1"/>
  <c r="U179" i="1"/>
  <c r="U296" i="1"/>
  <c r="U255" i="1"/>
  <c r="U201" i="1"/>
  <c r="U147" i="1"/>
  <c r="AE25" i="3"/>
  <c r="AQ15" i="3"/>
  <c r="U262" i="1"/>
  <c r="U222" i="1"/>
  <c r="U326" i="1"/>
  <c r="U254" i="1"/>
  <c r="U191" i="1"/>
  <c r="U167" i="1"/>
  <c r="U243" i="1"/>
  <c r="U200" i="1"/>
  <c r="U213" i="1"/>
  <c r="U132" i="1"/>
  <c r="U234" i="1"/>
  <c r="U308" i="1"/>
  <c r="U146" i="1"/>
  <c r="U271" i="1"/>
  <c r="U295" i="1"/>
  <c r="U283" i="1"/>
  <c r="U178" i="1"/>
  <c r="T34" i="1"/>
  <c r="AE34" i="1" s="1"/>
  <c r="AB25" i="3"/>
  <c r="AN15" i="3"/>
  <c r="AQ13" i="3"/>
  <c r="AQ14" i="3"/>
  <c r="U199" i="1"/>
  <c r="U242" i="1"/>
  <c r="U282" i="1"/>
  <c r="U212" i="1"/>
  <c r="U307" i="1"/>
  <c r="U261" i="1"/>
  <c r="U177" i="1"/>
  <c r="U253" i="1"/>
  <c r="U294" i="1"/>
  <c r="U190" i="1"/>
  <c r="U145" i="1"/>
  <c r="U131" i="1"/>
  <c r="U166" i="1"/>
  <c r="U325" i="1"/>
  <c r="U221" i="1"/>
  <c r="U233" i="1"/>
  <c r="U270" i="1"/>
  <c r="U315" i="1"/>
  <c r="T155" i="1"/>
  <c r="T129" i="1"/>
  <c r="AE130" i="1" s="1"/>
  <c r="T116" i="1"/>
  <c r="AE117" i="1" s="1"/>
  <c r="T100" i="1"/>
  <c r="AE100" i="1" s="1"/>
  <c r="T85" i="1"/>
  <c r="AE86" i="1" s="1"/>
  <c r="T63" i="1"/>
  <c r="AE64" i="1" s="1"/>
  <c r="T52" i="1"/>
  <c r="AE53" i="1" s="1"/>
  <c r="U292" i="1"/>
  <c r="U293" i="1"/>
  <c r="U156" i="1"/>
  <c r="U269" i="1"/>
  <c r="U232" i="1"/>
  <c r="U241" i="1"/>
  <c r="U189" i="1"/>
  <c r="U220" i="1"/>
  <c r="U176" i="1"/>
  <c r="U165" i="1"/>
  <c r="U211" i="1"/>
  <c r="U144" i="1"/>
  <c r="U252" i="1"/>
  <c r="U281" i="1"/>
  <c r="U324" i="1"/>
  <c r="AD324" i="1" s="1"/>
  <c r="U323" i="1"/>
  <c r="U198" i="1"/>
  <c r="U117" i="1"/>
  <c r="U130" i="1"/>
  <c r="U306" i="1"/>
  <c r="U259" i="1"/>
  <c r="U260" i="1"/>
  <c r="U258" i="1"/>
  <c r="P29" i="3"/>
  <c r="P28" i="3"/>
  <c r="P27" i="3"/>
  <c r="P26" i="3"/>
  <c r="Y17" i="3"/>
  <c r="Y18" i="3"/>
  <c r="Y19" i="3"/>
  <c r="Y20" i="3"/>
  <c r="Y21" i="3"/>
  <c r="Y22" i="3"/>
  <c r="Y23" i="3"/>
  <c r="Y24" i="3"/>
  <c r="Y25" i="3"/>
  <c r="AK15" i="3"/>
  <c r="AN14" i="3"/>
  <c r="AN13" i="3"/>
  <c r="AQ12" i="3"/>
  <c r="AW11" i="3"/>
  <c r="AW10" i="3"/>
  <c r="AZ5" i="3"/>
  <c r="AZ6" i="3"/>
  <c r="AZ7" i="3"/>
  <c r="AZ8" i="3"/>
  <c r="AZ9" i="3"/>
  <c r="AZ4" i="3"/>
  <c r="E323" i="1"/>
  <c r="H323" i="1" s="1"/>
  <c r="M29" i="3"/>
  <c r="M28" i="3"/>
  <c r="M27" i="3"/>
  <c r="M26" i="3"/>
  <c r="V17" i="3"/>
  <c r="V18" i="3"/>
  <c r="V19" i="3"/>
  <c r="V20" i="3"/>
  <c r="V21" i="3"/>
  <c r="V22" i="3"/>
  <c r="V23" i="3"/>
  <c r="V24" i="3"/>
  <c r="V25" i="3"/>
  <c r="AH15" i="3"/>
  <c r="AK14" i="3"/>
  <c r="AK13" i="3"/>
  <c r="AN12" i="3"/>
  <c r="AT11" i="3"/>
  <c r="AT10" i="3"/>
  <c r="AW5" i="3"/>
  <c r="AW6" i="3"/>
  <c r="AW7" i="3"/>
  <c r="AW8" i="3"/>
  <c r="AW9" i="3"/>
  <c r="AW4" i="3"/>
  <c r="AT4" i="3"/>
  <c r="U314" i="1"/>
  <c r="U305" i="1"/>
  <c r="AD306" i="1" s="1"/>
  <c r="U304" i="1"/>
  <c r="U291" i="1"/>
  <c r="AD293" i="1" s="1"/>
  <c r="U290" i="1"/>
  <c r="U280" i="1"/>
  <c r="AD281" i="1" s="1"/>
  <c r="U279" i="1"/>
  <c r="U251" i="1"/>
  <c r="U250" i="1"/>
  <c r="U249" i="1"/>
  <c r="U164" i="1"/>
  <c r="U268" i="1"/>
  <c r="U129" i="1"/>
  <c r="U175" i="1"/>
  <c r="U240" i="1"/>
  <c r="U102" i="1"/>
  <c r="U188" i="1"/>
  <c r="U219" i="1"/>
  <c r="U210" i="1"/>
  <c r="U36" i="1"/>
  <c r="U155" i="1"/>
  <c r="U116" i="1"/>
  <c r="U231" i="1"/>
  <c r="U197" i="1"/>
  <c r="U143" i="1"/>
  <c r="AD174" i="1"/>
  <c r="E304" i="1"/>
  <c r="H304" i="1" s="1"/>
  <c r="E314" i="1"/>
  <c r="H314" i="1" s="1"/>
  <c r="AD250" i="1"/>
  <c r="AD230" i="1"/>
  <c r="AD217" i="1"/>
  <c r="AD206" i="1"/>
  <c r="AD193" i="1"/>
  <c r="AD184" i="1"/>
  <c r="U163" i="1"/>
  <c r="U154" i="1"/>
  <c r="U101" i="1"/>
  <c r="AD239" i="1"/>
  <c r="U239" i="1"/>
  <c r="U238" i="1"/>
  <c r="U35" i="1"/>
  <c r="U209" i="1"/>
  <c r="U174" i="1"/>
  <c r="J29" i="3"/>
  <c r="J28" i="3"/>
  <c r="J27" i="3"/>
  <c r="J26" i="3"/>
  <c r="S17" i="3"/>
  <c r="S18" i="3"/>
  <c r="S19" i="3"/>
  <c r="S20" i="3"/>
  <c r="S21" i="3"/>
  <c r="S22" i="3"/>
  <c r="S23" i="3"/>
  <c r="S24" i="3"/>
  <c r="S25" i="3"/>
  <c r="AE15" i="3"/>
  <c r="AH14" i="3"/>
  <c r="AH13" i="3"/>
  <c r="AK12" i="3"/>
  <c r="AQ11" i="3"/>
  <c r="AQ10" i="3"/>
  <c r="AT6" i="3"/>
  <c r="AT7" i="3"/>
  <c r="AT8" i="3"/>
  <c r="AT9" i="3"/>
  <c r="AT5" i="3"/>
  <c r="U218" i="1"/>
  <c r="U142" i="1"/>
  <c r="U196" i="1"/>
  <c r="U230" i="1"/>
  <c r="U128" i="1"/>
  <c r="U53" i="1"/>
  <c r="U86" i="1"/>
  <c r="U267" i="1"/>
  <c r="U266" i="1"/>
  <c r="U115" i="1"/>
  <c r="U187" i="1"/>
  <c r="G27" i="3"/>
  <c r="G28" i="3"/>
  <c r="G29" i="3"/>
  <c r="G26" i="3"/>
  <c r="P17" i="3"/>
  <c r="P18" i="3"/>
  <c r="P19" i="3"/>
  <c r="P20" i="3"/>
  <c r="P21" i="3"/>
  <c r="P22" i="3"/>
  <c r="P23" i="3"/>
  <c r="P24" i="3"/>
  <c r="P25" i="3"/>
  <c r="AB15" i="3"/>
  <c r="AE14" i="3"/>
  <c r="AE13" i="3"/>
  <c r="AH12" i="3"/>
  <c r="AN11" i="3"/>
  <c r="AN10" i="3"/>
  <c r="AQ5" i="3"/>
  <c r="AQ6" i="3"/>
  <c r="AQ7" i="3"/>
  <c r="AQ8" i="3"/>
  <c r="AQ9" i="3"/>
  <c r="AQ4" i="3"/>
  <c r="E290" i="1"/>
  <c r="H290" i="1" s="1"/>
  <c r="E279" i="1"/>
  <c r="G279" i="1" s="1"/>
  <c r="E258" i="1"/>
  <c r="H258" i="1" s="1"/>
  <c r="E266" i="1"/>
  <c r="G266" i="1" s="1"/>
  <c r="E249" i="1"/>
  <c r="H249" i="1" s="1"/>
  <c r="U186" i="1"/>
  <c r="U69" i="1"/>
  <c r="U162" i="1"/>
  <c r="U52" i="1"/>
  <c r="U17" i="1"/>
  <c r="U208" i="1"/>
  <c r="U114" i="1"/>
  <c r="U34" i="1"/>
  <c r="U173" i="1"/>
  <c r="U229" i="1"/>
  <c r="U153" i="1"/>
  <c r="U85" i="1"/>
  <c r="U100" i="1"/>
  <c r="U127" i="1"/>
  <c r="U195" i="1"/>
  <c r="U217" i="1"/>
  <c r="U141" i="1"/>
  <c r="M17" i="3"/>
  <c r="M18" i="3"/>
  <c r="M19" i="3"/>
  <c r="M20" i="3"/>
  <c r="M21" i="3"/>
  <c r="M22" i="3"/>
  <c r="M23" i="3"/>
  <c r="M24" i="3"/>
  <c r="M25" i="3"/>
  <c r="Y15" i="3"/>
  <c r="AB14" i="3"/>
  <c r="AB13" i="3"/>
  <c r="AE12" i="3"/>
  <c r="AK11" i="3"/>
  <c r="AK10" i="3"/>
  <c r="AN5" i="3"/>
  <c r="AN6" i="3"/>
  <c r="AN7" i="3"/>
  <c r="AN8" i="3"/>
  <c r="AN9" i="3"/>
  <c r="AN4" i="3"/>
  <c r="E238" i="1"/>
  <c r="G238" i="1" s="1"/>
  <c r="E228" i="1"/>
  <c r="G228" i="1" s="1"/>
  <c r="U228" i="1"/>
  <c r="U216" i="1"/>
  <c r="U215" i="1"/>
  <c r="U194" i="1"/>
  <c r="U193" i="1"/>
  <c r="U207" i="1"/>
  <c r="U206" i="1"/>
  <c r="U51" i="1"/>
  <c r="U84" i="1"/>
  <c r="U99" i="1"/>
  <c r="U33" i="1"/>
  <c r="U152" i="1"/>
  <c r="AD161" i="1"/>
  <c r="U161" i="1"/>
  <c r="U68" i="1"/>
  <c r="U172" i="1"/>
  <c r="U171" i="1"/>
  <c r="U113" i="1"/>
  <c r="U126" i="1"/>
  <c r="U16" i="1"/>
  <c r="U140" i="1"/>
  <c r="J17" i="3"/>
  <c r="J18" i="3"/>
  <c r="J19" i="3"/>
  <c r="J20" i="3"/>
  <c r="J21" i="3"/>
  <c r="J22" i="3"/>
  <c r="J23" i="3"/>
  <c r="J24" i="3"/>
  <c r="J25" i="3"/>
  <c r="V15" i="3"/>
  <c r="Y14" i="3"/>
  <c r="Y13" i="3"/>
  <c r="AB12" i="3"/>
  <c r="AH11" i="3"/>
  <c r="AH10" i="3"/>
  <c r="AK5" i="3"/>
  <c r="AK6" i="3"/>
  <c r="AK7" i="3"/>
  <c r="AK8" i="3"/>
  <c r="AK9" i="3"/>
  <c r="AK4" i="3"/>
  <c r="AF210" i="1" l="1"/>
  <c r="AF211" i="1"/>
  <c r="AF212" i="1"/>
  <c r="AF213" i="1"/>
  <c r="AF254" i="1"/>
  <c r="AF253" i="1"/>
  <c r="AF255" i="1"/>
  <c r="AF190" i="1"/>
  <c r="AF191" i="1"/>
  <c r="AF188" i="1"/>
  <c r="AF189" i="1"/>
  <c r="AF204" i="1"/>
  <c r="AF201" i="1"/>
  <c r="AF202" i="1"/>
  <c r="AF203" i="1"/>
  <c r="AF245" i="1"/>
  <c r="AF246" i="1"/>
  <c r="AF244" i="1"/>
  <c r="AF247" i="1"/>
  <c r="AF168" i="1"/>
  <c r="AF169" i="1"/>
  <c r="AF167" i="1"/>
  <c r="AF274" i="1"/>
  <c r="AF275" i="1"/>
  <c r="AF277" i="1"/>
  <c r="AF276" i="1"/>
  <c r="AF273" i="1"/>
  <c r="AF225" i="1"/>
  <c r="AF224" i="1"/>
  <c r="AF226" i="1"/>
  <c r="AF223" i="1"/>
  <c r="AF312" i="1"/>
  <c r="AF311" i="1"/>
  <c r="AF310" i="1"/>
  <c r="AF236" i="1"/>
  <c r="AF235" i="1"/>
  <c r="AE156" i="1"/>
  <c r="AE155" i="1"/>
  <c r="AF264" i="1"/>
  <c r="AF263" i="1"/>
  <c r="AF181" i="1"/>
  <c r="AF182" i="1"/>
  <c r="AF180" i="1"/>
  <c r="AF130" i="1"/>
  <c r="AF147" i="1"/>
  <c r="AF148" i="1"/>
  <c r="AF53" i="1"/>
  <c r="AE131" i="1"/>
  <c r="AF35" i="1"/>
  <c r="AF132" i="1"/>
  <c r="AF131" i="1"/>
  <c r="AF129" i="1"/>
  <c r="AE129" i="1"/>
  <c r="AE132" i="1"/>
  <c r="AF156" i="1"/>
  <c r="AE36" i="1"/>
  <c r="AE35" i="1"/>
  <c r="AD280" i="1"/>
  <c r="AF34" i="1"/>
  <c r="AF36" i="1"/>
  <c r="AF100" i="1"/>
  <c r="AF52" i="1"/>
  <c r="AF155" i="1"/>
  <c r="AD291" i="1"/>
  <c r="AF101" i="1"/>
  <c r="AE68" i="1"/>
  <c r="AE116" i="1"/>
  <c r="AF86" i="1"/>
  <c r="AF117" i="1"/>
  <c r="AE102" i="1"/>
  <c r="AD305" i="1"/>
  <c r="AE101" i="1"/>
  <c r="AF102" i="1"/>
  <c r="AF85" i="1"/>
  <c r="AF116" i="1"/>
  <c r="AE69" i="1"/>
  <c r="AE85" i="1"/>
  <c r="AE63" i="1"/>
  <c r="AE67" i="1"/>
  <c r="AE52" i="1"/>
  <c r="AE66" i="1"/>
  <c r="AE65" i="1"/>
  <c r="G323" i="1"/>
  <c r="G314" i="1"/>
  <c r="H266" i="1"/>
  <c r="H279" i="1"/>
  <c r="G304" i="1"/>
  <c r="G290" i="1"/>
  <c r="G258" i="1"/>
  <c r="G249" i="1"/>
  <c r="H238" i="1"/>
  <c r="H228" i="1"/>
  <c r="U67" i="1"/>
  <c r="U160" i="1"/>
  <c r="U159" i="1"/>
  <c r="U15" i="1"/>
  <c r="U32" i="1"/>
  <c r="U98" i="1"/>
  <c r="U50" i="1"/>
  <c r="U139" i="1"/>
  <c r="U185" i="1"/>
  <c r="U184" i="1"/>
  <c r="U83" i="1"/>
  <c r="U112" i="1"/>
  <c r="U125" i="1"/>
  <c r="U151" i="1"/>
  <c r="U150" i="1"/>
  <c r="G22" i="3"/>
  <c r="G23" i="3"/>
  <c r="G24" i="3"/>
  <c r="G25" i="3"/>
  <c r="G17" i="3"/>
  <c r="G18" i="3"/>
  <c r="G19" i="3"/>
  <c r="G20" i="3"/>
  <c r="G21" i="3"/>
  <c r="S15" i="3"/>
  <c r="V14" i="3"/>
  <c r="V13" i="3"/>
  <c r="Y12" i="3"/>
  <c r="AE11" i="3"/>
  <c r="AE10" i="3"/>
  <c r="AH5" i="3"/>
  <c r="AH6" i="3"/>
  <c r="AH7" i="3"/>
  <c r="AH8" i="3"/>
  <c r="AH9" i="3"/>
  <c r="AH4" i="3"/>
  <c r="AF16" i="1" l="1"/>
  <c r="AF17" i="1"/>
  <c r="E215" i="1"/>
  <c r="H215" i="1" s="1"/>
  <c r="E159" i="1"/>
  <c r="G159" i="1" s="1"/>
  <c r="E184" i="1"/>
  <c r="H184" i="1" s="1"/>
  <c r="U31" i="1"/>
  <c r="U111" i="1"/>
  <c r="U82" i="1"/>
  <c r="U66" i="1"/>
  <c r="U49" i="1"/>
  <c r="U97" i="1"/>
  <c r="U138" i="1"/>
  <c r="U14" i="1"/>
  <c r="U124" i="1"/>
  <c r="P15" i="3"/>
  <c r="S14" i="3"/>
  <c r="S13" i="3"/>
  <c r="V12" i="3"/>
  <c r="AB11" i="3"/>
  <c r="AB10" i="3"/>
  <c r="AE5" i="3"/>
  <c r="AE6" i="3"/>
  <c r="AE7" i="3"/>
  <c r="AE8" i="3"/>
  <c r="AE9" i="3"/>
  <c r="AE4" i="3"/>
  <c r="E206" i="1"/>
  <c r="G206" i="1" s="1"/>
  <c r="E193" i="1"/>
  <c r="H193" i="1" s="1"/>
  <c r="E171" i="1"/>
  <c r="G171" i="1" s="1"/>
  <c r="E150" i="1"/>
  <c r="G150" i="1" s="1"/>
  <c r="U81" i="1"/>
  <c r="U65" i="1"/>
  <c r="U30" i="1"/>
  <c r="U13" i="1"/>
  <c r="U123" i="1"/>
  <c r="U48" i="1"/>
  <c r="U96" i="1"/>
  <c r="U110" i="1"/>
  <c r="M15" i="3"/>
  <c r="P14" i="3"/>
  <c r="P13" i="3"/>
  <c r="S12" i="3"/>
  <c r="Y11" i="3"/>
  <c r="Y10" i="3"/>
  <c r="AB5" i="3"/>
  <c r="AB6" i="3"/>
  <c r="AB7" i="3"/>
  <c r="AB8" i="3"/>
  <c r="AB9" i="3"/>
  <c r="AB4" i="3"/>
  <c r="U29" i="1"/>
  <c r="U47" i="1"/>
  <c r="U12" i="1"/>
  <c r="U95" i="1"/>
  <c r="U64" i="1"/>
  <c r="U109" i="1"/>
  <c r="E20" i="1"/>
  <c r="G20" i="1" s="1"/>
  <c r="E38" i="1"/>
  <c r="G38" i="1" s="1"/>
  <c r="E55" i="1"/>
  <c r="G55" i="1" s="1"/>
  <c r="E71" i="1"/>
  <c r="G71" i="1" s="1"/>
  <c r="E89" i="1"/>
  <c r="G89" i="1" s="1"/>
  <c r="E104" i="1"/>
  <c r="G104" i="1" s="1"/>
  <c r="E119" i="1"/>
  <c r="H119" i="1" s="1"/>
  <c r="E134" i="1"/>
  <c r="G134" i="1" s="1"/>
  <c r="J15" i="3"/>
  <c r="M14" i="3"/>
  <c r="M13" i="3"/>
  <c r="P12" i="3"/>
  <c r="V11" i="3"/>
  <c r="V10" i="3"/>
  <c r="Y5" i="3"/>
  <c r="Y6" i="3"/>
  <c r="Y7" i="3"/>
  <c r="Y8" i="3"/>
  <c r="Y9" i="3"/>
  <c r="Y4" i="3"/>
  <c r="E3" i="1"/>
  <c r="H3" i="1" s="1"/>
  <c r="U63" i="1"/>
  <c r="U135" i="1"/>
  <c r="U136" i="1"/>
  <c r="U137" i="1"/>
  <c r="U94" i="1"/>
  <c r="U28" i="1"/>
  <c r="U11" i="1"/>
  <c r="G15" i="3"/>
  <c r="V8" i="3"/>
  <c r="V9" i="3"/>
  <c r="V5" i="3"/>
  <c r="V6" i="3"/>
  <c r="V7" i="3"/>
  <c r="V4" i="3"/>
  <c r="J14" i="3"/>
  <c r="J13" i="3"/>
  <c r="M12" i="3"/>
  <c r="S11" i="3"/>
  <c r="S10" i="3"/>
  <c r="U10" i="1"/>
  <c r="U134" i="1"/>
  <c r="U93" i="1"/>
  <c r="U107" i="1"/>
  <c r="U108" i="1"/>
  <c r="U120" i="1"/>
  <c r="U121" i="1"/>
  <c r="U122" i="1"/>
  <c r="G13" i="3"/>
  <c r="G14" i="3"/>
  <c r="J12" i="3"/>
  <c r="P11" i="3"/>
  <c r="P10" i="3"/>
  <c r="S4" i="3"/>
  <c r="S5" i="3"/>
  <c r="S6" i="3"/>
  <c r="S7" i="3"/>
  <c r="S8" i="3"/>
  <c r="S9" i="3"/>
  <c r="U92" i="1"/>
  <c r="G12" i="3"/>
  <c r="M11" i="3"/>
  <c r="M10" i="3"/>
  <c r="P7" i="3"/>
  <c r="P8" i="3"/>
  <c r="P9" i="3"/>
  <c r="P3" i="3"/>
  <c r="P5" i="3"/>
  <c r="P6" i="3"/>
  <c r="U72" i="1"/>
  <c r="U106" i="1"/>
  <c r="U105" i="1"/>
  <c r="U104" i="1"/>
  <c r="U91" i="1"/>
  <c r="M4" i="3"/>
  <c r="M5" i="3"/>
  <c r="M6" i="3"/>
  <c r="M7" i="3"/>
  <c r="M8" i="3"/>
  <c r="M9" i="3"/>
  <c r="J11" i="3"/>
  <c r="J10" i="3"/>
  <c r="G11" i="3"/>
  <c r="G10" i="3"/>
  <c r="J6" i="3"/>
  <c r="J7" i="3"/>
  <c r="J8" i="3"/>
  <c r="J9" i="3"/>
  <c r="J5" i="3"/>
  <c r="J4" i="3"/>
  <c r="U23" i="1"/>
  <c r="AD41" i="1"/>
  <c r="U90" i="1"/>
  <c r="U89" i="1"/>
  <c r="U73" i="1"/>
  <c r="U74" i="1"/>
  <c r="U75" i="1"/>
  <c r="U76" i="1"/>
  <c r="U77" i="1"/>
  <c r="U78" i="1"/>
  <c r="U79" i="1"/>
  <c r="U80" i="1"/>
  <c r="U56" i="1"/>
  <c r="U57" i="1"/>
  <c r="U58" i="1"/>
  <c r="U59" i="1"/>
  <c r="U60" i="1"/>
  <c r="U61" i="1"/>
  <c r="U62" i="1"/>
  <c r="U39" i="1"/>
  <c r="U40" i="1"/>
  <c r="U41" i="1"/>
  <c r="U42" i="1"/>
  <c r="U43" i="1"/>
  <c r="U44" i="1"/>
  <c r="U45" i="1"/>
  <c r="U46" i="1"/>
  <c r="U6" i="1"/>
  <c r="U7" i="1"/>
  <c r="U8" i="1"/>
  <c r="U9" i="1"/>
  <c r="S3" i="3"/>
  <c r="S2" i="3"/>
  <c r="P2" i="3"/>
  <c r="M3" i="3"/>
  <c r="M2" i="3"/>
  <c r="J3" i="3"/>
  <c r="J2" i="3"/>
  <c r="G4" i="3"/>
  <c r="G3" i="3"/>
  <c r="G9" i="3"/>
  <c r="G6" i="3"/>
  <c r="G7" i="3"/>
  <c r="G8" i="3"/>
  <c r="G5" i="3"/>
  <c r="U38" i="1"/>
  <c r="U55" i="1"/>
  <c r="U71" i="1"/>
  <c r="U3" i="1"/>
  <c r="U24" i="1"/>
  <c r="U25" i="1"/>
  <c r="U26" i="1"/>
  <c r="U27" i="1"/>
  <c r="U21" i="1"/>
  <c r="U22" i="1"/>
  <c r="U20" i="1"/>
  <c r="U5" i="1"/>
  <c r="U4" i="1"/>
  <c r="AF65" i="1" l="1"/>
  <c r="AF68" i="1"/>
  <c r="AF69" i="1"/>
  <c r="AF63" i="1"/>
  <c r="AF66" i="1"/>
  <c r="AF67" i="1"/>
  <c r="AF64" i="1"/>
  <c r="G215" i="1"/>
  <c r="H159" i="1"/>
  <c r="G184" i="1"/>
  <c r="G193" i="1"/>
  <c r="H206" i="1"/>
  <c r="H171" i="1"/>
  <c r="H150" i="1"/>
  <c r="H20" i="1"/>
  <c r="G119" i="1"/>
  <c r="H104" i="1"/>
  <c r="H71" i="1"/>
  <c r="H55" i="1"/>
  <c r="G3" i="1"/>
  <c r="H89" i="1"/>
  <c r="H134" i="1"/>
  <c r="H38" i="1"/>
  <c r="BE5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<sst xmlns="http://schemas.openxmlformats.org/spreadsheetml/2006/main" count="9855" uniqueCount="1192">
  <si>
    <t>n</t>
  </si>
  <si>
    <t>ID capo</t>
  </si>
  <si>
    <t>Data parto</t>
  </si>
  <si>
    <t>Altre note</t>
  </si>
  <si>
    <t>Note al parto (normale,lieve assistenza e distocico)</t>
  </si>
  <si>
    <t>Sesso agnello1 (M/F)</t>
  </si>
  <si>
    <t>Sesso agnello2 (M/F)</t>
  </si>
  <si>
    <t>Data di nascita</t>
  </si>
  <si>
    <t>ID agnello 1</t>
  </si>
  <si>
    <t>ID agnello 2</t>
  </si>
  <si>
    <t>M</t>
  </si>
  <si>
    <t>F</t>
  </si>
  <si>
    <t>Peso agnello1 (Kg)</t>
  </si>
  <si>
    <t>Peso agnello2 (Kg)</t>
  </si>
  <si>
    <t>ID agnello</t>
  </si>
  <si>
    <t>Peso alla nascita (Kg)</t>
  </si>
  <si>
    <t>Peso 1 (Kg)</t>
  </si>
  <si>
    <t>Peso 2 (Kg)</t>
  </si>
  <si>
    <t>Peso 3 (Kg)</t>
  </si>
  <si>
    <t>Peso 4(Kg)</t>
  </si>
  <si>
    <t>Peso 5(Kg)</t>
  </si>
  <si>
    <t>Peso 6 (Kg)</t>
  </si>
  <si>
    <t>Peso 8 (Kg)</t>
  </si>
  <si>
    <t>Peso 7  (Kg)</t>
  </si>
  <si>
    <t>IPG (Kg/gg)</t>
  </si>
  <si>
    <t>IPG     (Kg/gg)</t>
  </si>
  <si>
    <t>IPG   (Kg/gg)</t>
  </si>
  <si>
    <t>IPG  (Kg/gg)</t>
  </si>
  <si>
    <t>Ovaio SX</t>
  </si>
  <si>
    <t>Ovaio DX</t>
  </si>
  <si>
    <t>RI</t>
  </si>
  <si>
    <t>PI</t>
  </si>
  <si>
    <t>S/D</t>
  </si>
  <si>
    <t>Giorni PP rilevazione ovaie</t>
  </si>
  <si>
    <t>Note</t>
  </si>
  <si>
    <t>IT090002571707</t>
  </si>
  <si>
    <t>IT090002571710</t>
  </si>
  <si>
    <t>IT090003620624</t>
  </si>
  <si>
    <t>IT090003400215</t>
  </si>
  <si>
    <t>Data ecografia</t>
  </si>
  <si>
    <t>Ecografia Bianco Nero</t>
  </si>
  <si>
    <t>Ecografia Doppler</t>
  </si>
  <si>
    <t>Vascolarizzazione visibile? (Si/No)</t>
  </si>
  <si>
    <t>Totale spessore parete uterina</t>
  </si>
  <si>
    <t xml:space="preserve">Spessore Endometrio </t>
  </si>
  <si>
    <t>Diametro Lume uterino se visibile</t>
  </si>
  <si>
    <t>Data prima Ovulazione PP</t>
  </si>
  <si>
    <t>Giorni PP prima ovulazione evidente</t>
  </si>
  <si>
    <t>Heart Rate</t>
  </si>
  <si>
    <t>GG dal parto</t>
  </si>
  <si>
    <t>No</t>
  </si>
  <si>
    <t>Diametro del lume uterino difficile da misurare, quasi non visibile</t>
  </si>
  <si>
    <t>Sì</t>
  </si>
  <si>
    <t>Misure incerte</t>
  </si>
  <si>
    <t>IT090002716118</t>
  </si>
  <si>
    <t>/</t>
  </si>
  <si>
    <t>UHD (Massimo diametro utero) segnare quando si usa Mconvex</t>
  </si>
  <si>
    <t>41,27 Mconvex</t>
  </si>
  <si>
    <t>VTI (velocity time integral)</t>
  </si>
  <si>
    <t>Angolo misurazione</t>
  </si>
  <si>
    <r>
      <t>EDV/Ve</t>
    </r>
    <r>
      <rPr>
        <sz val="11"/>
        <color theme="1"/>
        <rFont val="Aptos Narrow"/>
        <family val="2"/>
        <scheme val="minor"/>
      </rPr>
      <t xml:space="preserve"> cm/s</t>
    </r>
  </si>
  <si>
    <r>
      <t xml:space="preserve">PSV/Vp </t>
    </r>
    <r>
      <rPr>
        <sz val="11"/>
        <color theme="1"/>
        <rFont val="Aptos Narrow"/>
        <family val="2"/>
        <scheme val="minor"/>
      </rPr>
      <t>cm/s</t>
    </r>
  </si>
  <si>
    <r>
      <t xml:space="preserve">BFV/Vm (velocità media flusso) </t>
    </r>
    <r>
      <rPr>
        <sz val="11"/>
        <color theme="1"/>
        <rFont val="Aptos Narrow"/>
        <family val="2"/>
        <scheme val="minor"/>
      </rPr>
      <t>cm/s</t>
    </r>
  </si>
  <si>
    <r>
      <t xml:space="preserve">EnvTi (tempo di inviluppo) </t>
    </r>
    <r>
      <rPr>
        <sz val="11"/>
        <color theme="1"/>
        <rFont val="Aptos Narrow"/>
        <family val="2"/>
        <scheme val="minor"/>
      </rPr>
      <t>s</t>
    </r>
  </si>
  <si>
    <r>
      <t xml:space="preserve">PPG (grad. pressorio picco-picco) </t>
    </r>
    <r>
      <rPr>
        <sz val="11"/>
        <color theme="1"/>
        <rFont val="Aptos Narrow"/>
        <family val="2"/>
        <scheme val="minor"/>
      </rPr>
      <t>mmHg</t>
    </r>
  </si>
  <si>
    <r>
      <t xml:space="preserve">EPG (grad. pressorio fine diastole) </t>
    </r>
    <r>
      <rPr>
        <sz val="11"/>
        <color theme="1"/>
        <rFont val="Aptos Narrow"/>
        <family val="2"/>
        <scheme val="minor"/>
      </rPr>
      <t>mmHg</t>
    </r>
  </si>
  <si>
    <r>
      <t xml:space="preserve">MPG (grad. pressorio medio) </t>
    </r>
    <r>
      <rPr>
        <sz val="11"/>
        <color theme="1"/>
        <rFont val="Aptos Narrow"/>
        <family val="2"/>
        <scheme val="minor"/>
      </rPr>
      <t>mmHg</t>
    </r>
  </si>
  <si>
    <t>L'utero grande. GPP</t>
  </si>
  <si>
    <t>Data peso 1</t>
  </si>
  <si>
    <t>Data peso 2</t>
  </si>
  <si>
    <t xml:space="preserve"> Data peso 3</t>
  </si>
  <si>
    <t>Data peso 4</t>
  </si>
  <si>
    <t>Data peso 5</t>
  </si>
  <si>
    <t>Data peso 6</t>
  </si>
  <si>
    <t>Data peso 7</t>
  </si>
  <si>
    <t>Data peso 8</t>
  </si>
  <si>
    <t>Distocico con assistenza</t>
  </si>
  <si>
    <t>IT090002178962</t>
  </si>
  <si>
    <t>F3 6F2</t>
  </si>
  <si>
    <t>F4 3F2</t>
  </si>
  <si>
    <t>63,13 Mconvex</t>
  </si>
  <si>
    <t>F2</t>
  </si>
  <si>
    <t>F2,5 3F1</t>
  </si>
  <si>
    <t>3F2 5F1</t>
  </si>
  <si>
    <t xml:space="preserve">Sì </t>
  </si>
  <si>
    <t>2F2 5F1</t>
  </si>
  <si>
    <t>F4 2F2</t>
  </si>
  <si>
    <t>F3 3F1</t>
  </si>
  <si>
    <t>2F2 4F1</t>
  </si>
  <si>
    <t>inf</t>
  </si>
  <si>
    <t>Spessore Miometrio</t>
  </si>
  <si>
    <t>IT090003264624</t>
  </si>
  <si>
    <t>F4 5F1</t>
  </si>
  <si>
    <t>F3 2F2 3F1</t>
  </si>
  <si>
    <t>38,89 Mconvex</t>
  </si>
  <si>
    <t>11,19 Mconvex</t>
  </si>
  <si>
    <t>3,29 Mconvex</t>
  </si>
  <si>
    <t>10,65 Mconvex</t>
  </si>
  <si>
    <t>4F1</t>
  </si>
  <si>
    <t xml:space="preserve">F5 </t>
  </si>
  <si>
    <t>6F1</t>
  </si>
  <si>
    <t>8F1</t>
  </si>
  <si>
    <t>65,28 Mconvex</t>
  </si>
  <si>
    <t>37,19 Mconvex</t>
  </si>
  <si>
    <t>8,44 Mconvex</t>
  </si>
  <si>
    <t>24,15 Mconvex</t>
  </si>
  <si>
    <t>25,63 Mconvex</t>
  </si>
  <si>
    <t>Si</t>
  </si>
  <si>
    <t>37,05  Mconvex</t>
  </si>
  <si>
    <t>20F2</t>
  </si>
  <si>
    <t>2F2 10F1</t>
  </si>
  <si>
    <t>F3 2F1</t>
  </si>
  <si>
    <t xml:space="preserve">F6 </t>
  </si>
  <si>
    <t>F3 2F2</t>
  </si>
  <si>
    <t>20.59</t>
  </si>
  <si>
    <t>F4 F1</t>
  </si>
  <si>
    <t xml:space="preserve">F3 </t>
  </si>
  <si>
    <t>2F3 F2</t>
  </si>
  <si>
    <t>Raccolta uterina</t>
  </si>
  <si>
    <t>Grave raccolta uterina</t>
  </si>
  <si>
    <t>34,62 Mconvex</t>
  </si>
  <si>
    <t>F3 3F2 6F1</t>
  </si>
  <si>
    <t>F4 3F2 4F1</t>
  </si>
  <si>
    <t>2F4 F3 F2</t>
  </si>
  <si>
    <t>F2 4F1</t>
  </si>
  <si>
    <t>Segni di placentomi</t>
  </si>
  <si>
    <t>3F2 6F1</t>
  </si>
  <si>
    <t>12,,99</t>
  </si>
  <si>
    <t>2F4</t>
  </si>
  <si>
    <t>F3 F2 F1</t>
  </si>
  <si>
    <t>F5 2F1</t>
  </si>
  <si>
    <t>F2 3F1</t>
  </si>
  <si>
    <t>IT090003620621</t>
  </si>
  <si>
    <t>5F1</t>
  </si>
  <si>
    <t>3F1</t>
  </si>
  <si>
    <t>4F2</t>
  </si>
  <si>
    <t>IT090003400223</t>
  </si>
  <si>
    <t>F5 F3 3F1</t>
  </si>
  <si>
    <t>F5 F4 2F2 9F1</t>
  </si>
  <si>
    <t>12F1</t>
  </si>
  <si>
    <t>F6 F5 F3 F2</t>
  </si>
  <si>
    <t>Senza marca</t>
  </si>
  <si>
    <t>F5 6F1</t>
  </si>
  <si>
    <t>2F3 3F2 4F1</t>
  </si>
  <si>
    <t>Numero parti</t>
  </si>
  <si>
    <t>Si vedono ancora segni di caruncole</t>
  </si>
  <si>
    <t>F5 3F2 8F1</t>
  </si>
  <si>
    <t>mastite mammella sx, senza marca</t>
  </si>
  <si>
    <t>20F2 10F1</t>
  </si>
  <si>
    <t>1F3 3F2 6F1</t>
  </si>
  <si>
    <t>F4 F3 2F1</t>
  </si>
  <si>
    <t>F5 2F2 F4</t>
  </si>
  <si>
    <t>Endometrite</t>
  </si>
  <si>
    <t xml:space="preserve">F4 F3 </t>
  </si>
  <si>
    <t>3F2</t>
  </si>
  <si>
    <t>4F2 4F1</t>
  </si>
  <si>
    <t>2F3 F2 4F1</t>
  </si>
  <si>
    <t>F3,5 4F1</t>
  </si>
  <si>
    <t>0/L</t>
  </si>
  <si>
    <t>Età al parto (giorni)</t>
  </si>
  <si>
    <t>Età al parto (anni)</t>
  </si>
  <si>
    <t>4F2,5 20F2 10F1</t>
  </si>
  <si>
    <t>1F2,5 5F2 10F1</t>
  </si>
  <si>
    <t xml:space="preserve">F3 2F2 </t>
  </si>
  <si>
    <t xml:space="preserve">F3 5F1 </t>
  </si>
  <si>
    <t>Si vedono placentomi molto evidenti</t>
  </si>
  <si>
    <t>CL F5 F3</t>
  </si>
  <si>
    <t>F5 2F2 4F1</t>
  </si>
  <si>
    <t>2F5 F2 2F1</t>
  </si>
  <si>
    <t xml:space="preserve"> 5F2 8F1</t>
  </si>
  <si>
    <t xml:space="preserve">F4 F3 3F2 </t>
  </si>
  <si>
    <t>5F1 ?</t>
  </si>
  <si>
    <t>Ovaio SX non chiaro</t>
  </si>
  <si>
    <t>F5,5 F4 F2</t>
  </si>
  <si>
    <t>2F5</t>
  </si>
  <si>
    <t>Cysticercus tenuicollis</t>
  </si>
  <si>
    <t>Probabilmente le ovaie sono state invertite nella misurazione</t>
  </si>
  <si>
    <t>IT09003400218</t>
  </si>
  <si>
    <t>2F3 12F2 10F1</t>
  </si>
  <si>
    <t>F3,5 F3 4F2 8F1</t>
  </si>
  <si>
    <t>lieve residuo di placentomi</t>
  </si>
  <si>
    <t xml:space="preserve">3F4 </t>
  </si>
  <si>
    <t>Raccolta uterina e placentomi molto evidenti</t>
  </si>
  <si>
    <t>1F2 4F1</t>
  </si>
  <si>
    <t>2F2 3F1</t>
  </si>
  <si>
    <t>?</t>
  </si>
  <si>
    <t>F1</t>
  </si>
  <si>
    <t>CL F5 F4</t>
  </si>
  <si>
    <t>F5 3F2 5F1</t>
  </si>
  <si>
    <t>IT09003620620</t>
  </si>
  <si>
    <t>IT09003620623</t>
  </si>
  <si>
    <t>IT090002249797</t>
  </si>
  <si>
    <t xml:space="preserve">M </t>
  </si>
  <si>
    <t>IT090002396791</t>
  </si>
  <si>
    <t>IT090003264632</t>
  </si>
  <si>
    <t>Data peso 9</t>
  </si>
  <si>
    <t>Peso 9 (Kg)</t>
  </si>
  <si>
    <t>F5 F2 F1</t>
  </si>
  <si>
    <t>F5 F4 F2</t>
  </si>
  <si>
    <t>F5 F3 2F1</t>
  </si>
  <si>
    <t>3F2 4F1</t>
  </si>
  <si>
    <t xml:space="preserve">2F3,5 3F2 8F1 </t>
  </si>
  <si>
    <t>F5 2F2 12F1</t>
  </si>
  <si>
    <t>F6 3F1</t>
  </si>
  <si>
    <t>Proestro?</t>
  </si>
  <si>
    <t>CL F3  F2 F1</t>
  </si>
  <si>
    <t>F5 F4</t>
  </si>
  <si>
    <t>F5 F4 F3 3F2</t>
  </si>
  <si>
    <t>F4 2F2 3F1</t>
  </si>
  <si>
    <t>2F4 F3 3F1</t>
  </si>
  <si>
    <t>Presenti ancora placentomi ed endometrite</t>
  </si>
  <si>
    <t>IT090002571720</t>
  </si>
  <si>
    <t>Data peso 10</t>
  </si>
  <si>
    <t>Peso 10 (Kg)</t>
  </si>
  <si>
    <t>deceduto</t>
  </si>
  <si>
    <t>BCS</t>
  </si>
  <si>
    <t>16.63</t>
  </si>
  <si>
    <t>F3</t>
  </si>
  <si>
    <t>F4 2F1</t>
  </si>
  <si>
    <t>F4,5 2F4 F3 3F1</t>
  </si>
  <si>
    <t>F4 3F1</t>
  </si>
  <si>
    <t>cisticercus tenuicollis</t>
  </si>
  <si>
    <t>F6,5</t>
  </si>
  <si>
    <t>F5 2F2</t>
  </si>
  <si>
    <t>Molto edema e segni di placentoma</t>
  </si>
  <si>
    <t>F4,5 F4 F3 4F1</t>
  </si>
  <si>
    <t>F3 F2 3F1</t>
  </si>
  <si>
    <t>9F1</t>
  </si>
  <si>
    <t>2F4 2F3 F2</t>
  </si>
  <si>
    <t>F5 F3 4F2 5F1</t>
  </si>
  <si>
    <t>F5 F2,5 4F2 3F1</t>
  </si>
  <si>
    <t>2F5 F4 F3 F2</t>
  </si>
  <si>
    <t>F5 F2 2F1</t>
  </si>
  <si>
    <t>F6</t>
  </si>
  <si>
    <t>F4,5 4F2</t>
  </si>
  <si>
    <t>F2 6F1</t>
  </si>
  <si>
    <t xml:space="preserve">F3 3F1 </t>
  </si>
  <si>
    <t>CL F5,5</t>
  </si>
  <si>
    <t>Data peso 11</t>
  </si>
  <si>
    <t>Peso 11 (Kg)</t>
  </si>
  <si>
    <t>F3,5 2F2</t>
  </si>
  <si>
    <t>F6 F1</t>
  </si>
  <si>
    <t>F2 2F1</t>
  </si>
  <si>
    <t>CL cavitario F5</t>
  </si>
  <si>
    <t>F5</t>
  </si>
  <si>
    <t>F5 F2,5 F2</t>
  </si>
  <si>
    <t>2F6 2F1</t>
  </si>
  <si>
    <t>F3 F2</t>
  </si>
  <si>
    <t>6F2 7F1</t>
  </si>
  <si>
    <t>F4 2F2 5F1</t>
  </si>
  <si>
    <t>2F2 F1</t>
  </si>
  <si>
    <t>2F2 3F1 ov?</t>
  </si>
  <si>
    <t>F3 F2 10F1</t>
  </si>
  <si>
    <t>F4</t>
  </si>
  <si>
    <t xml:space="preserve">F4 3F1 </t>
  </si>
  <si>
    <t xml:space="preserve">F4 F2 </t>
  </si>
  <si>
    <t>IT090002716116</t>
  </si>
  <si>
    <t>IT090003264640</t>
  </si>
  <si>
    <t>Data peso 12</t>
  </si>
  <si>
    <t>Peso 12 (Kg)</t>
  </si>
  <si>
    <t>IT090003264631</t>
  </si>
  <si>
    <t>IT090002249805</t>
  </si>
  <si>
    <t>IT090003400234</t>
  </si>
  <si>
    <t>IT090003620614</t>
  </si>
  <si>
    <t xml:space="preserve">2F4 </t>
  </si>
  <si>
    <t>F2 F1</t>
  </si>
  <si>
    <t>F5 F4 2F2 1F1</t>
  </si>
  <si>
    <t>F5 3F1</t>
  </si>
  <si>
    <t>2F5 F4 F3</t>
  </si>
  <si>
    <t>CL cavitario F6</t>
  </si>
  <si>
    <t>CL cavitario F6 5F1</t>
  </si>
  <si>
    <t>Proestro, utero da calore</t>
  </si>
  <si>
    <t>CL cavitario</t>
  </si>
  <si>
    <t>CL cavitario F6 F4 F2</t>
  </si>
  <si>
    <t>Cl cavitario F2 1F1</t>
  </si>
  <si>
    <t>F3 2F2 4F1 ov?</t>
  </si>
  <si>
    <t>F3 F1</t>
  </si>
  <si>
    <t xml:space="preserve">2F6 </t>
  </si>
  <si>
    <t>Proestro</t>
  </si>
  <si>
    <t>F4 F3 2F2 3F1</t>
  </si>
  <si>
    <t>2F6</t>
  </si>
  <si>
    <t>F6 F4</t>
  </si>
  <si>
    <t>2CL F6</t>
  </si>
  <si>
    <t>primo 90,53 secondo cavitario 129,52 cavità 17,87</t>
  </si>
  <si>
    <t xml:space="preserve">F5 4F1 </t>
  </si>
  <si>
    <t>F4 F2 F1</t>
  </si>
  <si>
    <t>CL F4 F3</t>
  </si>
  <si>
    <t>CL F6 F4 F1</t>
  </si>
  <si>
    <t>2F5 F3 F2 F1</t>
  </si>
  <si>
    <t>destro 88,16 cavità 15,74 sinistro 81,69 cavità 7,39</t>
  </si>
  <si>
    <t xml:space="preserve">64,49 cavità 27,63 </t>
  </si>
  <si>
    <t>sinistro 113,53, cavità 27,95  destro 60,43 cavità 6,37</t>
  </si>
  <si>
    <t xml:space="preserve"> IT090003264643</t>
  </si>
  <si>
    <t>Data peso 13</t>
  </si>
  <si>
    <t>Peso 13 (Kg)</t>
  </si>
  <si>
    <t>IPG(Kg/gg)</t>
  </si>
  <si>
    <t>2F2 ov?</t>
  </si>
  <si>
    <t>F5 F6</t>
  </si>
  <si>
    <t>2F3 3F1</t>
  </si>
  <si>
    <t>3F2 2F1</t>
  </si>
  <si>
    <t>F4 F2 5F1</t>
  </si>
  <si>
    <t xml:space="preserve">F4 </t>
  </si>
  <si>
    <t xml:space="preserve">CL cavitario </t>
  </si>
  <si>
    <t>destra 56,03 sinistra 86,21 cavità 16,11</t>
  </si>
  <si>
    <t>2CL F3,5</t>
  </si>
  <si>
    <t>F5 4F1</t>
  </si>
  <si>
    <t>Cerchio verde intorno al viola, da separare</t>
  </si>
  <si>
    <t>F3,5</t>
  </si>
  <si>
    <t>F3 3F2 2F1</t>
  </si>
  <si>
    <t>Ov? 3F3 3F2</t>
  </si>
  <si>
    <t>Ov? 2F2</t>
  </si>
  <si>
    <t>F5 2F2 3F1</t>
  </si>
  <si>
    <t>Data peso 14</t>
  </si>
  <si>
    <t>Peso 14 (Kg)</t>
  </si>
  <si>
    <t>F3 F2,5 4F1</t>
  </si>
  <si>
    <t>F4 F3 F1</t>
  </si>
  <si>
    <t>2F6 3F2 4F1</t>
  </si>
  <si>
    <t>F3 4F1</t>
  </si>
  <si>
    <t>CL cavitario cisti luteinica F5 F4</t>
  </si>
  <si>
    <t>CL</t>
  </si>
  <si>
    <t>destra 67,79 sinistra 56,5 cavità 5,02</t>
  </si>
  <si>
    <t>Da rivedere un'altra volta</t>
  </si>
  <si>
    <t>F6,5 F2 3F1</t>
  </si>
  <si>
    <t>30,5 cavità 10,33</t>
  </si>
  <si>
    <t xml:space="preserve">2F3 2F2 4F1 </t>
  </si>
  <si>
    <t>CLcavitario 8F2 5F1</t>
  </si>
  <si>
    <t>non vista</t>
  </si>
  <si>
    <t>F4 F3,5</t>
  </si>
  <si>
    <t>F5 F3 3F2</t>
  </si>
  <si>
    <t>Fine osservazione, colore viola cerchiato di verde</t>
  </si>
  <si>
    <t>IT090002571714</t>
  </si>
  <si>
    <t>IT090003264625</t>
  </si>
  <si>
    <t xml:space="preserve">CL </t>
  </si>
  <si>
    <t>F3 F2 5F1</t>
  </si>
  <si>
    <t>Da rivedere</t>
  </si>
  <si>
    <t xml:space="preserve">F4 2F1 </t>
  </si>
  <si>
    <t>2F6 2F3 2F2</t>
  </si>
  <si>
    <t>CL cavitario e cisti luteinizzata 2F5</t>
  </si>
  <si>
    <t>94,71 Cavità 23,35</t>
  </si>
  <si>
    <t>CL F6</t>
  </si>
  <si>
    <t>sinistra 77,37 destra 69,59</t>
  </si>
  <si>
    <t>CL  F4</t>
  </si>
  <si>
    <t>2CL cisti F4 F1</t>
  </si>
  <si>
    <t>F4 2F2 2F1</t>
  </si>
  <si>
    <t>F5 F3 4F2</t>
  </si>
  <si>
    <t>F5 F1</t>
  </si>
  <si>
    <t>58,27 Cavità 1,95</t>
  </si>
  <si>
    <t>CL 2F1</t>
  </si>
  <si>
    <t>CLcavitario F6 2F2 4F1</t>
  </si>
  <si>
    <t>destra 184,68 cavità 26,36 sinistra 134,86 cavità 52,18</t>
  </si>
  <si>
    <t xml:space="preserve">CL cavitario F5 </t>
  </si>
  <si>
    <t>Endometrite lieve</t>
  </si>
  <si>
    <t xml:space="preserve">F5 F2 </t>
  </si>
  <si>
    <t xml:space="preserve">F5 3F1 </t>
  </si>
  <si>
    <t>2F5 F3 2F2</t>
  </si>
  <si>
    <t>F2 5F1</t>
  </si>
  <si>
    <t>10F1</t>
  </si>
  <si>
    <t xml:space="preserve">CL F4 </t>
  </si>
  <si>
    <t>16,84 cavità 3,6</t>
  </si>
  <si>
    <t xml:space="preserve">non la avevo segnata </t>
  </si>
  <si>
    <t>20F1</t>
  </si>
  <si>
    <t>1F4 20F1</t>
  </si>
  <si>
    <t xml:space="preserve">F5 5F1 </t>
  </si>
  <si>
    <t xml:space="preserve">F4 F2 4F1 </t>
  </si>
  <si>
    <t>Non vista</t>
  </si>
  <si>
    <t>Data peso 15</t>
  </si>
  <si>
    <t>Peso 15 (Kg)</t>
  </si>
  <si>
    <t>IT090002396767</t>
  </si>
  <si>
    <t>Orario inizio</t>
  </si>
  <si>
    <t>16.51</t>
  </si>
  <si>
    <t>Da rivedere (strutture non ben visibili), viola cerchio verde e altro cerchio viola</t>
  </si>
  <si>
    <t>Data Peso 16</t>
  </si>
  <si>
    <t>Peso 16(Kg)</t>
  </si>
  <si>
    <t>Lieve raccolta</t>
  </si>
  <si>
    <t>2F5 F4 2F1</t>
  </si>
  <si>
    <t>9,17 cavità 1,91</t>
  </si>
  <si>
    <t xml:space="preserve">CL cavitario F6 </t>
  </si>
  <si>
    <t>CL  e cisti F3 2F2</t>
  </si>
  <si>
    <t>F5 F3 F2</t>
  </si>
  <si>
    <t>F5 F4 F2 2F1</t>
  </si>
  <si>
    <t>Lieve endometrite</t>
  </si>
  <si>
    <t>F5 F3 3F2 4F1</t>
  </si>
  <si>
    <t>12F2 10F1</t>
  </si>
  <si>
    <t>F2,5 3F2 12F1</t>
  </si>
  <si>
    <t>F6 2F2</t>
  </si>
  <si>
    <t>34,1 cavità 5,41</t>
  </si>
  <si>
    <t>F6 F5 4F1</t>
  </si>
  <si>
    <t>3F2,5 2F2</t>
  </si>
  <si>
    <t>F3 5F2 F1</t>
  </si>
  <si>
    <t>lieve endometrite</t>
  </si>
  <si>
    <t>53,56 cavità 9,45</t>
  </si>
  <si>
    <t>Immagine da cancellare, DA RIVEDERE</t>
  </si>
  <si>
    <t>2F6 F3</t>
  </si>
  <si>
    <t>F5 F4 2F1</t>
  </si>
  <si>
    <t>2F4 3F1</t>
  </si>
  <si>
    <t>CL cavitario F3 F2 F4</t>
  </si>
  <si>
    <t>87,28 cavità 4,6</t>
  </si>
  <si>
    <t>F3 F2 4F1</t>
  </si>
  <si>
    <t>F6 2F2 7F1</t>
  </si>
  <si>
    <t>differenza tempo fra visualizzazione dei follicoli e quella del corpo luteo (gg)</t>
  </si>
  <si>
    <t>la cisti in realtà è un corpo luteo, controllare se l'abbiamo segnata di viola con cerchio verde!</t>
  </si>
  <si>
    <t>DA RIGUARDARE perché ciclo breve, sta per ovulare. Lieve endometrite</t>
  </si>
  <si>
    <t>Da segnare con viola e cerchio verde?</t>
  </si>
  <si>
    <t>F3 5F2 3F1</t>
  </si>
  <si>
    <t>F6 F5 2F2 6F1</t>
  </si>
  <si>
    <t>2F2,5 3F1</t>
  </si>
  <si>
    <t>F6 F5 F4</t>
  </si>
  <si>
    <t>2F1</t>
  </si>
  <si>
    <t>8F2 5F1</t>
  </si>
  <si>
    <t xml:space="preserve">F5 2F2 </t>
  </si>
  <si>
    <t>F6 4F1</t>
  </si>
  <si>
    <t>sinistra 94,6 cavità 51,69 destra 64,71 cavità 27,31</t>
  </si>
  <si>
    <t>CL cavitario F3 3F1</t>
  </si>
  <si>
    <t>CL cavitario F3 F2</t>
  </si>
  <si>
    <t>CL cavitario 3F1</t>
  </si>
  <si>
    <t>ov 3F2 3F1</t>
  </si>
  <si>
    <t>DA RIVEDERE</t>
  </si>
  <si>
    <t xml:space="preserve">2F4 2F3 3F1 </t>
  </si>
  <si>
    <t>endometrite e raccolta uterina</t>
  </si>
  <si>
    <t xml:space="preserve">Ov F2 </t>
  </si>
  <si>
    <t>F6 F4 2F2</t>
  </si>
  <si>
    <t>2F6,5</t>
  </si>
  <si>
    <t>F6 F5 2F2 3F1</t>
  </si>
  <si>
    <t>F3 F2,5 F2 3F1</t>
  </si>
  <si>
    <t>F4 F2 10F1</t>
  </si>
  <si>
    <t xml:space="preserve"> ov? F4 F2 4F1</t>
  </si>
  <si>
    <t>ov? 2F2 5F1</t>
  </si>
  <si>
    <t>F5 8F1</t>
  </si>
  <si>
    <t>F6 F2,5 3F1</t>
  </si>
  <si>
    <t>F6 F3,5 F2 3F1</t>
  </si>
  <si>
    <t xml:space="preserve">2F5 3F1 </t>
  </si>
  <si>
    <t>orario indicativo</t>
  </si>
  <si>
    <t xml:space="preserve">CLcavitario F6,5 </t>
  </si>
  <si>
    <t>Non vista, eliminata dallo studio</t>
  </si>
  <si>
    <t>2F2,5 F2 2F1</t>
  </si>
  <si>
    <t xml:space="preserve">10F1 </t>
  </si>
  <si>
    <t>F5 F4,5 F2 2F1</t>
  </si>
  <si>
    <t>endometrite</t>
  </si>
  <si>
    <t>F4,5 2F1</t>
  </si>
  <si>
    <t>F3,5 F2 foschia</t>
  </si>
  <si>
    <t xml:space="preserve">4F1 </t>
  </si>
  <si>
    <t>F2 13F1</t>
  </si>
  <si>
    <t>2,5 Tendente al 2,75</t>
  </si>
  <si>
    <t>F7,5 F7 10F1</t>
  </si>
  <si>
    <t>sinistra 108,82 cavità 22,22 destra 72,63 cavità 6,93</t>
  </si>
  <si>
    <t>destra 94,07 cavità 8,81 sinistra 79,5 cavità 7,39</t>
  </si>
  <si>
    <t>F5,5 F5 4F1</t>
  </si>
  <si>
    <t>F6,5 5F1</t>
  </si>
  <si>
    <t>F6,5 2F1</t>
  </si>
  <si>
    <t>ov F6 F3</t>
  </si>
  <si>
    <t>ov F5 F2 3F1</t>
  </si>
  <si>
    <t>destra 49,99 sinistra 38,88</t>
  </si>
  <si>
    <t>Ov?</t>
  </si>
  <si>
    <t xml:space="preserve">F3 F2 F1 </t>
  </si>
  <si>
    <t>24,56 cavità 1,39</t>
  </si>
  <si>
    <t>ov 2F2,5 2F2 4F1</t>
  </si>
  <si>
    <t>2ov 2F3 F2,5 4F1</t>
  </si>
  <si>
    <t xml:space="preserve">primo 61,59 secondo 53,24 </t>
  </si>
  <si>
    <t>2CL F4 F3 F1</t>
  </si>
  <si>
    <t>2ov 2F1</t>
  </si>
  <si>
    <t xml:space="preserve">F5 F3 </t>
  </si>
  <si>
    <t xml:space="preserve">F5 F4 </t>
  </si>
  <si>
    <t>ov?</t>
  </si>
  <si>
    <t>F5  2F1</t>
  </si>
  <si>
    <t>F4 12F1</t>
  </si>
  <si>
    <t>ov F3 F2,5 3F1</t>
  </si>
  <si>
    <t>CL Cisti F5 F3,5 3F1</t>
  </si>
  <si>
    <t>CL F5,5 F3 F1</t>
  </si>
  <si>
    <t>F4 ov? F1</t>
  </si>
  <si>
    <t xml:space="preserve">2F6,5 F1 </t>
  </si>
  <si>
    <t>2F2 6F1</t>
  </si>
  <si>
    <t>ov? 6F1 2F2</t>
  </si>
  <si>
    <t>2F2,5 F2 4F1</t>
  </si>
  <si>
    <t>Dimensione CL 1 sinistra (mm2)</t>
  </si>
  <si>
    <t>Dimensione CL 1 destra (mm2)</t>
  </si>
  <si>
    <t>Dimensione CL 2 destra (mm2)</t>
  </si>
  <si>
    <t>Cavità CL 1 sinistra  (mm2)</t>
  </si>
  <si>
    <t>Dimensione CL 2 sinistra  (mm2)</t>
  </si>
  <si>
    <t>Cavità CL 2 sinistra   (mm2)</t>
  </si>
  <si>
    <t>Cavità CL 1 destra     (mm2)</t>
  </si>
  <si>
    <t>Cavità CL 2 destra     (mm2)</t>
  </si>
  <si>
    <t>Note corpo luteo (mm2)</t>
  </si>
  <si>
    <t>Follicoli totali</t>
  </si>
  <si>
    <t>Dimensione TOTALE CL 1 sinistra  (mm2)</t>
  </si>
  <si>
    <t>Dimensione TOTALE CL 2 sinistra  (mm2)</t>
  </si>
  <si>
    <t>Dimensione TOTALE CL 1 destra     (mm2)</t>
  </si>
  <si>
    <t>Dimensione TOTALE CL 2 destra     (mm2)</t>
  </si>
  <si>
    <t>F3,5 F1</t>
  </si>
  <si>
    <t>primo 74,97 secondo cavitario 92,2 cavità 3,25</t>
  </si>
  <si>
    <t>F3 5F1</t>
  </si>
  <si>
    <t>CL F5</t>
  </si>
  <si>
    <t xml:space="preserve"> </t>
  </si>
  <si>
    <t>F3 2F2 F1</t>
  </si>
  <si>
    <t>Cl cavitario F2 F1</t>
  </si>
  <si>
    <t>CL cavitario F4 F3 2F2</t>
  </si>
  <si>
    <t>F2,5 5F2 10F1</t>
  </si>
  <si>
    <t>F2 8F1</t>
  </si>
  <si>
    <t>2F3 F2 3F1</t>
  </si>
  <si>
    <r>
      <rPr>
        <sz val="11"/>
        <color rgb="FFFF0000"/>
        <rFont val="Aptos Narrow"/>
        <family val="2"/>
        <scheme val="minor"/>
      </rPr>
      <t>cisti 231,48</t>
    </r>
    <r>
      <rPr>
        <sz val="11"/>
        <color theme="1"/>
        <rFont val="Aptos Narrow"/>
        <family val="2"/>
        <scheme val="minor"/>
      </rPr>
      <t>, cavità 101,08 corpo luteo 142,86</t>
    </r>
  </si>
  <si>
    <r>
      <rPr>
        <sz val="11"/>
        <color rgb="FFFF0000"/>
        <rFont val="Aptos Narrow"/>
        <family val="2"/>
        <scheme val="minor"/>
      </rPr>
      <t xml:space="preserve">133,38 cisti </t>
    </r>
    <r>
      <rPr>
        <sz val="11"/>
        <color theme="1"/>
        <rFont val="Aptos Narrow"/>
        <family val="2"/>
        <scheme val="minor"/>
      </rPr>
      <t>139,21 cavità 56,68</t>
    </r>
  </si>
  <si>
    <t>F4 F3 2F2</t>
  </si>
  <si>
    <t>F3,5 F2 F1</t>
  </si>
  <si>
    <t>OVAIO SINISTRO</t>
  </si>
  <si>
    <t>OVAIO DESTRO</t>
  </si>
  <si>
    <t>F7</t>
  </si>
  <si>
    <t>F4,5</t>
  </si>
  <si>
    <t>F5,5</t>
  </si>
  <si>
    <t>follicoli &gt; 3 mm</t>
  </si>
  <si>
    <t>follicoli &lt;/= 3 mm</t>
  </si>
  <si>
    <t>50,34CL F5</t>
  </si>
  <si>
    <t>CL F3 F2 F1</t>
  </si>
  <si>
    <t>F2,5</t>
  </si>
  <si>
    <t xml:space="preserve">6F1 </t>
  </si>
  <si>
    <t>F7 F6 2F2</t>
  </si>
  <si>
    <t>87,99 cavità 41,04</t>
  </si>
  <si>
    <t>CL cavitario F4 F2</t>
  </si>
  <si>
    <t>97,61 cavità 22,96</t>
  </si>
  <si>
    <t>CL F5 F2 8F1</t>
  </si>
  <si>
    <t>ov? F2,5 8F1</t>
  </si>
  <si>
    <t>CL1 (quello che era cisti) 100,9 cavità 30,74 CL2 107,62  cavità 14,51</t>
  </si>
  <si>
    <t>2 CL F5 F4 F3 2F1</t>
  </si>
  <si>
    <t>3F2 F1</t>
  </si>
  <si>
    <t>Cisti da cysticercus tenuicollis</t>
  </si>
  <si>
    <t>Cl F5 F3 2F2</t>
  </si>
  <si>
    <t>Segnata con il viola, dire a pierina che per misurare i corpi lutei fare trace</t>
  </si>
  <si>
    <t>Ov? F2 3F1</t>
  </si>
  <si>
    <t>Da riguardare, c'è il dubbio che sia un ciclo breve</t>
  </si>
  <si>
    <t>destra 47,48 cavità 21,93 sinistra 63,12 cavità 29,65</t>
  </si>
  <si>
    <t>CL F2</t>
  </si>
  <si>
    <t>2F6 3F2 3F1</t>
  </si>
  <si>
    <t>ov?  3F2 6F1</t>
  </si>
  <si>
    <t>ov? F2 2F1</t>
  </si>
  <si>
    <t>ov? F2</t>
  </si>
  <si>
    <t>ov? 5F1</t>
  </si>
  <si>
    <t>sinistra 108,61 cavità 75,53 destra 49 cavità 13,3</t>
  </si>
  <si>
    <t>Clcavitario F6 F2 4F1</t>
  </si>
  <si>
    <t>CL cavitario F6,5 3F1</t>
  </si>
  <si>
    <t>50,1 cavità 11,67</t>
  </si>
  <si>
    <t>CL cavitario F5 F1</t>
  </si>
  <si>
    <r>
      <t xml:space="preserve">Primo 47,9 secondo 47,12 </t>
    </r>
    <r>
      <rPr>
        <sz val="11"/>
        <color rgb="FFFF0000"/>
        <rFont val="Aptos Narrow"/>
        <family val="2"/>
        <scheme val="minor"/>
      </rPr>
      <t>cisti 3</t>
    </r>
  </si>
  <si>
    <t>Abbiamo segnato la pecora? La riguardiamo?</t>
  </si>
  <si>
    <t>Fare esami sangue chetosi (fatti:0,6, aspettiamo a dare farmaci)</t>
  </si>
  <si>
    <t>CL cavitario F4 F3 F2</t>
  </si>
  <si>
    <t>Clcav F6 F2 4F1</t>
  </si>
  <si>
    <t>F5 F4 2F2 F1</t>
  </si>
  <si>
    <t>2CL F5 F4 F3 2F1</t>
  </si>
  <si>
    <t>F7,5</t>
  </si>
  <si>
    <t>F4 F1 ov?</t>
  </si>
  <si>
    <t>F4 20F1</t>
  </si>
  <si>
    <t>F5 F4 F3 3F1</t>
  </si>
  <si>
    <t>ov? F2 3F1</t>
  </si>
  <si>
    <t>6F2</t>
  </si>
  <si>
    <t xml:space="preserve">F4 Cl cavitario </t>
  </si>
  <si>
    <t>158,92 cavità 42,88</t>
  </si>
  <si>
    <t>CL cavitario F2</t>
  </si>
  <si>
    <t>destra 86,92 cavità 14,79 sinistra 38,53 cavità 8,74</t>
  </si>
  <si>
    <t>2F3 6F1</t>
  </si>
  <si>
    <t>F7 3F2 F3</t>
  </si>
  <si>
    <t xml:space="preserve">2F6 3F2 Cl? </t>
  </si>
  <si>
    <t>F7 F4 2F2</t>
  </si>
  <si>
    <t>F5 2F3 F2</t>
  </si>
  <si>
    <t>2F5?</t>
  </si>
  <si>
    <t>Cl cavitario F2</t>
  </si>
  <si>
    <t>Cl cavitario</t>
  </si>
  <si>
    <t>2F6 3F2 Cl?</t>
  </si>
  <si>
    <t xml:space="preserve"> F5 2F3 F2</t>
  </si>
  <si>
    <t>F4 Cl cavitario</t>
  </si>
  <si>
    <t>F5 F4 F3 2F2 3F1</t>
  </si>
  <si>
    <t>1CL cavitario 1CL non cavitario</t>
  </si>
  <si>
    <t>cavitario 142,68 cavità 29,75 non cav 137, 48</t>
  </si>
  <si>
    <t>destra 91,91 sinistra 85,79</t>
  </si>
  <si>
    <t xml:space="preserve">CL   </t>
  </si>
  <si>
    <t xml:space="preserve">CL F5,5 </t>
  </si>
  <si>
    <t>2CL  F2</t>
  </si>
  <si>
    <t xml:space="preserve">primo 67,04 secondo 56,11 </t>
  </si>
  <si>
    <t>K 12,64</t>
  </si>
  <si>
    <t xml:space="preserve">K13 3F2 </t>
  </si>
  <si>
    <t>F3 2F2 4F1</t>
  </si>
  <si>
    <t>39,23 cavità 26,78</t>
  </si>
  <si>
    <t>CL F5 F4 ov</t>
  </si>
  <si>
    <t xml:space="preserve">Cl 2F4 </t>
  </si>
  <si>
    <t>sinistra 96,51 cavità 12,77 destra 68,39</t>
  </si>
  <si>
    <t>CL non cavitario</t>
  </si>
  <si>
    <t>destra 80,7 sinistra 89,01</t>
  </si>
  <si>
    <t>controllare se cerchiata di verde</t>
  </si>
  <si>
    <t>IT09000340021</t>
  </si>
  <si>
    <t>2CL F2</t>
  </si>
  <si>
    <t>2CL cavitari F6</t>
  </si>
  <si>
    <t>primo 117,95 cavità 18,5 secondo 129,17 cavità 31,95</t>
  </si>
  <si>
    <t>F5 F2 ov?</t>
  </si>
  <si>
    <t>F5 Cl</t>
  </si>
  <si>
    <t>&gt;0,20</t>
  </si>
  <si>
    <t>Da rivedere perché ciclo breve</t>
  </si>
  <si>
    <t>CL  2F3 F2 2F1</t>
  </si>
  <si>
    <t xml:space="preserve">F5,5 </t>
  </si>
  <si>
    <t>utero grande</t>
  </si>
  <si>
    <t>F5 F2</t>
  </si>
  <si>
    <t>IT090003400221</t>
  </si>
  <si>
    <t>&lt;0,20</t>
  </si>
  <si>
    <t>7F1 F3</t>
  </si>
  <si>
    <t>fatta con Pierina</t>
  </si>
  <si>
    <t>CL cavitario F8</t>
  </si>
  <si>
    <t>90,82 cavità 4,99</t>
  </si>
  <si>
    <t>3F5 F2</t>
  </si>
  <si>
    <t>CL? F6 (chiedere ad antonio se è cl o no 11.11)</t>
  </si>
  <si>
    <t>F4 F2</t>
  </si>
  <si>
    <t>Fatta con Pierina</t>
  </si>
  <si>
    <t>endometrite, fatta con Pierina</t>
  </si>
  <si>
    <t>Ovaie non viste, forse una ma non siamo sicure. Fatta con Pierina</t>
  </si>
  <si>
    <t>2CL F3 3F1/ 1CL F3 3F1 (chiedere a anto dalla foto di pierina ore 11)</t>
  </si>
  <si>
    <t>F8</t>
  </si>
  <si>
    <t>CL 2F3</t>
  </si>
  <si>
    <t>Sinistra 65,2 destra 70,62</t>
  </si>
  <si>
    <t>F7 F3</t>
  </si>
  <si>
    <t>CL cavitario F1</t>
  </si>
  <si>
    <t>sinistra 77,69 cavità 12,49 destra 57,45 cavità 1,66</t>
  </si>
  <si>
    <t>Cl cavitario F1</t>
  </si>
  <si>
    <t>CL F4</t>
  </si>
  <si>
    <t>5F5 2F3 2F1</t>
  </si>
  <si>
    <t>5F2 F3</t>
  </si>
  <si>
    <t>Con Pierina</t>
  </si>
  <si>
    <t>CL non cav  3F1 F2 F3</t>
  </si>
  <si>
    <t>Sinistra 68,99 destra 1. 110,95 cavità 9,86 2. senza cav 70,86</t>
  </si>
  <si>
    <t>CL cavitario 2F1</t>
  </si>
  <si>
    <t>6F1  Cl cavitario</t>
  </si>
  <si>
    <t xml:space="preserve">3F2 F3 Cl cav </t>
  </si>
  <si>
    <t>sin  81,62 cavità 5,84 destra 71,46 cav 6,72</t>
  </si>
  <si>
    <t>2F2 F1 Cl cavitario</t>
  </si>
  <si>
    <t>destra 88,23 cavità 2,69</t>
  </si>
  <si>
    <t>4F1 F2</t>
  </si>
  <si>
    <r>
      <t xml:space="preserve">corpo luteo 71,89 cavità 12,10 </t>
    </r>
    <r>
      <rPr>
        <sz val="11"/>
        <color theme="1"/>
        <rFont val="Aptos Narrow"/>
        <family val="2"/>
        <scheme val="minor"/>
      </rPr>
      <t>cisti 86,15 cavità 35,63</t>
    </r>
  </si>
  <si>
    <t>ov</t>
  </si>
  <si>
    <t>Fatto con Pierina</t>
  </si>
  <si>
    <t xml:space="preserve">32,97 cavità STIMATO 25 </t>
  </si>
  <si>
    <t>ordinare marca</t>
  </si>
  <si>
    <t>3F3 16F2 7F1</t>
  </si>
  <si>
    <t>F3 6F1</t>
  </si>
  <si>
    <t>Salvata sbagliata,  come 16117</t>
  </si>
  <si>
    <t>sì</t>
  </si>
  <si>
    <t>1CL F3 3F1</t>
  </si>
  <si>
    <r>
      <t xml:space="preserve">CL? F6 </t>
    </r>
    <r>
      <rPr>
        <sz val="11"/>
        <color rgb="FFFF0000"/>
        <rFont val="Aptos Narrow"/>
        <family val="2"/>
        <scheme val="minor"/>
      </rPr>
      <t>(foto 11.11)</t>
    </r>
  </si>
  <si>
    <t>destra 104,86</t>
  </si>
  <si>
    <t>IT090003264620</t>
  </si>
  <si>
    <t>IT090002716117</t>
  </si>
  <si>
    <t>IT09002179866</t>
  </si>
  <si>
    <t>Salvata sbagliata su ecografo,  come 16117</t>
  </si>
  <si>
    <t>F3,5 F2 4F1 foschia</t>
  </si>
  <si>
    <t>non visto</t>
  </si>
  <si>
    <t>F4 F2 3F1</t>
  </si>
  <si>
    <t>IT09002178966</t>
  </si>
  <si>
    <t>Da superovulare</t>
  </si>
  <si>
    <t>15F2 3F1</t>
  </si>
  <si>
    <t>2F3,5 8F2 5F1</t>
  </si>
  <si>
    <t>F7 F3,5 F2 3F1</t>
  </si>
  <si>
    <t>IT09003539411</t>
  </si>
  <si>
    <t>IT09003620617</t>
  </si>
  <si>
    <t>IT09001829442</t>
  </si>
  <si>
    <t>F5 F2 4F1</t>
  </si>
  <si>
    <t>2F5 3F2 3F1</t>
  </si>
  <si>
    <t>F4 4F1</t>
  </si>
  <si>
    <t xml:space="preserve">F7 F3 2F1 parete ispessita </t>
  </si>
  <si>
    <t>2F3 F1</t>
  </si>
  <si>
    <t>F4 3F2 10F1</t>
  </si>
  <si>
    <t>F4 4F2 12F1</t>
  </si>
  <si>
    <t>113,78 cavità 28,3</t>
  </si>
  <si>
    <t>F6 6F1</t>
  </si>
  <si>
    <t>F2 3F1 Cl cav</t>
  </si>
  <si>
    <t>foschia 3F1</t>
  </si>
  <si>
    <t>guardo eco</t>
  </si>
  <si>
    <t>3F2,5 3F2 12F1</t>
  </si>
  <si>
    <t>6F2 10F1</t>
  </si>
  <si>
    <t>placentomi</t>
  </si>
  <si>
    <t>foschia F5 3F2</t>
  </si>
  <si>
    <t>IT090002571708</t>
  </si>
  <si>
    <t>132,88 cavità 14,97</t>
  </si>
  <si>
    <t>2F3 F2 2F1 Cl cav</t>
  </si>
  <si>
    <t>10F2 6F1</t>
  </si>
  <si>
    <t>14.14</t>
  </si>
  <si>
    <t>8.97</t>
  </si>
  <si>
    <t>11.34</t>
  </si>
  <si>
    <t>6.09</t>
  </si>
  <si>
    <t>SI (probabile iliaca)</t>
  </si>
  <si>
    <t>SI</t>
  </si>
  <si>
    <t>2F6 F3 4F2 5F1</t>
  </si>
  <si>
    <t xml:space="preserve">2F4 6F1 </t>
  </si>
  <si>
    <t>2F5 4F2 15F1</t>
  </si>
  <si>
    <t xml:space="preserve">2F2 2F1 </t>
  </si>
  <si>
    <t>IT0900003400233</t>
  </si>
  <si>
    <t>3F1 foschia</t>
  </si>
  <si>
    <t>OV?</t>
  </si>
  <si>
    <t>F3 2F1 foschia</t>
  </si>
  <si>
    <t>2F2 2F1</t>
  </si>
  <si>
    <t>10.01</t>
  </si>
  <si>
    <t>F5 3F2 10F1</t>
  </si>
  <si>
    <t>2F4 4F2 6F1</t>
  </si>
  <si>
    <t xml:space="preserve">SI </t>
  </si>
  <si>
    <t>doppler no perfetto</t>
  </si>
  <si>
    <t>17.48</t>
  </si>
  <si>
    <t>F4,5 2F2 5F1</t>
  </si>
  <si>
    <t>F4 3F2 8F1</t>
  </si>
  <si>
    <t>17.55</t>
  </si>
  <si>
    <t>10/02/2025 PIU GRANDE</t>
  </si>
  <si>
    <t>F6 F3 3F1</t>
  </si>
  <si>
    <t>F6,5 F2,5 3F2 6F1</t>
  </si>
  <si>
    <t>2F2 8F1 foschia</t>
  </si>
  <si>
    <t>F4 2F3 3F1</t>
  </si>
  <si>
    <t>Ov? 2F2 5F1</t>
  </si>
  <si>
    <t>18.34</t>
  </si>
  <si>
    <t xml:space="preserve">6F1 2F6 </t>
  </si>
  <si>
    <t>0.525</t>
  </si>
  <si>
    <t>raccolta uterina</t>
  </si>
  <si>
    <t>F6 F5 F3 3F1</t>
  </si>
  <si>
    <t>F5 2F2 5F1</t>
  </si>
  <si>
    <t>PROSSIMA VISITA</t>
  </si>
  <si>
    <t>16.14</t>
  </si>
  <si>
    <t>16.37</t>
  </si>
  <si>
    <t>11.14</t>
  </si>
  <si>
    <t>F6 2F2 5F1</t>
  </si>
  <si>
    <t>F5 4F2 8F1</t>
  </si>
  <si>
    <t>F6 2F4 F1</t>
  </si>
  <si>
    <t>F4 F3 foschia</t>
  </si>
  <si>
    <t>F3 2F2 2F1</t>
  </si>
  <si>
    <t xml:space="preserve">  F5 F2 CL</t>
  </si>
  <si>
    <t>F5 3F2 4F1</t>
  </si>
  <si>
    <t>2F6 3F3 2F2 5F1</t>
  </si>
  <si>
    <t>2F3,5 4F2 6F1</t>
  </si>
  <si>
    <t>16.35</t>
  </si>
  <si>
    <t>F2 3F1 foschia</t>
  </si>
  <si>
    <t>2F5 4F1</t>
  </si>
  <si>
    <t xml:space="preserve">2CL </t>
  </si>
  <si>
    <t xml:space="preserve">F6,5 F5 2F2 4F1 </t>
  </si>
  <si>
    <t>F2 5F1 foschia</t>
  </si>
  <si>
    <t xml:space="preserve">F5,5 F3,5 F3 F2 </t>
  </si>
  <si>
    <t>CONFERMATA</t>
  </si>
  <si>
    <t xml:space="preserve">2F1 F2 F3,5 </t>
  </si>
  <si>
    <t>1)75,85 2)82,29</t>
  </si>
  <si>
    <t>2CL</t>
  </si>
  <si>
    <t>5F1 2F2 2F3 F4 F6</t>
  </si>
  <si>
    <t>F3 3F2 3F1</t>
  </si>
  <si>
    <t>F6 F3,5 F2 6F1</t>
  </si>
  <si>
    <t>NIENTE DOPPLER</t>
  </si>
  <si>
    <t>F5 F2 3F1</t>
  </si>
  <si>
    <t>F5 F3 4F2 F1</t>
  </si>
  <si>
    <t>F6 F2,5 F2 5F1</t>
  </si>
  <si>
    <t>F5 2F4 F3 F2</t>
  </si>
  <si>
    <t>F6 2F5 2F2 6F1</t>
  </si>
  <si>
    <t>F6,5 F6 F2 3F1</t>
  </si>
  <si>
    <t>No (io non ho fatto foto, controllare su eco)</t>
  </si>
  <si>
    <t>IT090003400222</t>
  </si>
  <si>
    <t>F6 2F2 3F1</t>
  </si>
  <si>
    <t>ov? Foschia F3 2F1</t>
  </si>
  <si>
    <t>F4 F1 foschia</t>
  </si>
  <si>
    <t>F3 3F2 F1</t>
  </si>
  <si>
    <t>F7 F5 2F4 4F2 5F1</t>
  </si>
  <si>
    <t>ov?  F6,5 2F3 3F1</t>
  </si>
  <si>
    <t>F3,5 3F2 5F1</t>
  </si>
  <si>
    <t>ov? F3 2F2 4F1</t>
  </si>
  <si>
    <t>segnata di viola perché forse ha ovulato</t>
  </si>
  <si>
    <t>IT090003400232</t>
  </si>
  <si>
    <t>IT090003400212</t>
  </si>
  <si>
    <t>IT090003264627</t>
  </si>
  <si>
    <t>nato morto</t>
  </si>
  <si>
    <t>Distocico</t>
  </si>
  <si>
    <t>smesso di prendere il doppler</t>
  </si>
  <si>
    <t>F6 2F2 4F1</t>
  </si>
  <si>
    <t>F5 2F2 F1</t>
  </si>
  <si>
    <t>F4 2F2 foschia</t>
  </si>
  <si>
    <t>F6 F2 2F1</t>
  </si>
  <si>
    <t>Sì forse iliaca</t>
  </si>
  <si>
    <t>F6 F3 F2,5 6F1</t>
  </si>
  <si>
    <t>3F2 3F1</t>
  </si>
  <si>
    <t>F5 2F2 foschia</t>
  </si>
  <si>
    <t>F7 F4 F3 2F2</t>
  </si>
  <si>
    <t>F3 F2 foschia</t>
  </si>
  <si>
    <t>F3,5 2F2 foschia</t>
  </si>
  <si>
    <t>Ov F2 3F1</t>
  </si>
  <si>
    <t>ov F3 2F2 2F1</t>
  </si>
  <si>
    <t>Ov F3 2F2 2F1</t>
  </si>
  <si>
    <t>Differenza tempo fra visualizzazione dei follicoli e quella del corpo luteo (gg)</t>
  </si>
  <si>
    <t>Intervallo parto-ovulazione (gg)</t>
  </si>
  <si>
    <t>Età al parto  (mesi)</t>
  </si>
  <si>
    <t>F6,5 F2 foschia</t>
  </si>
  <si>
    <t>F7 F3 F2</t>
  </si>
  <si>
    <t>F3,5 2F2 5F1</t>
  </si>
  <si>
    <t>F3 foschia</t>
  </si>
  <si>
    <t xml:space="preserve">F4,5 </t>
  </si>
  <si>
    <t>F2,5 3F2 5F1</t>
  </si>
  <si>
    <t xml:space="preserve">F5  </t>
  </si>
  <si>
    <t>sì foto ecografo</t>
  </si>
  <si>
    <t>Ov? F3,5 2F1</t>
  </si>
  <si>
    <t xml:space="preserve">F6 F5 2F2 </t>
  </si>
  <si>
    <t>2F2 7F1</t>
  </si>
  <si>
    <t>6F2 8F1</t>
  </si>
  <si>
    <t>4F2 6F1</t>
  </si>
  <si>
    <t>F3,5 F2 7F1</t>
  </si>
  <si>
    <t>F4 F3 F2 5F1</t>
  </si>
  <si>
    <t>2F4 F2 4F1Ov? foschia</t>
  </si>
  <si>
    <t>Sì ma sfocata, ecografo</t>
  </si>
  <si>
    <t>ov? 2F2,5 8F1</t>
  </si>
  <si>
    <t>2F4 F2 4F1Ov? Foschia</t>
  </si>
  <si>
    <t>agnello morto una settimana dopo il parto</t>
  </si>
  <si>
    <t xml:space="preserve">3F5 F2 3F1 </t>
  </si>
  <si>
    <t>F2,5 4F1</t>
  </si>
  <si>
    <t>5F1 foschia</t>
  </si>
  <si>
    <t>F4 3F2 5F1</t>
  </si>
  <si>
    <t>F5 F4 F3 2F2 foschia</t>
  </si>
  <si>
    <t>Si ecografo</t>
  </si>
  <si>
    <t>F7 5F1</t>
  </si>
  <si>
    <t>2F2,5 F2 5F1</t>
  </si>
  <si>
    <t>4F2 8F1</t>
  </si>
  <si>
    <t xml:space="preserve">2F1 </t>
  </si>
  <si>
    <t>Sì probabile iliaca</t>
  </si>
  <si>
    <t>F6 3F2 5F1</t>
  </si>
  <si>
    <t>IT090001384846</t>
  </si>
  <si>
    <t>IT090003264642</t>
  </si>
  <si>
    <t>IT090002396766</t>
  </si>
  <si>
    <t>IT090003620636</t>
  </si>
  <si>
    <t>4F1 foschia</t>
  </si>
  <si>
    <t>F3 7F1</t>
  </si>
  <si>
    <t>Raccolta uterina, non si vedono le ovaie</t>
  </si>
  <si>
    <t>2F2,5 2F1</t>
  </si>
  <si>
    <t>3.88</t>
  </si>
  <si>
    <t>F2 2F1 foschia</t>
  </si>
  <si>
    <t>F5 F2,5 F2 4F1</t>
  </si>
  <si>
    <t xml:space="preserve">6F1   </t>
  </si>
  <si>
    <t>2F3 2F1</t>
  </si>
  <si>
    <t xml:space="preserve">F3,5 F2,5 2F2 </t>
  </si>
  <si>
    <t xml:space="preserve">F5 2F1 </t>
  </si>
  <si>
    <t>F4 F2 2F1</t>
  </si>
  <si>
    <t>F7 F3 8F1</t>
  </si>
  <si>
    <t xml:space="preserve"> F3,5 F2,5 2F2</t>
  </si>
  <si>
    <t>Non abbiamo preso i parametri uterini e doppler perché le ultime tre misurazioni piccole, quindi l'ovulazione la diamo per data.</t>
  </si>
  <si>
    <t xml:space="preserve">F2 2F1 </t>
  </si>
  <si>
    <t xml:space="preserve">2F2 F1 </t>
  </si>
  <si>
    <t>F5,5 3F1</t>
  </si>
  <si>
    <t>F2 F1 foschia</t>
  </si>
  <si>
    <t>x verde</t>
  </si>
  <si>
    <t>F4 2F3 F2 4F1</t>
  </si>
  <si>
    <t>4F2 5F1</t>
  </si>
  <si>
    <t>F3 3F2 8F1</t>
  </si>
  <si>
    <t>RACCOLTA UTERINA</t>
  </si>
  <si>
    <t>F3 3F2 4F1</t>
  </si>
  <si>
    <t>MORTO</t>
  </si>
  <si>
    <t>senza numero</t>
  </si>
  <si>
    <t>Superati i 60 giorni, involuzione già avvenuta</t>
  </si>
  <si>
    <t>IT090003400217</t>
  </si>
  <si>
    <t>IT090002571703</t>
  </si>
  <si>
    <t>IT090003539410</t>
  </si>
  <si>
    <t>Non visto</t>
  </si>
  <si>
    <t>X verde</t>
  </si>
  <si>
    <t>X VERDE</t>
  </si>
  <si>
    <t>2.5</t>
  </si>
  <si>
    <t>Cisticercus tenuicollis</t>
  </si>
  <si>
    <t xml:space="preserve">IMMAGINI PARETE UTEINA 12:46 CON NUMERO SBAGLIATO </t>
  </si>
  <si>
    <t>foschia F4 F1</t>
  </si>
  <si>
    <t>una foto dell'utero segnata sbagliata con gain scorretto</t>
  </si>
  <si>
    <t>2F3 F2 5F1</t>
  </si>
  <si>
    <t>F6 2F2 F1</t>
  </si>
  <si>
    <t>foschia 2F1</t>
  </si>
  <si>
    <t>F2 10F1</t>
  </si>
  <si>
    <t>F3 2F2 8F1</t>
  </si>
  <si>
    <t>F3,5 F3 2F2</t>
  </si>
  <si>
    <t xml:space="preserve">F3 F2   </t>
  </si>
  <si>
    <t xml:space="preserve">F3,5 F3 2F1 </t>
  </si>
  <si>
    <t>2F1 foschia</t>
  </si>
  <si>
    <t>Salvata con numero sbagliato la foto dell'utero più o meno alle 13:24</t>
  </si>
  <si>
    <t>F4 F2,5 2F1</t>
  </si>
  <si>
    <t>F3,5 F3 F2 4F1</t>
  </si>
  <si>
    <t>F4 18F1</t>
  </si>
  <si>
    <t>Inattività ovarica</t>
  </si>
  <si>
    <t>F3,5 F3 4F2 4F1</t>
  </si>
  <si>
    <t>2F2 2F1 foschia</t>
  </si>
  <si>
    <t>F4 2F2,5</t>
  </si>
  <si>
    <t>F6 F2,5 6F1</t>
  </si>
  <si>
    <t>15F1</t>
  </si>
  <si>
    <t>F6 5F1</t>
  </si>
  <si>
    <t xml:space="preserve"> F3,5 F3 2F1</t>
  </si>
  <si>
    <t xml:space="preserve">F2   </t>
  </si>
  <si>
    <t xml:space="preserve">F3 F2    </t>
  </si>
  <si>
    <t>Data peso 17</t>
  </si>
  <si>
    <t>Peso 17 (Kg)</t>
  </si>
  <si>
    <t>Data peso 18</t>
  </si>
  <si>
    <t>Peso 18(Kg)</t>
  </si>
  <si>
    <t>Data peso 19</t>
  </si>
  <si>
    <t>Peso 19 (Kg)</t>
  </si>
  <si>
    <t>Data peso 20</t>
  </si>
  <si>
    <t>Peso 20 (Kg)</t>
  </si>
  <si>
    <t>F2 foschia</t>
  </si>
  <si>
    <t>F3,5 F2 2F1</t>
  </si>
  <si>
    <t>F5 F3 3F2 6F1</t>
  </si>
  <si>
    <t>3F2 12F1</t>
  </si>
  <si>
    <t xml:space="preserve">F2 </t>
  </si>
  <si>
    <t>3F2  12F1</t>
  </si>
  <si>
    <t>F5 F4 2F3 3F2 3F1</t>
  </si>
  <si>
    <t>F4 F3,5 3F2 4F1</t>
  </si>
  <si>
    <t>5F2 3F1</t>
  </si>
  <si>
    <t>3F3 4F2 6F1</t>
  </si>
  <si>
    <t>3F3 5F2 10F1</t>
  </si>
  <si>
    <t>F3,5 F3 4F2 3F1</t>
  </si>
  <si>
    <t>CL 2F2 2F1</t>
  </si>
  <si>
    <t>Colorata di viola</t>
  </si>
  <si>
    <t>7F1</t>
  </si>
  <si>
    <t>CL 8F1</t>
  </si>
  <si>
    <t xml:space="preserve">F4 F3   </t>
  </si>
  <si>
    <t>2F4 F2 2F1</t>
  </si>
  <si>
    <t>4F2 10F1</t>
  </si>
  <si>
    <t>F4 5F2 4F1</t>
  </si>
  <si>
    <t>F6 4F2 3F1</t>
  </si>
  <si>
    <t>F5 2F2 6F1</t>
  </si>
  <si>
    <t>3F3 6F2 4F1</t>
  </si>
  <si>
    <t>F5 2F4 4F2 4F1</t>
  </si>
  <si>
    <t>F2,5 6F2 10F1</t>
  </si>
  <si>
    <t>62 cavità 6,05</t>
  </si>
  <si>
    <t>salvata immagine sbagliata con numero di altra pecora</t>
  </si>
  <si>
    <t>Data Peso 21</t>
  </si>
  <si>
    <t>Peso 21 (Kg)</t>
  </si>
  <si>
    <t>F6 F2 3F1</t>
  </si>
  <si>
    <t>F4 2F2 10F1</t>
  </si>
  <si>
    <t>F2,5 5F1</t>
  </si>
  <si>
    <t>F3,5 F3 3F2 6F1</t>
  </si>
  <si>
    <t>2F4 2F3 F2 5F1</t>
  </si>
  <si>
    <t>F6 F4 2F2 2F1 foschia</t>
  </si>
  <si>
    <t>F3,5 F2</t>
  </si>
  <si>
    <t>F3,5 2F2 4F1</t>
  </si>
  <si>
    <t>F6,5 F4 3F1</t>
  </si>
  <si>
    <t>CL F4 F3 2F1</t>
  </si>
  <si>
    <t>F4 F2,5</t>
  </si>
  <si>
    <t>2F4 2F3 3F2 3F1</t>
  </si>
  <si>
    <t>F4 F3 F2 4F1</t>
  </si>
  <si>
    <t>F3,5 F3 2F2 3F1</t>
  </si>
  <si>
    <t>3F2,5 2F2 3F1</t>
  </si>
  <si>
    <t>F6 F2 8F1</t>
  </si>
  <si>
    <t>F4,5 F4 F2,5 2F2</t>
  </si>
  <si>
    <t>F5 F1 foschia</t>
  </si>
  <si>
    <t>3F4 F3,5 F2 F1</t>
  </si>
  <si>
    <t>2F5 2F3 3F2 foschia</t>
  </si>
  <si>
    <t xml:space="preserve">F3 5F2 </t>
  </si>
  <si>
    <t>IT09003400220</t>
  </si>
  <si>
    <t>Utero piccolo</t>
  </si>
  <si>
    <t>foschia</t>
  </si>
  <si>
    <t xml:space="preserve">2F2 3F1 </t>
  </si>
  <si>
    <t>F3 F2,5 3F1</t>
  </si>
  <si>
    <t>F6 F3 F2,5 4F1</t>
  </si>
  <si>
    <t xml:space="preserve">F3 2F2 5F1 </t>
  </si>
  <si>
    <t>F4 2F2 4F1</t>
  </si>
  <si>
    <t>2F5 F3 3F2 6F1</t>
  </si>
  <si>
    <t>F5 F3,5 F2 F1</t>
  </si>
  <si>
    <t>F4 4F2 4F1</t>
  </si>
  <si>
    <t>F3 4F2 10F1</t>
  </si>
  <si>
    <t>5F2 12F1</t>
  </si>
  <si>
    <t>F6 2F2,5 3F2 3F1</t>
  </si>
  <si>
    <t>3F3 4F2 4F1</t>
  </si>
  <si>
    <t>F3 2F2 6F1</t>
  </si>
  <si>
    <t>F5 F4 3F1</t>
  </si>
  <si>
    <t>F3 4F2 2F1</t>
  </si>
  <si>
    <t>F6,5 8F1</t>
  </si>
  <si>
    <t>F5 F2 4F1 foschia</t>
  </si>
  <si>
    <t>F3 4F2 5F1</t>
  </si>
  <si>
    <t xml:space="preserve">F6 2F2 4F1 </t>
  </si>
  <si>
    <t>5F2 4F1</t>
  </si>
  <si>
    <t>F6 2F2 2F1</t>
  </si>
  <si>
    <t>F3 3F2</t>
  </si>
  <si>
    <t>Endometrite e alopecica</t>
  </si>
  <si>
    <t>3F3 F2 3F1</t>
  </si>
  <si>
    <t>F5 F3 F2 2F1</t>
  </si>
  <si>
    <t>2F3,5 F2 4F1</t>
  </si>
  <si>
    <t>F4 F3 2F2 4F1</t>
  </si>
  <si>
    <t>IT09003620611</t>
  </si>
  <si>
    <t>Utero molto grande</t>
  </si>
  <si>
    <t>5F2</t>
  </si>
  <si>
    <t>5F2 5F1</t>
  </si>
  <si>
    <t>F6 F4 F3 F2 3F1</t>
  </si>
  <si>
    <t>6F3 8F2 4F1</t>
  </si>
  <si>
    <t>F3,5 2F3 3F2 2F1</t>
  </si>
  <si>
    <t>F5 F4 F2 3F1</t>
  </si>
  <si>
    <t>F5 F3 4F1</t>
  </si>
  <si>
    <t>NO MARCA</t>
  </si>
  <si>
    <t>F6 F5 F4 2F2 5F1</t>
  </si>
  <si>
    <t>F3,5 4F2 2F1</t>
  </si>
  <si>
    <t>2F3 5F2 5F1</t>
  </si>
  <si>
    <t>Data peso 22</t>
  </si>
  <si>
    <t>Peso 22 (Kg)</t>
  </si>
  <si>
    <t>Data  peso 23</t>
  </si>
  <si>
    <t>Peso 23 (Kg)</t>
  </si>
  <si>
    <t>Data peso 24</t>
  </si>
  <si>
    <t>Peso 24 (Kg)</t>
  </si>
  <si>
    <t>F5 2F3 2F2 2F1</t>
  </si>
  <si>
    <t>F5 F3 2F2 2F1</t>
  </si>
  <si>
    <t>F5 F3 8F2 3F1</t>
  </si>
  <si>
    <t>F4 F3 4F1</t>
  </si>
  <si>
    <t>3F2,5 2F1</t>
  </si>
  <si>
    <t>2F5  F2  3F1</t>
  </si>
  <si>
    <t>2F5 F3 2F2 3F1</t>
  </si>
  <si>
    <t>4F3 2F2,5 F2 4F1</t>
  </si>
  <si>
    <t>F5 F4 3F3 5F2</t>
  </si>
  <si>
    <t>2F4 F1</t>
  </si>
  <si>
    <t>3F2,5 F2 F1</t>
  </si>
  <si>
    <t>F4 F2 6F1</t>
  </si>
  <si>
    <t>F3 32F2,5 F2 8F1</t>
  </si>
  <si>
    <t>F4,5 F4 3F3 4F2 6F1</t>
  </si>
  <si>
    <t>F3,5 3F1</t>
  </si>
  <si>
    <t>F3 3F2 5F1</t>
  </si>
  <si>
    <t>F5,5 3F2 5F1</t>
  </si>
  <si>
    <t>F3,5 F2 5F1</t>
  </si>
  <si>
    <t>F3,5 F3 5F2 10F1</t>
  </si>
  <si>
    <t>F3 6F2 5F1</t>
  </si>
  <si>
    <t>F6 F3,5 2F2 F1</t>
  </si>
  <si>
    <t xml:space="preserve">F2 4F1 foschia </t>
  </si>
  <si>
    <t>2F3,5 F3 3F2 5F1</t>
  </si>
  <si>
    <t>F6 3F2 4F1</t>
  </si>
  <si>
    <t>F3 2F2 5F1</t>
  </si>
  <si>
    <t>F2,5 F2 4F1</t>
  </si>
  <si>
    <t>F5 F4 F3 F2 3F1</t>
  </si>
  <si>
    <t>F2 7F1</t>
  </si>
  <si>
    <t>F6 F4 2F1</t>
  </si>
  <si>
    <t>F6 5F2 4F1</t>
  </si>
  <si>
    <t>F3,5 F3 F2 6F1</t>
  </si>
  <si>
    <t>5F2 6F1</t>
  </si>
  <si>
    <t>3F3 5F2 4F1</t>
  </si>
  <si>
    <t>F5 F4 F3 foschia</t>
  </si>
  <si>
    <t>F6 2F3 4F2 5F1</t>
  </si>
  <si>
    <t>F4 2F3 2F1</t>
  </si>
  <si>
    <t>F4 2F3 2F2,5 F2</t>
  </si>
  <si>
    <t xml:space="preserve">F1 </t>
  </si>
  <si>
    <t>F7 2F3 4F1</t>
  </si>
  <si>
    <t>F2,5 F2 6F1</t>
  </si>
  <si>
    <t>F3 F2,5 2F2 4F1</t>
  </si>
  <si>
    <t>F4 F3 2F2 2F1</t>
  </si>
  <si>
    <t>2F4 5F1</t>
  </si>
  <si>
    <t>Peso 25 (Kg)</t>
  </si>
  <si>
    <t>Data peso 26</t>
  </si>
  <si>
    <t>Data peso 25</t>
  </si>
  <si>
    <t>Peso 26 (Kg)</t>
  </si>
  <si>
    <t>IT09003620618</t>
  </si>
  <si>
    <t>F4 6F2 6F1</t>
  </si>
  <si>
    <t>Data peso 27</t>
  </si>
  <si>
    <t>Peso 27 (Kg)</t>
  </si>
  <si>
    <t>IT09002716117</t>
  </si>
  <si>
    <t>IT09003264620</t>
  </si>
  <si>
    <t>IT09002571708</t>
  </si>
  <si>
    <t>IT09003400233</t>
  </si>
  <si>
    <t>IT09003400222</t>
  </si>
  <si>
    <t>IT09003400232</t>
  </si>
  <si>
    <t>IT09003400212</t>
  </si>
  <si>
    <t>IT09003264627</t>
  </si>
  <si>
    <t>IT09001384846</t>
  </si>
  <si>
    <t>IT09003264642</t>
  </si>
  <si>
    <t>IT09002396766</t>
  </si>
  <si>
    <t>IT09003620636</t>
  </si>
  <si>
    <t>IT09003400217</t>
  </si>
  <si>
    <t>IT09002571703</t>
  </si>
  <si>
    <t>IT09003539410</t>
  </si>
  <si>
    <t>F4 6F2 5F1</t>
  </si>
  <si>
    <t>F4,5 F3 5F2 2F1</t>
  </si>
  <si>
    <t>F2,5 4F2 6F1</t>
  </si>
  <si>
    <t>2F5 3F2 6F1</t>
  </si>
  <si>
    <t>F5 F4 4F2 3F1</t>
  </si>
  <si>
    <t>F2,5 2F2 10F1</t>
  </si>
  <si>
    <t>F5 2F4 3F2 3F1</t>
  </si>
  <si>
    <t>F6 F4 F2,5 2F2 2F1</t>
  </si>
  <si>
    <t>F3 2F2,5 6F2 4F1</t>
  </si>
  <si>
    <t xml:space="preserve">2F4 F3 F2 3F1 </t>
  </si>
  <si>
    <t>F6 4F2 6F1</t>
  </si>
  <si>
    <t>4F2 2F1</t>
  </si>
  <si>
    <t>F4,5 F1</t>
  </si>
  <si>
    <t>F6 F3 F2 2F1</t>
  </si>
  <si>
    <t>F3,5 F2 6F1</t>
  </si>
  <si>
    <t>F5 F4 F3 4F2 F1</t>
  </si>
  <si>
    <t>2F3 10F2 6F1</t>
  </si>
  <si>
    <t>F6,5 F5 F3 3F2 2F1</t>
  </si>
  <si>
    <t>F6 F4 2F3 3F2,5 5F2 2F1</t>
  </si>
  <si>
    <t>3F3 8F2 6F1</t>
  </si>
  <si>
    <t>F4,5 4F2 F1</t>
  </si>
  <si>
    <t>F6 F2,5 3F2 3F1</t>
  </si>
  <si>
    <t>KL14 F7 F4 2F2 5F1</t>
  </si>
  <si>
    <t>foto sul foto</t>
  </si>
  <si>
    <t>F2 16F1</t>
  </si>
  <si>
    <r>
      <rPr>
        <sz val="11"/>
        <color rgb="FFFF0000"/>
        <rFont val="Aptos Narrow"/>
        <family val="2"/>
        <scheme val="minor"/>
      </rPr>
      <t>KL14</t>
    </r>
    <r>
      <rPr>
        <sz val="11"/>
        <color theme="1"/>
        <rFont val="Aptos Narrow"/>
        <family val="2"/>
        <scheme val="minor"/>
      </rPr>
      <t xml:space="preserve"> F7 F4 2F2 5F1</t>
    </r>
  </si>
  <si>
    <t>.</t>
  </si>
  <si>
    <t>F6 F3,5 6F1</t>
  </si>
  <si>
    <t>F3,5 F3 F2 2F1</t>
  </si>
  <si>
    <t>F6 3F3 5F2 4F1</t>
  </si>
  <si>
    <t>2F3 2F2,5 4F2 6F1</t>
  </si>
  <si>
    <t>F2,5 6F2 6F1</t>
  </si>
  <si>
    <t>F4,5 2F3 5F2 3F1</t>
  </si>
  <si>
    <t>F5,5 F2,5 5F1</t>
  </si>
  <si>
    <t>F6,5 4F2 3F1</t>
  </si>
  <si>
    <t>F5 4F2 4F1</t>
  </si>
  <si>
    <t>44,33 CAV 8,56</t>
  </si>
  <si>
    <t>CL F6,5 F3,5 4F2 3F1</t>
  </si>
  <si>
    <t>F5 3F2 3F1</t>
  </si>
  <si>
    <t>F5 2F4 2F2 3F1</t>
  </si>
  <si>
    <t>F4 F3,5 4F2 3F1</t>
  </si>
  <si>
    <t>F4 5F2 F1</t>
  </si>
  <si>
    <t>F5 F4,5 F4 F2</t>
  </si>
  <si>
    <t>F5 F3,5 F3 2F1</t>
  </si>
  <si>
    <t>F6,5 F2 F1</t>
  </si>
  <si>
    <t>3F3 4F1</t>
  </si>
  <si>
    <t>F5 3F3</t>
  </si>
  <si>
    <t>F5 3F2,5 2F2 2F1</t>
  </si>
  <si>
    <t>2F3 14F2 2F1</t>
  </si>
  <si>
    <t>F6 3F2 6F1</t>
  </si>
  <si>
    <t>F4 4F3 6F2 2F1</t>
  </si>
  <si>
    <t>F5 F4 2F3 8F2 3F1</t>
  </si>
  <si>
    <t xml:space="preserve">F4 2F3 10F2 </t>
  </si>
  <si>
    <t>F6 F3 8F2 3F1</t>
  </si>
  <si>
    <t>F4 F3 12F2 8F1</t>
  </si>
  <si>
    <t>F4 F3 14F2 5F1</t>
  </si>
  <si>
    <t>F3 F2,5 3F2 15F1</t>
  </si>
  <si>
    <t>F6,5 15F1</t>
  </si>
  <si>
    <t xml:space="preserve">F6 5F2 8F1 </t>
  </si>
  <si>
    <t>3F2 10F1</t>
  </si>
  <si>
    <t>Segnato come 31?</t>
  </si>
  <si>
    <t>FOTO SALVATA ECOGRAFO 18:16. pecora ha fatto ciclo breve, ora abbiamo deciso che la guardiamo fino a prossimo Cl</t>
  </si>
  <si>
    <t>Data peso 28</t>
  </si>
  <si>
    <t>Peso 28 (Kg)</t>
  </si>
  <si>
    <t>Data peso 29</t>
  </si>
  <si>
    <t>Peso 29 (Kg)</t>
  </si>
  <si>
    <t>morto</t>
  </si>
  <si>
    <t xml:space="preserve">F6  </t>
  </si>
  <si>
    <t>F4 6F2 15F1</t>
  </si>
  <si>
    <t>F5 4F2 10F1</t>
  </si>
  <si>
    <t>F3 F2,5 F1</t>
  </si>
  <si>
    <t>F7 4F2 5F1</t>
  </si>
  <si>
    <t>2F5 F4 F3 4F2 F1</t>
  </si>
  <si>
    <t xml:space="preserve">F5 F3  </t>
  </si>
  <si>
    <t>2F5 3F2 2F1</t>
  </si>
  <si>
    <t>109,32 CAV 6,83</t>
  </si>
  <si>
    <t>CL F5 F4 5F1</t>
  </si>
  <si>
    <t>OV</t>
  </si>
  <si>
    <t xml:space="preserve">F5 F4 6F2 5F1 </t>
  </si>
  <si>
    <t>2F5 2F1</t>
  </si>
  <si>
    <t>F5,5 F2 2F1</t>
  </si>
  <si>
    <t>2 ANNI E MEZZO</t>
  </si>
  <si>
    <t>F4 F3 3F2 2F1</t>
  </si>
  <si>
    <t>F6,5 F5,5 F2 F1</t>
  </si>
  <si>
    <t>F5,5 F5 F2,5 3F1</t>
  </si>
  <si>
    <t>2F3 4F2 F1</t>
  </si>
  <si>
    <t>F6 2F2,5 6F2 3F1</t>
  </si>
  <si>
    <t>10F2 2F1</t>
  </si>
  <si>
    <t>F5 F2,5 F2 3F1</t>
  </si>
  <si>
    <t>F5,5 F4 F3 6F2 4F1</t>
  </si>
  <si>
    <t xml:space="preserve">F4 F1 </t>
  </si>
  <si>
    <t>rumine molto voluminoso, non si vede</t>
  </si>
  <si>
    <t>F5 2F4 F3 2F2 3F1</t>
  </si>
  <si>
    <t xml:space="preserve">F6 F5 F3,5 2F3 6F2 </t>
  </si>
  <si>
    <t>F4 F3 2F2,5 4F2</t>
  </si>
  <si>
    <t>Proestro secondo spezzy per paramtri uterini</t>
  </si>
  <si>
    <t>F4,5 3F3 F2 4F1</t>
  </si>
  <si>
    <t>F6 F4,5 F3 2F2 4F1</t>
  </si>
  <si>
    <t>F6,5 F6 4F2 5F1</t>
  </si>
  <si>
    <t xml:space="preserve">3F2  </t>
  </si>
  <si>
    <t>F5 5F2 3F1</t>
  </si>
  <si>
    <t>F5,5 F2,5 F2 5F1</t>
  </si>
  <si>
    <t>F5,5 2F3 2F2 4F1</t>
  </si>
  <si>
    <t>131,5 CAV 1,,95</t>
  </si>
  <si>
    <t>CL F6 2F4 3F1</t>
  </si>
  <si>
    <t xml:space="preserve">  </t>
  </si>
  <si>
    <t>Data peso 30</t>
  </si>
  <si>
    <t>Peso 30 (Kg)</t>
  </si>
  <si>
    <t>F3 10F2 5F1</t>
  </si>
  <si>
    <t>3F3 5F2 3F1</t>
  </si>
  <si>
    <t>F3,5  F3 5F2 3F1</t>
  </si>
  <si>
    <t>5F3 6F2 5F1</t>
  </si>
  <si>
    <t>3F2,5 6F2 8F1</t>
  </si>
  <si>
    <t>F3,5 2F3 3F2,5 2F2 2F1</t>
  </si>
  <si>
    <t>F5 F4 F3 3F2 6F1</t>
  </si>
  <si>
    <t>F6 F5 F4 2F3,5 F3</t>
  </si>
  <si>
    <t>2F4 3F2 F1</t>
  </si>
  <si>
    <t>F6 F5 3F1</t>
  </si>
  <si>
    <t>CL F5 F2 4F1</t>
  </si>
  <si>
    <t>CERCHIO VERDE</t>
  </si>
  <si>
    <t>F5,5 F1</t>
  </si>
  <si>
    <t>F5,5 F4 F2,5 F2 F1</t>
  </si>
  <si>
    <t xml:space="preserve">F6 F3 </t>
  </si>
  <si>
    <t>3F2,5 2F2 F1</t>
  </si>
  <si>
    <t>F6,5 F4,5 F3 3F2 6F1</t>
  </si>
  <si>
    <t>F5 F4,5 6F2 3F1</t>
  </si>
  <si>
    <t>F5 F4 F3 5F2 6F1</t>
  </si>
  <si>
    <t>F6,5 F6 F3 10F2 10F1</t>
  </si>
  <si>
    <t>ov? 4F2 5F1</t>
  </si>
  <si>
    <t>F5 2F4 6F2 2F1</t>
  </si>
  <si>
    <t>2F4 F3 2F2 F1</t>
  </si>
  <si>
    <t xml:space="preserve">F5 F4 2F3 6F2 4F1 </t>
  </si>
  <si>
    <t>75,66 CAV 43,74</t>
  </si>
  <si>
    <t>foto ecografo</t>
  </si>
  <si>
    <t>125,13 cav 10,3</t>
  </si>
  <si>
    <t xml:space="preserve">CL F5 F4 </t>
  </si>
  <si>
    <t>KL F5 F2 5F1</t>
  </si>
  <si>
    <t xml:space="preserve">6F2 10F1 </t>
  </si>
  <si>
    <t>F6 F3</t>
  </si>
  <si>
    <t>F3,5 F3 5F2 3F1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</si>
</sst>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2" fillId="3" borderId="1" xfId="0" applyFont="1" applyFill="1" applyBorder="1" applyAlignment="1" applyProtection="1">
      <alignment horizontal="center" vertical="center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/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5" fillId="5" borderId="2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14" fontId="0" fillId="0" borderId="1" xfId="0" applyNumberFormat="1" applyBorder="1"/>
    <xf numFmtId="0" fontId="3" fillId="4" borderId="1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14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/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22" fontId="0" fillId="6" borderId="1" xfId="0" applyNumberFormat="1" applyFill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14" fontId="0" fillId="10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20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/>
    <xf numFmtId="0" fontId="4" fillId="10" borderId="1" xfId="0" applyFont="1" applyFill="1" applyBorder="1"/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 applyProtection="1">
      <alignment horizontal="center" vertical="center"/>
      <protection hidden="1"/>
    </xf>
    <xf numFmtId="0" fontId="4" fillId="14" borderId="1" xfId="0" applyFont="1" applyFill="1" applyBorder="1" applyAlignment="1" applyProtection="1">
      <alignment horizontal="center" vertical="center"/>
      <protection hidden="1"/>
    </xf>
    <xf numFmtId="0" fontId="3" fillId="1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3" fillId="14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5" fillId="18" borderId="1" xfId="0" applyFont="1" applyFill="1" applyBorder="1" applyAlignment="1" applyProtection="1">
      <alignment horizontal="center" vertical="center"/>
      <protection hidden="1"/>
    </xf>
    <xf numFmtId="0" fontId="4" fillId="18" borderId="1" xfId="0" applyFont="1" applyFill="1" applyBorder="1" applyAlignment="1" applyProtection="1">
      <alignment horizontal="center" vertical="center"/>
      <protection hidden="1"/>
    </xf>
    <xf numFmtId="0" fontId="5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4" fillId="18" borderId="1" xfId="0" applyFont="1" applyFill="1" applyBorder="1" applyAlignment="1">
      <alignment horizontal="center" vertical="center"/>
    </xf>
    <xf numFmtId="14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5" fillId="18" borderId="1" xfId="0" applyFont="1" applyFill="1" applyBorder="1"/>
    <xf numFmtId="0" fontId="4" fillId="18" borderId="1" xfId="0" applyFont="1" applyFill="1" applyBorder="1"/>
    <xf numFmtId="14" fontId="0" fillId="18" borderId="1" xfId="0" applyNumberFormat="1" applyFill="1" applyBorder="1"/>
    <xf numFmtId="0" fontId="12" fillId="1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0" fillId="10" borderId="0" xfId="0" applyFill="1"/>
    <xf numFmtId="0" fontId="5" fillId="10" borderId="1" xfId="0" applyFont="1" applyFill="1" applyBorder="1"/>
    <xf numFmtId="0" fontId="0" fillId="3" borderId="1" xfId="0" applyFill="1" applyBorder="1" applyAlignment="1">
      <alignment horizontal="center" vertical="center" wrapText="1"/>
    </xf>
    <xf numFmtId="16" fontId="0" fillId="0" borderId="1" xfId="0" applyNumberFormat="1" applyBorder="1"/>
    <xf numFmtId="16" fontId="0" fillId="0" borderId="1" xfId="0" applyNumberFormat="1" applyBorder="1" applyAlignment="1">
      <alignment horizontal="center" vertical="center"/>
    </xf>
    <xf numFmtId="22" fontId="0" fillId="3" borderId="1" xfId="0" applyNumberForma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hidden="1"/>
    </xf>
    <xf numFmtId="0" fontId="6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hidden="1"/>
    </xf>
    <xf numFmtId="3" fontId="0" fillId="0" borderId="1" xfId="0" applyNumberFormat="1" applyBorder="1" applyAlignment="1">
      <alignment horizontal="center" vertical="center"/>
    </xf>
    <xf numFmtId="22" fontId="0" fillId="7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13" fillId="19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3" fillId="23" borderId="1" xfId="0" applyFont="1" applyFill="1" applyBorder="1" applyAlignment="1" applyProtection="1">
      <alignment horizontal="center" vertical="center"/>
      <protection hidden="1"/>
    </xf>
    <xf numFmtId="0" fontId="0" fillId="23" borderId="1" xfId="0" applyFill="1" applyBorder="1" applyAlignment="1">
      <alignment horizontal="center" vertical="center"/>
    </xf>
    <xf numFmtId="14" fontId="0" fillId="23" borderId="1" xfId="0" applyNumberForma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800000"/>
      <color rgb="FFFFFFCC"/>
      <color rgb="FFF2C0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2716118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Foglio2!$B$1</c:f>
              <c:strCache>
                <c:ptCount val="1"/>
                <c:pt idx="0">
                  <c:v>118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Foglio2!$A$2:$A$16</c:f>
              <c:numCache>
                <c:formatCode>General</c:formatCode>
                <c:ptCount val="15"/>
                <c:pt idx="0">
                  <c:v>5</c:v>
                </c:pt>
                <c:pt idx="1">
                  <c:v>7</c:v>
                </c:pt>
                <c:pt idx="2">
                  <c:v>9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19</c:v>
                </c:pt>
                <c:pt idx="7">
                  <c:v>21</c:v>
                </c:pt>
                <c:pt idx="8">
                  <c:v>23</c:v>
                </c:pt>
                <c:pt idx="9">
                  <c:v>26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42</c:v>
                </c:pt>
                <c:pt idx="14">
                  <c:v>48</c:v>
                </c:pt>
              </c:numCache>
            </c:numRef>
          </c:cat>
          <c:val>
            <c:numRef>
              <c:f>Foglio2!$B$2:$B$16</c:f>
              <c:numCache>
                <c:formatCode>General</c:formatCode>
                <c:ptCount val="15"/>
                <c:pt idx="0">
                  <c:v>26.23</c:v>
                </c:pt>
                <c:pt idx="1">
                  <c:v>35.03</c:v>
                </c:pt>
                <c:pt idx="2">
                  <c:v>32.15</c:v>
                </c:pt>
                <c:pt idx="3">
                  <c:v>25.3</c:v>
                </c:pt>
                <c:pt idx="4">
                  <c:v>21.3</c:v>
                </c:pt>
                <c:pt idx="5">
                  <c:v>24.32</c:v>
                </c:pt>
                <c:pt idx="6">
                  <c:v>19.920000000000002</c:v>
                </c:pt>
                <c:pt idx="7">
                  <c:v>17.079999999999998</c:v>
                </c:pt>
                <c:pt idx="8">
                  <c:v>16.37</c:v>
                </c:pt>
                <c:pt idx="9">
                  <c:v>15.2</c:v>
                </c:pt>
                <c:pt idx="10">
                  <c:v>15.73</c:v>
                </c:pt>
                <c:pt idx="11">
                  <c:v>16.41</c:v>
                </c:pt>
                <c:pt idx="12">
                  <c:v>13.72</c:v>
                </c:pt>
                <c:pt idx="13">
                  <c:v>18.760000000000002</c:v>
                </c:pt>
                <c:pt idx="14">
                  <c:v>10.62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CA-41BF-BFAB-3D486483E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3389615"/>
        <c:axId val="1353401615"/>
      </c:lineChart>
      <c:catAx>
        <c:axId val="1353389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gg post parto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3401615"/>
        <c:crosses val="autoZero"/>
        <c:auto val="1"/>
        <c:lblAlgn val="ctr"/>
        <c:lblOffset val="100"/>
        <c:noMultiLvlLbl val="0"/>
      </c:catAx>
      <c:valAx>
        <c:axId val="13534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 UHD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338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2571710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Foglio2!$A$18:$A$34</c:f>
              <c:numCache>
                <c:formatCode>General</c:formatCode>
                <c:ptCount val="1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13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23</c:v>
                </c:pt>
                <c:pt idx="10">
                  <c:v>26</c:v>
                </c:pt>
                <c:pt idx="11">
                  <c:v>30</c:v>
                </c:pt>
                <c:pt idx="12">
                  <c:v>33</c:v>
                </c:pt>
                <c:pt idx="13">
                  <c:v>38</c:v>
                </c:pt>
                <c:pt idx="14">
                  <c:v>44</c:v>
                </c:pt>
                <c:pt idx="15">
                  <c:v>47</c:v>
                </c:pt>
                <c:pt idx="16">
                  <c:v>52</c:v>
                </c:pt>
              </c:numCache>
            </c:numRef>
          </c:cat>
          <c:val>
            <c:numRef>
              <c:f>Foglio2!$B$18:$B$34</c:f>
              <c:numCache>
                <c:formatCode>General</c:formatCode>
                <c:ptCount val="17"/>
                <c:pt idx="0">
                  <c:v>46.18</c:v>
                </c:pt>
                <c:pt idx="1">
                  <c:v>37.049999999999997</c:v>
                </c:pt>
                <c:pt idx="2">
                  <c:v>39.409999999999997</c:v>
                </c:pt>
                <c:pt idx="3">
                  <c:v>29.93</c:v>
                </c:pt>
                <c:pt idx="4">
                  <c:v>28.48</c:v>
                </c:pt>
                <c:pt idx="5">
                  <c:v>27.93</c:v>
                </c:pt>
                <c:pt idx="6">
                  <c:v>29.01</c:v>
                </c:pt>
                <c:pt idx="7">
                  <c:v>20.170000000000002</c:v>
                </c:pt>
                <c:pt idx="8">
                  <c:v>27.39</c:v>
                </c:pt>
                <c:pt idx="9">
                  <c:v>20.88</c:v>
                </c:pt>
                <c:pt idx="10">
                  <c:v>14.37</c:v>
                </c:pt>
                <c:pt idx="11">
                  <c:v>19.37</c:v>
                </c:pt>
                <c:pt idx="12">
                  <c:v>14.91</c:v>
                </c:pt>
                <c:pt idx="13">
                  <c:v>16.97</c:v>
                </c:pt>
                <c:pt idx="14">
                  <c:v>9.93</c:v>
                </c:pt>
                <c:pt idx="15">
                  <c:v>13.34</c:v>
                </c:pt>
                <c:pt idx="16">
                  <c:v>14.82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3-49BB-96C8-5A7EA3A50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890015"/>
        <c:axId val="331898175"/>
      </c:lineChart>
      <c:catAx>
        <c:axId val="33189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1898175"/>
        <c:crosses val="autoZero"/>
        <c:auto val="1"/>
        <c:lblAlgn val="ctr"/>
        <c:lblOffset val="100"/>
        <c:noMultiLvlLbl val="0"/>
      </c:catAx>
      <c:valAx>
        <c:axId val="3318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3189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2571707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Foglio2!$A$36:$A$51</c:f>
              <c:numCache>
                <c:formatCode>General</c:formatCode>
                <c:ptCount val="1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22</c:v>
                </c:pt>
                <c:pt idx="10">
                  <c:v>25</c:v>
                </c:pt>
                <c:pt idx="11">
                  <c:v>29</c:v>
                </c:pt>
                <c:pt idx="12">
                  <c:v>32</c:v>
                </c:pt>
                <c:pt idx="13">
                  <c:v>37</c:v>
                </c:pt>
                <c:pt idx="14">
                  <c:v>43</c:v>
                </c:pt>
                <c:pt idx="15">
                  <c:v>46</c:v>
                </c:pt>
              </c:numCache>
            </c:numRef>
          </c:cat>
          <c:val>
            <c:numRef>
              <c:f>Foglio2!$B$36:$B$51</c:f>
              <c:numCache>
                <c:formatCode>General</c:formatCode>
                <c:ptCount val="16"/>
                <c:pt idx="0">
                  <c:v>36.619999999999997</c:v>
                </c:pt>
                <c:pt idx="1">
                  <c:v>43.37</c:v>
                </c:pt>
                <c:pt idx="2">
                  <c:v>51.1</c:v>
                </c:pt>
                <c:pt idx="3">
                  <c:v>38.950000000000003</c:v>
                </c:pt>
                <c:pt idx="4">
                  <c:v>22.01</c:v>
                </c:pt>
                <c:pt idx="5">
                  <c:v>22.2</c:v>
                </c:pt>
                <c:pt idx="6">
                  <c:v>19.45</c:v>
                </c:pt>
                <c:pt idx="7">
                  <c:v>18.72</c:v>
                </c:pt>
                <c:pt idx="8">
                  <c:v>16.98</c:v>
                </c:pt>
                <c:pt idx="9">
                  <c:v>16.190000000000001</c:v>
                </c:pt>
                <c:pt idx="10">
                  <c:v>22.06</c:v>
                </c:pt>
                <c:pt idx="11">
                  <c:v>26.94</c:v>
                </c:pt>
                <c:pt idx="12">
                  <c:v>16.329999999999998</c:v>
                </c:pt>
                <c:pt idx="13">
                  <c:v>22.73</c:v>
                </c:pt>
                <c:pt idx="14">
                  <c:v>19.809999999999999</c:v>
                </c:pt>
                <c:pt idx="15">
                  <c:v>15.38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1-4D9B-A941-838465E64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6559888"/>
        <c:axId val="926561808"/>
      </c:lineChart>
      <c:catAx>
        <c:axId val="92655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561808"/>
        <c:crosses val="autoZero"/>
        <c:auto val="1"/>
        <c:lblAlgn val="ctr"/>
        <c:lblOffset val="100"/>
        <c:noMultiLvlLbl val="0"/>
      </c:catAx>
      <c:valAx>
        <c:axId val="92656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2655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3620624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Foglio2!$B$53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Foglio2!$A$53:$A$67</c:f>
              <c:numCache>
                <c:formatCode>General</c:formatCode>
                <c:ptCount val="1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  <c:pt idx="8">
                  <c:v>19</c:v>
                </c:pt>
                <c:pt idx="9">
                  <c:v>22</c:v>
                </c:pt>
                <c:pt idx="10">
                  <c:v>25</c:v>
                </c:pt>
                <c:pt idx="11">
                  <c:v>29</c:v>
                </c:pt>
                <c:pt idx="12">
                  <c:v>32</c:v>
                </c:pt>
                <c:pt idx="13">
                  <c:v>37</c:v>
                </c:pt>
                <c:pt idx="14">
                  <c:v>43</c:v>
                </c:pt>
              </c:numCache>
            </c:numRef>
          </c:cat>
          <c:val>
            <c:numRef>
              <c:f>Foglio2!$B$53:$B$67</c:f>
              <c:numCache>
                <c:formatCode>General</c:formatCode>
                <c:ptCount val="15"/>
                <c:pt idx="1">
                  <c:v>41.27</c:v>
                </c:pt>
                <c:pt idx="2">
                  <c:v>33.26</c:v>
                </c:pt>
                <c:pt idx="3">
                  <c:v>26.54</c:v>
                </c:pt>
                <c:pt idx="4">
                  <c:v>26.35</c:v>
                </c:pt>
                <c:pt idx="5">
                  <c:v>26.41</c:v>
                </c:pt>
                <c:pt idx="6">
                  <c:v>29.4</c:v>
                </c:pt>
                <c:pt idx="7">
                  <c:v>20.079999999999998</c:v>
                </c:pt>
                <c:pt idx="8">
                  <c:v>26.76</c:v>
                </c:pt>
                <c:pt idx="9">
                  <c:v>22.09</c:v>
                </c:pt>
                <c:pt idx="10">
                  <c:v>20.28</c:v>
                </c:pt>
                <c:pt idx="11">
                  <c:v>17.079999999999998</c:v>
                </c:pt>
                <c:pt idx="12">
                  <c:v>16.190000000000001</c:v>
                </c:pt>
                <c:pt idx="13">
                  <c:v>18.059999999999999</c:v>
                </c:pt>
                <c:pt idx="14">
                  <c:v>17.920000000000002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A-4CC0-B631-CC88B7BD4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4339808"/>
        <c:axId val="824338848"/>
      </c:lineChart>
      <c:catAx>
        <c:axId val="82433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4338848"/>
        <c:crosses val="autoZero"/>
        <c:auto val="1"/>
        <c:lblAlgn val="ctr"/>
        <c:lblOffset val="100"/>
        <c:noMultiLvlLbl val="0"/>
      </c:catAx>
      <c:valAx>
        <c:axId val="82433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4339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161925</xdr:rowOff>
    </xdr:from>
    <xdr:to>
      <xdr:col>13</xdr:col>
      <xdr:colOff>231775</xdr:colOff>
      <xdr:row>16</xdr:row>
      <xdr:rowOff>142875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69AF58C-590F-991E-8486-6F14CC1FA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492125</xdr:colOff>
      <xdr:row>18</xdr:row>
      <xdr:rowOff>95250</xdr:rowOff>
    </xdr:from>
    <xdr:to>
      <xdr:col>13</xdr:col>
      <xdr:colOff>187325</xdr:colOff>
      <xdr:row>33</xdr:row>
      <xdr:rowOff>76200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9315BBB-6895-4AD2-60D4-E9327B203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536575</xdr:colOff>
      <xdr:row>35</xdr:row>
      <xdr:rowOff>120650</xdr:rowOff>
    </xdr:from>
    <xdr:to>
      <xdr:col>13</xdr:col>
      <xdr:colOff>231775</xdr:colOff>
      <xdr:row>50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DEF2C07-31B0-5D6E-95AC-69174A6F0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536575</xdr:colOff>
      <xdr:row>51</xdr:row>
      <xdr:rowOff>120650</xdr:rowOff>
    </xdr:from>
    <xdr:to>
      <xdr:col>13</xdr:col>
      <xdr:colOff>231775</xdr:colOff>
      <xdr:row>66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424F067-E84A-9589-7646-F870A855F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36DF-0562-4758-BA18-49987260F2FB}">
  <dimension ref="A1:BI369"/>
  <sheetViews>
    <sheetView zoomScale="56" zoomScaleNormal="65" workbookViewId="0">
      <pane ySplit="2" topLeftCell="A331" activePane="bottomLeft" state="frozen"/>
      <selection pane="bottomLeft" activeCell="N168" sqref="N168"/>
    </sheetView>
  </sheetViews>
  <sheetFormatPr defaultColWidth="12.453125" defaultRowHeight="60" customHeight="1" x14ac:dyDescent="0.5"/>
  <cols>
    <col min="1" max="1" width="4.453125" style="34" customWidth="1"/>
    <col min="2" max="2" width="26.6328125" style="30" customWidth="1"/>
    <col min="3" max="3" width="11.36328125" style="1" customWidth="1"/>
    <col min="4" max="8" width="12.1796875" style="1" customWidth="1"/>
    <col min="9" max="9" width="7.1796875" style="1" customWidth="1"/>
    <col min="10" max="10" width="7.6328125" style="1" customWidth="1"/>
    <col min="11" max="11" width="15.6328125" style="1" customWidth="1"/>
    <col min="12" max="12" width="7.1796875" style="1" customWidth="1"/>
    <col min="13" max="13" width="7.6328125" style="1" customWidth="1"/>
    <col min="14" max="14" width="15.6328125" style="1" customWidth="1"/>
    <col min="15" max="16" width="12.81640625" style="1" customWidth="1"/>
    <col min="17" max="17" width="22.36328125" style="1" customWidth="1"/>
    <col min="18" max="22" width="25.6328125" style="1" customWidth="1"/>
    <col min="23" max="23" width="18.453125" style="28" customWidth="1"/>
    <col min="24" max="24" width="15.36328125" style="28" customWidth="1"/>
    <col min="25" max="26" width="12.6328125" style="28" customWidth="1"/>
    <col min="27" max="27" width="14.36328125" style="28" customWidth="1"/>
    <col min="28" max="30" width="12.6328125" style="28" customWidth="1"/>
    <col min="31" max="31" width="17.453125" style="28" customWidth="1"/>
    <col min="32" max="45" width="12.6328125" style="28" customWidth="1"/>
    <col min="46" max="49" width="14.6328125" style="1" customWidth="1"/>
    <col min="50" max="50" width="14.453125" style="1" customWidth="1"/>
    <col min="51" max="51" width="14.6328125" style="1" hidden="1" customWidth="1"/>
    <col min="52" max="60" width="14.6328125" style="1" customWidth="1"/>
    <col min="61" max="61" width="59.453125" style="2" customWidth="1"/>
    <col min="62" max="16384" width="12.453125" style="1"/>
  </cols>
  <sheetData>
    <row r="1" spans="1:61" s="6" customFormat="1" ht="84" x14ac:dyDescent="0.35">
      <c r="A1" s="112" t="s">
        <v>0</v>
      </c>
      <c r="B1" s="29" t="s">
        <v>1</v>
      </c>
      <c r="C1" s="4" t="s">
        <v>7</v>
      </c>
      <c r="D1" s="5" t="s">
        <v>2</v>
      </c>
      <c r="E1" s="4" t="s">
        <v>159</v>
      </c>
      <c r="F1" s="4" t="s">
        <v>780</v>
      </c>
      <c r="G1" s="4" t="s">
        <v>160</v>
      </c>
      <c r="H1" s="5" t="s">
        <v>144</v>
      </c>
      <c r="I1" s="4" t="s">
        <v>5</v>
      </c>
      <c r="J1" s="4" t="s">
        <v>12</v>
      </c>
      <c r="K1" s="4" t="s">
        <v>8</v>
      </c>
      <c r="L1" s="4" t="s">
        <v>6</v>
      </c>
      <c r="M1" s="4" t="s">
        <v>13</v>
      </c>
      <c r="N1" s="5" t="s">
        <v>9</v>
      </c>
      <c r="O1" s="4" t="s">
        <v>4</v>
      </c>
      <c r="P1" s="4" t="s">
        <v>215</v>
      </c>
      <c r="Q1" s="5" t="s">
        <v>3</v>
      </c>
      <c r="R1" s="24" t="s">
        <v>39</v>
      </c>
      <c r="S1" s="35" t="s">
        <v>368</v>
      </c>
      <c r="T1" s="60" t="s">
        <v>778</v>
      </c>
      <c r="U1" s="35" t="s">
        <v>49</v>
      </c>
      <c r="V1" s="60" t="s">
        <v>779</v>
      </c>
      <c r="W1" s="144" t="s">
        <v>40</v>
      </c>
      <c r="X1" s="145"/>
      <c r="Y1" s="145"/>
      <c r="Z1" s="145"/>
      <c r="AA1" s="145"/>
      <c r="AB1" s="145"/>
      <c r="AC1" s="145"/>
      <c r="AD1" s="145"/>
      <c r="AE1" s="145"/>
      <c r="AF1" s="1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147" t="s">
        <v>41</v>
      </c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9"/>
      <c r="BI1" s="16" t="s">
        <v>34</v>
      </c>
    </row>
    <row r="2" spans="1:61" s="6" customFormat="1" ht="80" customHeight="1" x14ac:dyDescent="0.35">
      <c r="A2" s="31"/>
      <c r="B2" s="29"/>
      <c r="C2" s="13"/>
      <c r="D2" s="12"/>
      <c r="E2" s="12"/>
      <c r="F2" s="12"/>
      <c r="G2" s="12"/>
      <c r="H2" s="12"/>
      <c r="I2" s="13"/>
      <c r="J2" s="13"/>
      <c r="K2" s="13"/>
      <c r="L2" s="13"/>
      <c r="M2" s="13"/>
      <c r="N2" s="12"/>
      <c r="O2" s="13"/>
      <c r="P2" s="13"/>
      <c r="Q2" s="12"/>
      <c r="R2" s="1"/>
      <c r="S2" s="1"/>
      <c r="T2" s="1"/>
      <c r="U2" s="1"/>
      <c r="V2" s="1"/>
      <c r="W2" s="25" t="s">
        <v>56</v>
      </c>
      <c r="X2" s="25" t="s">
        <v>43</v>
      </c>
      <c r="Y2" s="25" t="s">
        <v>90</v>
      </c>
      <c r="Z2" s="25" t="s">
        <v>44</v>
      </c>
      <c r="AA2" s="25" t="s">
        <v>45</v>
      </c>
      <c r="AB2" s="26" t="s">
        <v>28</v>
      </c>
      <c r="AC2" s="26" t="s">
        <v>29</v>
      </c>
      <c r="AD2" s="25" t="s">
        <v>33</v>
      </c>
      <c r="AE2" s="25" t="s">
        <v>46</v>
      </c>
      <c r="AF2" s="25" t="s">
        <v>47</v>
      </c>
      <c r="AG2" s="75" t="s">
        <v>481</v>
      </c>
      <c r="AH2" s="75" t="s">
        <v>473</v>
      </c>
      <c r="AI2" s="75" t="s">
        <v>476</v>
      </c>
      <c r="AJ2" s="75" t="s">
        <v>483</v>
      </c>
      <c r="AK2" s="75" t="s">
        <v>477</v>
      </c>
      <c r="AL2" s="75" t="s">
        <v>478</v>
      </c>
      <c r="AM2" s="75" t="s">
        <v>484</v>
      </c>
      <c r="AN2" s="75" t="s">
        <v>474</v>
      </c>
      <c r="AO2" s="75" t="s">
        <v>479</v>
      </c>
      <c r="AP2" s="75" t="s">
        <v>485</v>
      </c>
      <c r="AQ2" s="75" t="s">
        <v>475</v>
      </c>
      <c r="AR2" s="75" t="s">
        <v>480</v>
      </c>
      <c r="AS2" s="75" t="s">
        <v>486</v>
      </c>
      <c r="AT2" s="15" t="s">
        <v>42</v>
      </c>
      <c r="AU2" s="14" t="s">
        <v>30</v>
      </c>
      <c r="AV2" s="14" t="s">
        <v>31</v>
      </c>
      <c r="AW2" s="15" t="s">
        <v>60</v>
      </c>
      <c r="AX2" s="14" t="s">
        <v>32</v>
      </c>
      <c r="AY2" s="15"/>
      <c r="AZ2" s="15" t="s">
        <v>61</v>
      </c>
      <c r="BA2" s="15" t="s">
        <v>62</v>
      </c>
      <c r="BB2" s="15" t="s">
        <v>58</v>
      </c>
      <c r="BC2" s="15" t="s">
        <v>63</v>
      </c>
      <c r="BD2" s="15" t="s">
        <v>64</v>
      </c>
      <c r="BE2" s="15" t="s">
        <v>65</v>
      </c>
      <c r="BF2" s="15" t="s">
        <v>66</v>
      </c>
      <c r="BG2" s="15" t="s">
        <v>59</v>
      </c>
      <c r="BH2" s="14" t="s">
        <v>48</v>
      </c>
      <c r="BI2" s="113"/>
    </row>
    <row r="3" spans="1:61" s="2" customFormat="1" ht="60" customHeight="1" x14ac:dyDescent="0.35">
      <c r="A3" s="32">
        <v>1</v>
      </c>
      <c r="B3" s="57" t="s">
        <v>54</v>
      </c>
      <c r="C3" s="3">
        <v>44428</v>
      </c>
      <c r="D3" s="3">
        <v>45889</v>
      </c>
      <c r="E3" s="44">
        <f>(D3-C3)</f>
        <v>1461</v>
      </c>
      <c r="F3" s="44">
        <f>E3/30</f>
        <v>48.7</v>
      </c>
      <c r="G3" s="44">
        <f>E3/365</f>
        <v>4.0027397260273974</v>
      </c>
      <c r="H3" s="44">
        <f>(E3-180)/240</f>
        <v>5.3375000000000004</v>
      </c>
      <c r="I3" s="2" t="s">
        <v>10</v>
      </c>
      <c r="J3" s="2">
        <v>3.99</v>
      </c>
      <c r="K3" s="2">
        <v>4109</v>
      </c>
      <c r="R3" s="3">
        <v>45894</v>
      </c>
      <c r="S3" s="58">
        <v>0.77986111111111112</v>
      </c>
      <c r="T3" s="58"/>
      <c r="U3" s="36">
        <f>R3-$D$3</f>
        <v>5</v>
      </c>
      <c r="V3" s="133">
        <f>R16-D3</f>
        <v>41.697916666664241</v>
      </c>
      <c r="W3" s="27">
        <v>26.23</v>
      </c>
      <c r="X3" s="27" t="s">
        <v>55</v>
      </c>
      <c r="Y3" s="27">
        <v>3.97</v>
      </c>
      <c r="Z3" s="27">
        <v>11.39</v>
      </c>
      <c r="AA3" s="27" t="s">
        <v>55</v>
      </c>
      <c r="AB3" s="27" t="s">
        <v>55</v>
      </c>
      <c r="AC3" s="27" t="s">
        <v>55</v>
      </c>
      <c r="AD3" s="27" t="s">
        <v>55</v>
      </c>
      <c r="AE3" s="27" t="s">
        <v>55</v>
      </c>
      <c r="AF3" s="27" t="s">
        <v>55</v>
      </c>
      <c r="AG3" s="27" t="s">
        <v>55</v>
      </c>
      <c r="AH3" s="27" t="s">
        <v>55</v>
      </c>
      <c r="AI3" s="27" t="s">
        <v>55</v>
      </c>
      <c r="AJ3" s="27" t="s">
        <v>55</v>
      </c>
      <c r="AK3" s="27" t="s">
        <v>55</v>
      </c>
      <c r="AL3" s="27" t="s">
        <v>55</v>
      </c>
      <c r="AM3" s="27" t="s">
        <v>55</v>
      </c>
      <c r="AN3" s="27" t="s">
        <v>55</v>
      </c>
      <c r="AO3" s="27" t="s">
        <v>55</v>
      </c>
      <c r="AP3" s="27" t="s">
        <v>55</v>
      </c>
      <c r="AQ3" s="27" t="s">
        <v>55</v>
      </c>
      <c r="AR3" s="27" t="s">
        <v>55</v>
      </c>
      <c r="AS3" s="27" t="s">
        <v>55</v>
      </c>
      <c r="AT3" s="2" t="s">
        <v>50</v>
      </c>
    </row>
    <row r="4" spans="1:61" s="2" customFormat="1" ht="60" customHeight="1" x14ac:dyDescent="0.35">
      <c r="A4" s="32"/>
      <c r="B4" s="20"/>
      <c r="D4" s="3"/>
      <c r="E4" s="44"/>
      <c r="F4" s="44"/>
      <c r="G4" s="44"/>
      <c r="H4" s="44"/>
      <c r="R4" s="3">
        <v>45896</v>
      </c>
      <c r="S4" s="58">
        <v>0.71736111111111112</v>
      </c>
      <c r="T4" s="58"/>
      <c r="U4" s="36">
        <f>R4-$D$3</f>
        <v>7</v>
      </c>
      <c r="V4" s="36"/>
      <c r="W4" s="37">
        <v>35.03</v>
      </c>
      <c r="X4" s="27">
        <v>17.510000000000002</v>
      </c>
      <c r="Y4" s="27">
        <v>5.35</v>
      </c>
      <c r="Z4" s="27">
        <v>13.78</v>
      </c>
      <c r="AA4" s="27">
        <v>3.08</v>
      </c>
      <c r="AB4" s="27" t="s">
        <v>55</v>
      </c>
      <c r="AC4" s="27" t="s">
        <v>55</v>
      </c>
      <c r="AD4" s="27" t="s">
        <v>55</v>
      </c>
      <c r="AE4" s="27" t="s">
        <v>55</v>
      </c>
      <c r="AF4" s="27" t="s">
        <v>55</v>
      </c>
      <c r="AG4" s="27" t="s">
        <v>55</v>
      </c>
      <c r="AH4" s="27" t="s">
        <v>55</v>
      </c>
      <c r="AI4" s="27" t="s">
        <v>55</v>
      </c>
      <c r="AJ4" s="27" t="s">
        <v>55</v>
      </c>
      <c r="AK4" s="27" t="s">
        <v>55</v>
      </c>
      <c r="AL4" s="27" t="s">
        <v>55</v>
      </c>
      <c r="AM4" s="27" t="s">
        <v>55</v>
      </c>
      <c r="AN4" s="27" t="s">
        <v>55</v>
      </c>
      <c r="AO4" s="27" t="s">
        <v>55</v>
      </c>
      <c r="AP4" s="27" t="s">
        <v>55</v>
      </c>
      <c r="AQ4" s="27" t="s">
        <v>55</v>
      </c>
      <c r="AR4" s="27" t="s">
        <v>55</v>
      </c>
      <c r="AS4" s="27" t="s">
        <v>55</v>
      </c>
      <c r="AT4" s="2" t="s">
        <v>52</v>
      </c>
      <c r="AU4" s="2">
        <v>0.77</v>
      </c>
      <c r="AV4" s="2">
        <v>2.1</v>
      </c>
      <c r="AW4" s="2">
        <v>5.2450000000000001</v>
      </c>
      <c r="AX4" s="2">
        <v>4.33</v>
      </c>
      <c r="AZ4" s="2">
        <v>22.35</v>
      </c>
      <c r="BA4" s="2">
        <v>7.3449999999999998</v>
      </c>
      <c r="BB4" s="2">
        <v>10.5</v>
      </c>
      <c r="BC4" s="2">
        <v>0.64500000000000002</v>
      </c>
      <c r="BD4" s="2">
        <v>0.32500000000000001</v>
      </c>
      <c r="BE4" s="2">
        <v>1.4999999999999999E-2</v>
      </c>
      <c r="BF4" s="2">
        <v>0.02</v>
      </c>
      <c r="BG4" s="2">
        <v>16</v>
      </c>
      <c r="BH4" s="2">
        <v>87</v>
      </c>
    </row>
    <row r="5" spans="1:61" s="2" customFormat="1" ht="60" customHeight="1" x14ac:dyDescent="0.35">
      <c r="A5" s="32"/>
      <c r="B5" s="20"/>
      <c r="D5" s="3"/>
      <c r="E5" s="44"/>
      <c r="F5" s="44"/>
      <c r="G5" s="44"/>
      <c r="H5" s="44"/>
      <c r="R5" s="3">
        <v>45898</v>
      </c>
      <c r="S5" s="58">
        <v>0.36458333333333331</v>
      </c>
      <c r="T5" s="58"/>
      <c r="U5" s="36">
        <f t="shared" ref="U5:U17" si="0">R5-$D$3</f>
        <v>9</v>
      </c>
      <c r="V5" s="36"/>
      <c r="W5" s="27">
        <v>32.15</v>
      </c>
      <c r="X5" s="27">
        <v>15.86</v>
      </c>
      <c r="Y5" s="27">
        <v>3.95</v>
      </c>
      <c r="Z5" s="27">
        <v>12.99</v>
      </c>
      <c r="AA5" s="27">
        <v>2.1</v>
      </c>
      <c r="AB5" s="27" t="s">
        <v>55</v>
      </c>
      <c r="AC5" s="27" t="s">
        <v>55</v>
      </c>
      <c r="AD5" s="27" t="s">
        <v>55</v>
      </c>
      <c r="AE5" s="27" t="s">
        <v>55</v>
      </c>
      <c r="AF5" s="27" t="s">
        <v>55</v>
      </c>
      <c r="AG5" s="27" t="s">
        <v>55</v>
      </c>
      <c r="AH5" s="27" t="s">
        <v>55</v>
      </c>
      <c r="AI5" s="27" t="s">
        <v>55</v>
      </c>
      <c r="AJ5" s="27" t="s">
        <v>55</v>
      </c>
      <c r="AK5" s="27" t="s">
        <v>55</v>
      </c>
      <c r="AL5" s="27" t="s">
        <v>55</v>
      </c>
      <c r="AM5" s="27" t="s">
        <v>55</v>
      </c>
      <c r="AN5" s="27" t="s">
        <v>55</v>
      </c>
      <c r="AO5" s="27" t="s">
        <v>55</v>
      </c>
      <c r="AP5" s="27" t="s">
        <v>55</v>
      </c>
      <c r="AQ5" s="27" t="s">
        <v>55</v>
      </c>
      <c r="AR5" s="27" t="s">
        <v>55</v>
      </c>
      <c r="AS5" s="27" t="s">
        <v>55</v>
      </c>
      <c r="AT5" s="2" t="s">
        <v>52</v>
      </c>
      <c r="AU5" s="2">
        <v>0.91500000000000004</v>
      </c>
      <c r="AV5" s="2">
        <v>1.83</v>
      </c>
      <c r="AW5" s="2">
        <v>7.96</v>
      </c>
      <c r="AX5" s="2">
        <v>11.56</v>
      </c>
      <c r="AZ5" s="2">
        <v>91.72</v>
      </c>
      <c r="BA5" s="2">
        <v>30.78</v>
      </c>
      <c r="BB5" s="2">
        <v>20.395</v>
      </c>
      <c r="BC5" s="2">
        <v>0.44500000000000001</v>
      </c>
      <c r="BD5" s="2">
        <v>3.3650000000000002</v>
      </c>
      <c r="BE5" s="2">
        <v>2.5000000000000001E-2</v>
      </c>
      <c r="BF5" s="2">
        <v>0.38</v>
      </c>
      <c r="BG5" s="2">
        <v>60</v>
      </c>
      <c r="BH5" s="2">
        <v>90.5</v>
      </c>
    </row>
    <row r="6" spans="1:61" s="2" customFormat="1" ht="60" customHeight="1" x14ac:dyDescent="0.35">
      <c r="A6" s="32"/>
      <c r="B6" s="20"/>
      <c r="D6" s="3"/>
      <c r="E6" s="44"/>
      <c r="F6" s="44"/>
      <c r="G6" s="44"/>
      <c r="H6" s="44"/>
      <c r="R6" s="3">
        <v>45901</v>
      </c>
      <c r="S6" s="58">
        <v>0.36875000000000002</v>
      </c>
      <c r="T6" s="58"/>
      <c r="U6" s="36">
        <f t="shared" si="0"/>
        <v>12</v>
      </c>
      <c r="V6" s="36"/>
      <c r="W6" s="27">
        <v>25.3</v>
      </c>
      <c r="X6" s="27">
        <v>13.78</v>
      </c>
      <c r="Y6" s="27">
        <v>4.33</v>
      </c>
      <c r="Z6" s="27">
        <v>14.81</v>
      </c>
      <c r="AA6" s="27">
        <v>5.3</v>
      </c>
      <c r="AB6" s="27" t="s">
        <v>87</v>
      </c>
      <c r="AC6" s="27" t="s">
        <v>88</v>
      </c>
      <c r="AD6" s="27">
        <v>12</v>
      </c>
      <c r="AE6" s="27" t="s">
        <v>55</v>
      </c>
      <c r="AF6" s="27" t="s">
        <v>55</v>
      </c>
      <c r="AG6" s="27" t="s">
        <v>55</v>
      </c>
      <c r="AH6" s="27" t="s">
        <v>55</v>
      </c>
      <c r="AI6" s="27" t="s">
        <v>55</v>
      </c>
      <c r="AJ6" s="27" t="s">
        <v>55</v>
      </c>
      <c r="AK6" s="27" t="s">
        <v>55</v>
      </c>
      <c r="AL6" s="27" t="s">
        <v>55</v>
      </c>
      <c r="AM6" s="27" t="s">
        <v>55</v>
      </c>
      <c r="AN6" s="27" t="s">
        <v>55</v>
      </c>
      <c r="AO6" s="27" t="s">
        <v>55</v>
      </c>
      <c r="AP6" s="27" t="s">
        <v>55</v>
      </c>
      <c r="AQ6" s="27" t="s">
        <v>55</v>
      </c>
      <c r="AR6" s="27" t="s">
        <v>55</v>
      </c>
      <c r="AS6" s="27" t="s">
        <v>55</v>
      </c>
      <c r="AT6" s="2" t="s">
        <v>84</v>
      </c>
      <c r="AU6" s="2">
        <v>0.57999999999999996</v>
      </c>
      <c r="AV6" s="2">
        <v>1.01</v>
      </c>
      <c r="AW6" s="2">
        <v>10.61</v>
      </c>
      <c r="AX6" s="2">
        <v>2.36</v>
      </c>
      <c r="AZ6" s="2">
        <v>25.02</v>
      </c>
      <c r="BA6" s="2">
        <v>14.23</v>
      </c>
      <c r="BB6" s="2">
        <v>9.75</v>
      </c>
      <c r="BC6" s="2">
        <v>0.68</v>
      </c>
      <c r="BD6" s="2">
        <v>0.25</v>
      </c>
      <c r="BE6" s="2">
        <v>0.04</v>
      </c>
      <c r="BF6" s="2">
        <v>0.08</v>
      </c>
      <c r="BG6" s="2">
        <v>16</v>
      </c>
      <c r="BH6" s="2">
        <v>81</v>
      </c>
    </row>
    <row r="7" spans="1:61" s="2" customFormat="1" ht="60" customHeight="1" x14ac:dyDescent="0.35">
      <c r="A7" s="32"/>
      <c r="B7" s="20"/>
      <c r="D7" s="3"/>
      <c r="E7" s="44"/>
      <c r="F7" s="44"/>
      <c r="G7" s="44"/>
      <c r="H7" s="44"/>
      <c r="R7" s="3">
        <v>45903</v>
      </c>
      <c r="S7" s="58">
        <v>0.7270833333333333</v>
      </c>
      <c r="T7" s="58"/>
      <c r="U7" s="36">
        <f t="shared" si="0"/>
        <v>14</v>
      </c>
      <c r="V7" s="36"/>
      <c r="W7" s="27">
        <v>21.3</v>
      </c>
      <c r="X7" s="27">
        <v>10.97</v>
      </c>
      <c r="Y7" s="27">
        <v>2.14</v>
      </c>
      <c r="Z7" s="27">
        <v>8.6300000000000008</v>
      </c>
      <c r="AA7" s="27">
        <v>0</v>
      </c>
      <c r="AB7" s="27" t="s">
        <v>100</v>
      </c>
      <c r="AC7" s="27" t="s">
        <v>101</v>
      </c>
      <c r="AD7" s="27">
        <v>12</v>
      </c>
      <c r="AE7" s="27" t="s">
        <v>55</v>
      </c>
      <c r="AF7" s="27" t="s">
        <v>55</v>
      </c>
      <c r="AG7" s="27" t="s">
        <v>55</v>
      </c>
      <c r="AH7" s="27" t="s">
        <v>55</v>
      </c>
      <c r="AI7" s="27" t="s">
        <v>55</v>
      </c>
      <c r="AJ7" s="27" t="s">
        <v>55</v>
      </c>
      <c r="AK7" s="27" t="s">
        <v>55</v>
      </c>
      <c r="AL7" s="27" t="s">
        <v>55</v>
      </c>
      <c r="AM7" s="27" t="s">
        <v>55</v>
      </c>
      <c r="AN7" s="27" t="s">
        <v>55</v>
      </c>
      <c r="AO7" s="27" t="s">
        <v>55</v>
      </c>
      <c r="AP7" s="27" t="s">
        <v>55</v>
      </c>
      <c r="AQ7" s="27" t="s">
        <v>55</v>
      </c>
      <c r="AR7" s="27" t="s">
        <v>55</v>
      </c>
      <c r="AS7" s="27" t="s">
        <v>55</v>
      </c>
      <c r="AT7" s="2" t="s">
        <v>50</v>
      </c>
    </row>
    <row r="8" spans="1:61" s="2" customFormat="1" ht="60" customHeight="1" x14ac:dyDescent="0.35">
      <c r="A8" s="32"/>
      <c r="B8" s="20"/>
      <c r="D8" s="3"/>
      <c r="E8" s="44"/>
      <c r="F8" s="44"/>
      <c r="G8" s="44"/>
      <c r="H8" s="44"/>
      <c r="R8" s="3">
        <v>45905</v>
      </c>
      <c r="S8" s="58">
        <v>0.34930555555555554</v>
      </c>
      <c r="T8" s="58"/>
      <c r="U8" s="36">
        <f t="shared" si="0"/>
        <v>16</v>
      </c>
      <c r="V8" s="36"/>
      <c r="W8" s="27">
        <v>24.32</v>
      </c>
      <c r="X8" s="27">
        <v>10.36</v>
      </c>
      <c r="Y8" s="27">
        <v>2.2000000000000002</v>
      </c>
      <c r="Z8" s="27">
        <v>7.4</v>
      </c>
      <c r="AA8" s="27">
        <v>2.69</v>
      </c>
      <c r="AB8" s="27" t="s">
        <v>113</v>
      </c>
      <c r="AC8" s="27" t="s">
        <v>86</v>
      </c>
      <c r="AD8" s="27">
        <v>12</v>
      </c>
      <c r="AE8" s="27" t="s">
        <v>55</v>
      </c>
      <c r="AF8" s="27" t="s">
        <v>55</v>
      </c>
      <c r="AG8" s="27" t="s">
        <v>55</v>
      </c>
      <c r="AH8" s="27" t="s">
        <v>55</v>
      </c>
      <c r="AI8" s="27" t="s">
        <v>55</v>
      </c>
      <c r="AJ8" s="27" t="s">
        <v>55</v>
      </c>
      <c r="AK8" s="27" t="s">
        <v>55</v>
      </c>
      <c r="AL8" s="27" t="s">
        <v>55</v>
      </c>
      <c r="AM8" s="27" t="s">
        <v>55</v>
      </c>
      <c r="AN8" s="27" t="s">
        <v>55</v>
      </c>
      <c r="AO8" s="27" t="s">
        <v>55</v>
      </c>
      <c r="AP8" s="27" t="s">
        <v>55</v>
      </c>
      <c r="AQ8" s="27" t="s">
        <v>55</v>
      </c>
      <c r="AR8" s="27" t="s">
        <v>55</v>
      </c>
      <c r="AS8" s="27" t="s">
        <v>55</v>
      </c>
      <c r="AT8" s="2" t="s">
        <v>52</v>
      </c>
      <c r="AU8" s="2">
        <v>1</v>
      </c>
      <c r="AV8" s="2">
        <v>2.64</v>
      </c>
      <c r="AW8" s="2">
        <v>0</v>
      </c>
      <c r="AX8" s="2" t="s">
        <v>89</v>
      </c>
      <c r="AZ8" s="2">
        <v>18.739999999999998</v>
      </c>
      <c r="BA8" s="2">
        <v>7.05</v>
      </c>
      <c r="BB8" s="2">
        <v>4.76</v>
      </c>
      <c r="BC8" s="2">
        <v>0.67</v>
      </c>
      <c r="BD8" s="2">
        <v>0.14000000000000001</v>
      </c>
      <c r="BE8" s="2">
        <v>0</v>
      </c>
      <c r="BF8" s="2">
        <v>0.02</v>
      </c>
      <c r="BG8" s="2">
        <v>36</v>
      </c>
      <c r="BH8" s="2">
        <v>69</v>
      </c>
    </row>
    <row r="9" spans="1:61" s="2" customFormat="1" ht="60" customHeight="1" x14ac:dyDescent="0.35">
      <c r="A9" s="32"/>
      <c r="B9" s="20"/>
      <c r="D9" s="3"/>
      <c r="E9" s="44"/>
      <c r="F9" s="44"/>
      <c r="G9" s="44"/>
      <c r="H9" s="44"/>
      <c r="R9" s="3">
        <v>45908</v>
      </c>
      <c r="S9" s="58">
        <v>0.32361111111111113</v>
      </c>
      <c r="T9" s="58"/>
      <c r="U9" s="36">
        <f t="shared" si="0"/>
        <v>19</v>
      </c>
      <c r="V9" s="36"/>
      <c r="W9" s="27">
        <v>19.920000000000002</v>
      </c>
      <c r="X9" s="27">
        <v>8.8800000000000008</v>
      </c>
      <c r="Y9" s="27">
        <v>2.19</v>
      </c>
      <c r="Z9" s="27">
        <v>7.77</v>
      </c>
      <c r="AA9" s="27">
        <v>2</v>
      </c>
      <c r="AB9" s="27" t="s">
        <v>121</v>
      </c>
      <c r="AC9" s="27" t="s">
        <v>122</v>
      </c>
      <c r="AD9" s="27">
        <v>12</v>
      </c>
      <c r="AE9" s="27" t="s">
        <v>55</v>
      </c>
      <c r="AF9" s="27" t="s">
        <v>55</v>
      </c>
      <c r="AG9" s="27" t="s">
        <v>55</v>
      </c>
      <c r="AH9" s="27" t="s">
        <v>55</v>
      </c>
      <c r="AI9" s="27" t="s">
        <v>55</v>
      </c>
      <c r="AJ9" s="27" t="s">
        <v>55</v>
      </c>
      <c r="AK9" s="27" t="s">
        <v>55</v>
      </c>
      <c r="AL9" s="27" t="s">
        <v>55</v>
      </c>
      <c r="AM9" s="27" t="s">
        <v>55</v>
      </c>
      <c r="AN9" s="27" t="s">
        <v>55</v>
      </c>
      <c r="AO9" s="27" t="s">
        <v>55</v>
      </c>
      <c r="AP9" s="27" t="s">
        <v>55</v>
      </c>
      <c r="AQ9" s="27" t="s">
        <v>55</v>
      </c>
      <c r="AR9" s="27" t="s">
        <v>55</v>
      </c>
      <c r="AS9" s="27" t="s">
        <v>55</v>
      </c>
      <c r="AT9" s="2" t="s">
        <v>50</v>
      </c>
    </row>
    <row r="10" spans="1:61" s="2" customFormat="1" ht="60" customHeight="1" x14ac:dyDescent="0.35">
      <c r="A10" s="32"/>
      <c r="B10" s="20"/>
      <c r="D10" s="3"/>
      <c r="E10" s="44"/>
      <c r="F10" s="44"/>
      <c r="G10" s="44"/>
      <c r="H10" s="44"/>
      <c r="R10" s="3">
        <v>45910</v>
      </c>
      <c r="S10" s="58">
        <v>0.71666666666666667</v>
      </c>
      <c r="T10" s="58"/>
      <c r="U10" s="36">
        <f t="shared" si="0"/>
        <v>21</v>
      </c>
      <c r="V10" s="36"/>
      <c r="W10" s="27">
        <v>17.079999999999998</v>
      </c>
      <c r="X10" s="27">
        <v>8.5299999999999994</v>
      </c>
      <c r="Y10" s="27">
        <v>2</v>
      </c>
      <c r="Z10" s="27">
        <v>5.05</v>
      </c>
      <c r="AA10" s="27">
        <v>1.89</v>
      </c>
      <c r="AB10" s="27" t="s">
        <v>142</v>
      </c>
      <c r="AC10" s="27" t="s">
        <v>143</v>
      </c>
      <c r="AD10" s="27">
        <v>12</v>
      </c>
      <c r="AE10" s="27" t="s">
        <v>55</v>
      </c>
      <c r="AF10" s="27" t="s">
        <v>55</v>
      </c>
      <c r="AG10" s="27" t="s">
        <v>55</v>
      </c>
      <c r="AH10" s="27" t="s">
        <v>55</v>
      </c>
      <c r="AI10" s="27" t="s">
        <v>55</v>
      </c>
      <c r="AJ10" s="27" t="s">
        <v>55</v>
      </c>
      <c r="AK10" s="27" t="s">
        <v>55</v>
      </c>
      <c r="AL10" s="27" t="s">
        <v>55</v>
      </c>
      <c r="AM10" s="27" t="s">
        <v>55</v>
      </c>
      <c r="AN10" s="27" t="s">
        <v>55</v>
      </c>
      <c r="AO10" s="27" t="s">
        <v>55</v>
      </c>
      <c r="AP10" s="27" t="s">
        <v>55</v>
      </c>
      <c r="AQ10" s="27" t="s">
        <v>55</v>
      </c>
      <c r="AR10" s="27" t="s">
        <v>55</v>
      </c>
      <c r="AS10" s="27" t="s">
        <v>55</v>
      </c>
      <c r="AT10" s="2" t="s">
        <v>52</v>
      </c>
      <c r="AU10" s="2">
        <v>1</v>
      </c>
      <c r="AV10" s="2">
        <v>3.69</v>
      </c>
      <c r="AW10" s="2">
        <v>0</v>
      </c>
      <c r="AX10" s="2">
        <v>6.0983994620177203E+18</v>
      </c>
      <c r="AZ10" s="2">
        <v>21.16</v>
      </c>
      <c r="BA10" s="2">
        <v>5.7</v>
      </c>
      <c r="BB10" s="2">
        <v>4.7300000000000004</v>
      </c>
      <c r="BC10" s="2">
        <v>0.82499999999999996</v>
      </c>
      <c r="BD10" s="2">
        <v>0.18</v>
      </c>
      <c r="BE10" s="2">
        <v>0</v>
      </c>
      <c r="BF10" s="2">
        <v>0.01</v>
      </c>
      <c r="BG10" s="2">
        <v>40</v>
      </c>
      <c r="BH10" s="2">
        <v>67</v>
      </c>
    </row>
    <row r="11" spans="1:61" s="2" customFormat="1" ht="60" customHeight="1" x14ac:dyDescent="0.35">
      <c r="A11" s="32"/>
      <c r="B11" s="20"/>
      <c r="D11" s="3"/>
      <c r="E11" s="44"/>
      <c r="F11" s="44"/>
      <c r="G11" s="44"/>
      <c r="H11" s="44"/>
      <c r="R11" s="3">
        <v>45912</v>
      </c>
      <c r="S11" s="58">
        <v>0.40625</v>
      </c>
      <c r="T11" s="58"/>
      <c r="U11" s="36">
        <f t="shared" si="0"/>
        <v>23</v>
      </c>
      <c r="V11" s="36"/>
      <c r="W11" s="27">
        <v>16.37</v>
      </c>
      <c r="X11" s="27">
        <v>7.98</v>
      </c>
      <c r="Y11" s="27">
        <v>1.61</v>
      </c>
      <c r="Z11" s="27">
        <v>5.72</v>
      </c>
      <c r="AA11" s="27">
        <v>1.88</v>
      </c>
      <c r="AB11" s="27" t="s">
        <v>157</v>
      </c>
      <c r="AC11" s="27" t="s">
        <v>156</v>
      </c>
      <c r="AD11" s="27">
        <v>12</v>
      </c>
      <c r="AE11" s="27" t="s">
        <v>55</v>
      </c>
      <c r="AF11" s="27" t="s">
        <v>55</v>
      </c>
      <c r="AG11" s="27" t="s">
        <v>55</v>
      </c>
      <c r="AH11" s="27" t="s">
        <v>55</v>
      </c>
      <c r="AI11" s="27" t="s">
        <v>55</v>
      </c>
      <c r="AJ11" s="27" t="s">
        <v>55</v>
      </c>
      <c r="AK11" s="27" t="s">
        <v>55</v>
      </c>
      <c r="AL11" s="27" t="s">
        <v>55</v>
      </c>
      <c r="AM11" s="27" t="s">
        <v>55</v>
      </c>
      <c r="AN11" s="27" t="s">
        <v>55</v>
      </c>
      <c r="AO11" s="27" t="s">
        <v>55</v>
      </c>
      <c r="AP11" s="27" t="s">
        <v>55</v>
      </c>
      <c r="AQ11" s="27" t="s">
        <v>55</v>
      </c>
      <c r="AR11" s="27" t="s">
        <v>55</v>
      </c>
      <c r="AS11" s="27" t="s">
        <v>55</v>
      </c>
      <c r="AT11" s="2" t="s">
        <v>52</v>
      </c>
      <c r="AU11" s="2">
        <v>1</v>
      </c>
      <c r="AV11" s="2">
        <v>5.51</v>
      </c>
      <c r="AW11" s="2">
        <v>0</v>
      </c>
      <c r="AX11" s="2" t="s">
        <v>89</v>
      </c>
      <c r="AZ11" s="2">
        <v>45.14</v>
      </c>
      <c r="BA11" s="2">
        <v>8.15</v>
      </c>
      <c r="BB11" s="2">
        <v>6.72</v>
      </c>
      <c r="BC11" s="2">
        <v>0.82</v>
      </c>
      <c r="BD11" s="2">
        <v>0.82</v>
      </c>
      <c r="BE11" s="2">
        <v>0</v>
      </c>
      <c r="BF11" s="2">
        <v>0.03</v>
      </c>
      <c r="BG11" s="2">
        <v>50</v>
      </c>
      <c r="BH11" s="2">
        <v>70</v>
      </c>
      <c r="BI11" s="2" t="s">
        <v>175</v>
      </c>
    </row>
    <row r="12" spans="1:61" s="2" customFormat="1" ht="60" customHeight="1" x14ac:dyDescent="0.35">
      <c r="A12" s="32"/>
      <c r="B12" s="20"/>
      <c r="D12" s="3"/>
      <c r="E12" s="44"/>
      <c r="F12" s="44"/>
      <c r="G12" s="44"/>
      <c r="H12" s="44"/>
      <c r="R12" s="3">
        <v>45915</v>
      </c>
      <c r="S12" s="58">
        <v>0.68333333333333335</v>
      </c>
      <c r="T12" s="58"/>
      <c r="U12" s="36">
        <f t="shared" si="0"/>
        <v>26</v>
      </c>
      <c r="V12" s="36"/>
      <c r="W12" s="27">
        <v>15.2</v>
      </c>
      <c r="X12" s="27">
        <v>5.95</v>
      </c>
      <c r="Y12" s="27">
        <v>1.73</v>
      </c>
      <c r="Z12" s="27">
        <v>5.08</v>
      </c>
      <c r="AA12" s="27">
        <v>2.78</v>
      </c>
      <c r="AB12" s="27" t="s">
        <v>131</v>
      </c>
      <c r="AC12" s="27" t="s">
        <v>167</v>
      </c>
      <c r="AD12" s="27">
        <v>12</v>
      </c>
      <c r="AE12" s="27" t="s">
        <v>55</v>
      </c>
      <c r="AF12" s="27" t="s">
        <v>55</v>
      </c>
      <c r="AG12" s="27" t="s">
        <v>55</v>
      </c>
      <c r="AH12" s="27" t="s">
        <v>55</v>
      </c>
      <c r="AI12" s="27" t="s">
        <v>55</v>
      </c>
      <c r="AJ12" s="27" t="s">
        <v>55</v>
      </c>
      <c r="AK12" s="27" t="s">
        <v>55</v>
      </c>
      <c r="AL12" s="27" t="s">
        <v>55</v>
      </c>
      <c r="AM12" s="27" t="s">
        <v>55</v>
      </c>
      <c r="AN12" s="27" t="s">
        <v>55</v>
      </c>
      <c r="AO12" s="27" t="s">
        <v>55</v>
      </c>
      <c r="AP12" s="27" t="s">
        <v>55</v>
      </c>
      <c r="AQ12" s="27" t="s">
        <v>55</v>
      </c>
      <c r="AR12" s="27" t="s">
        <v>55</v>
      </c>
      <c r="AS12" s="27" t="s">
        <v>55</v>
      </c>
      <c r="AT12" s="2" t="s">
        <v>50</v>
      </c>
    </row>
    <row r="13" spans="1:61" s="2" customFormat="1" ht="60" customHeight="1" x14ac:dyDescent="0.35">
      <c r="A13" s="32"/>
      <c r="B13" s="20"/>
      <c r="D13" s="3"/>
      <c r="E13" s="44"/>
      <c r="F13" s="44"/>
      <c r="G13" s="44"/>
      <c r="H13" s="44"/>
      <c r="R13" s="3">
        <v>45918</v>
      </c>
      <c r="S13" s="58">
        <v>0.82152777777777775</v>
      </c>
      <c r="T13" s="58"/>
      <c r="U13" s="36">
        <f t="shared" si="0"/>
        <v>29</v>
      </c>
      <c r="V13" s="36"/>
      <c r="W13" s="27">
        <v>15.73</v>
      </c>
      <c r="X13" s="27">
        <v>7.32</v>
      </c>
      <c r="Y13" s="27">
        <v>2.71</v>
      </c>
      <c r="Z13" s="27">
        <v>4.53</v>
      </c>
      <c r="AA13" s="27">
        <v>2.0299999999999998</v>
      </c>
      <c r="AB13" s="27" t="s">
        <v>88</v>
      </c>
      <c r="AC13" s="27" t="s">
        <v>255</v>
      </c>
      <c r="AD13" s="27">
        <v>12</v>
      </c>
      <c r="AE13" s="27" t="s">
        <v>55</v>
      </c>
      <c r="AF13" s="27" t="s">
        <v>55</v>
      </c>
      <c r="AG13" s="27" t="s">
        <v>55</v>
      </c>
      <c r="AH13" s="27" t="s">
        <v>55</v>
      </c>
      <c r="AI13" s="27" t="s">
        <v>55</v>
      </c>
      <c r="AJ13" s="27" t="s">
        <v>55</v>
      </c>
      <c r="AK13" s="27" t="s">
        <v>55</v>
      </c>
      <c r="AL13" s="27" t="s">
        <v>55</v>
      </c>
      <c r="AM13" s="27" t="s">
        <v>55</v>
      </c>
      <c r="AN13" s="27" t="s">
        <v>55</v>
      </c>
      <c r="AO13" s="27" t="s">
        <v>55</v>
      </c>
      <c r="AP13" s="27" t="s">
        <v>55</v>
      </c>
      <c r="AQ13" s="27" t="s">
        <v>55</v>
      </c>
      <c r="AR13" s="27" t="s">
        <v>55</v>
      </c>
      <c r="AS13" s="27" t="s">
        <v>55</v>
      </c>
      <c r="AT13" s="2" t="s">
        <v>84</v>
      </c>
      <c r="AU13" s="2">
        <v>1</v>
      </c>
      <c r="AV13" s="2">
        <v>2.85</v>
      </c>
      <c r="AW13" s="2">
        <v>0</v>
      </c>
      <c r="AX13" s="2" t="s">
        <v>89</v>
      </c>
      <c r="AZ13" s="2">
        <v>41.08</v>
      </c>
      <c r="BA13" s="2">
        <v>14.3</v>
      </c>
      <c r="BB13" s="2">
        <v>9.94</v>
      </c>
      <c r="BC13" s="2">
        <v>0.69</v>
      </c>
      <c r="BD13" s="2">
        <v>0.67</v>
      </c>
      <c r="BE13" s="2">
        <v>0</v>
      </c>
      <c r="BF13" s="2">
        <v>0.08</v>
      </c>
      <c r="BG13" s="2">
        <v>50</v>
      </c>
      <c r="BH13" s="2">
        <v>82</v>
      </c>
    </row>
    <row r="14" spans="1:61" s="2" customFormat="1" ht="60" customHeight="1" x14ac:dyDescent="0.35">
      <c r="A14" s="32"/>
      <c r="B14" s="20"/>
      <c r="D14" s="3"/>
      <c r="E14" s="44"/>
      <c r="F14" s="44"/>
      <c r="G14" s="44"/>
      <c r="H14" s="44"/>
      <c r="R14" s="3">
        <v>45922</v>
      </c>
      <c r="S14" s="58">
        <v>0.35</v>
      </c>
      <c r="T14" s="58"/>
      <c r="U14" s="36">
        <f t="shared" si="0"/>
        <v>33</v>
      </c>
      <c r="V14" s="36"/>
      <c r="W14" s="27">
        <v>16.41</v>
      </c>
      <c r="X14" s="27">
        <v>8.76</v>
      </c>
      <c r="Y14" s="27">
        <v>2.2599999999999998</v>
      </c>
      <c r="Z14" s="27">
        <v>10</v>
      </c>
      <c r="AA14" s="27">
        <v>3.59</v>
      </c>
      <c r="AB14" s="27" t="s">
        <v>197</v>
      </c>
      <c r="AC14" s="27" t="s">
        <v>198</v>
      </c>
      <c r="AD14" s="27">
        <v>12</v>
      </c>
      <c r="AE14" s="27" t="s">
        <v>55</v>
      </c>
      <c r="AF14" s="27" t="s">
        <v>55</v>
      </c>
      <c r="AG14" s="27" t="s">
        <v>55</v>
      </c>
      <c r="AH14" s="27" t="s">
        <v>55</v>
      </c>
      <c r="AI14" s="27" t="s">
        <v>55</v>
      </c>
      <c r="AJ14" s="27" t="s">
        <v>55</v>
      </c>
      <c r="AK14" s="27" t="s">
        <v>55</v>
      </c>
      <c r="AL14" s="27" t="s">
        <v>55</v>
      </c>
      <c r="AM14" s="27" t="s">
        <v>55</v>
      </c>
      <c r="AN14" s="27" t="s">
        <v>55</v>
      </c>
      <c r="AO14" s="27" t="s">
        <v>55</v>
      </c>
      <c r="AP14" s="27" t="s">
        <v>55</v>
      </c>
      <c r="AQ14" s="27" t="s">
        <v>55</v>
      </c>
      <c r="AR14" s="27" t="s">
        <v>55</v>
      </c>
      <c r="AS14" s="27" t="s">
        <v>55</v>
      </c>
      <c r="AT14" s="2" t="s">
        <v>52</v>
      </c>
      <c r="AU14" s="2">
        <v>1</v>
      </c>
      <c r="AV14" s="2">
        <v>3.08</v>
      </c>
      <c r="AW14" s="2">
        <v>0</v>
      </c>
      <c r="AX14" s="2" t="s">
        <v>89</v>
      </c>
      <c r="AZ14" s="2">
        <v>55.31</v>
      </c>
      <c r="BA14" s="2">
        <v>17.829999999999998</v>
      </c>
      <c r="BB14" s="2">
        <v>13.01</v>
      </c>
      <c r="BC14" s="2">
        <v>0.72499999999999998</v>
      </c>
      <c r="BD14" s="2">
        <v>1.22</v>
      </c>
      <c r="BE14" s="2">
        <v>0</v>
      </c>
      <c r="BF14" s="2">
        <v>0.13</v>
      </c>
      <c r="BG14" s="2">
        <v>50</v>
      </c>
      <c r="BH14" s="2">
        <v>79</v>
      </c>
    </row>
    <row r="15" spans="1:61" s="2" customFormat="1" ht="60" customHeight="1" x14ac:dyDescent="0.35">
      <c r="A15" s="32"/>
      <c r="B15" s="20"/>
      <c r="D15" s="3"/>
      <c r="E15" s="44"/>
      <c r="F15" s="44"/>
      <c r="G15" s="44"/>
      <c r="H15" s="44"/>
      <c r="P15" s="2">
        <v>2.5</v>
      </c>
      <c r="R15" s="3">
        <v>45925</v>
      </c>
      <c r="S15" s="61">
        <v>45925.827777777777</v>
      </c>
      <c r="T15" s="58"/>
      <c r="U15" s="36">
        <f t="shared" si="0"/>
        <v>36</v>
      </c>
      <c r="V15" s="36"/>
      <c r="W15" s="27">
        <v>13.72</v>
      </c>
      <c r="X15" s="27">
        <v>8.11</v>
      </c>
      <c r="Y15" s="27">
        <v>1.94</v>
      </c>
      <c r="Z15" s="27">
        <v>6.17</v>
      </c>
      <c r="AA15" s="27">
        <v>2.94</v>
      </c>
      <c r="AB15" s="27" t="s">
        <v>233</v>
      </c>
      <c r="AC15" s="27" t="s">
        <v>234</v>
      </c>
      <c r="AD15" s="27">
        <v>12</v>
      </c>
      <c r="AE15" s="27" t="s">
        <v>55</v>
      </c>
      <c r="AF15" s="27" t="s">
        <v>55</v>
      </c>
      <c r="AG15" s="27" t="s">
        <v>55</v>
      </c>
      <c r="AH15" s="27" t="s">
        <v>55</v>
      </c>
      <c r="AI15" s="27" t="s">
        <v>55</v>
      </c>
      <c r="AJ15" s="27" t="s">
        <v>55</v>
      </c>
      <c r="AK15" s="27" t="s">
        <v>55</v>
      </c>
      <c r="AL15" s="27" t="s">
        <v>55</v>
      </c>
      <c r="AM15" s="27" t="s">
        <v>55</v>
      </c>
      <c r="AN15" s="27" t="s">
        <v>55</v>
      </c>
      <c r="AO15" s="27" t="s">
        <v>55</v>
      </c>
      <c r="AP15" s="27" t="s">
        <v>55</v>
      </c>
      <c r="AQ15" s="27" t="s">
        <v>55</v>
      </c>
      <c r="AR15" s="27" t="s">
        <v>55</v>
      </c>
      <c r="AS15" s="27" t="s">
        <v>55</v>
      </c>
      <c r="AT15" s="2" t="s">
        <v>52</v>
      </c>
      <c r="AU15" s="2">
        <v>1</v>
      </c>
      <c r="AV15" s="2">
        <v>3.44</v>
      </c>
      <c r="AW15" s="2">
        <v>0</v>
      </c>
      <c r="AX15" s="2" t="s">
        <v>89</v>
      </c>
      <c r="AZ15" s="2">
        <v>36.01</v>
      </c>
      <c r="BA15" s="2">
        <v>10.41</v>
      </c>
      <c r="BB15" s="2">
        <v>7.65</v>
      </c>
      <c r="BC15" s="2">
        <v>0.73</v>
      </c>
      <c r="BD15" s="2">
        <v>0.52</v>
      </c>
      <c r="BE15" s="2">
        <v>0</v>
      </c>
      <c r="BF15" s="2">
        <v>0.04</v>
      </c>
      <c r="BG15" s="2">
        <v>58</v>
      </c>
      <c r="BH15" s="2">
        <v>79</v>
      </c>
    </row>
    <row r="16" spans="1:61" s="2" customFormat="1" ht="60" customHeight="1" x14ac:dyDescent="0.35">
      <c r="A16" s="32"/>
      <c r="B16" s="20"/>
      <c r="D16" s="3"/>
      <c r="E16" s="44"/>
      <c r="F16" s="44"/>
      <c r="G16" s="44"/>
      <c r="H16" s="44"/>
      <c r="P16" s="2">
        <v>2.75</v>
      </c>
      <c r="R16" s="3">
        <v>45930.697916666664</v>
      </c>
      <c r="S16" s="61">
        <v>45930.697916666664</v>
      </c>
      <c r="T16" s="2">
        <f>S16-S15</f>
        <v>4.8701388888875954</v>
      </c>
      <c r="U16" s="36">
        <f t="shared" si="0"/>
        <v>41.697916666664241</v>
      </c>
      <c r="V16" s="36"/>
      <c r="W16" s="27">
        <v>18.760000000000002</v>
      </c>
      <c r="X16" s="27">
        <v>10.97</v>
      </c>
      <c r="Y16" s="27">
        <v>1.85</v>
      </c>
      <c r="Z16" s="27">
        <v>6.16</v>
      </c>
      <c r="AA16" s="27">
        <v>4.7</v>
      </c>
      <c r="AB16" s="27" t="s">
        <v>243</v>
      </c>
      <c r="AC16" s="27" t="s">
        <v>244</v>
      </c>
      <c r="AD16" s="27">
        <v>12</v>
      </c>
      <c r="AE16" s="62">
        <f>$S$15+($T$16/2)</f>
        <v>45928.26284722222</v>
      </c>
      <c r="AF16" s="27">
        <f>$U$15+($T$16/2)</f>
        <v>38.435069444443798</v>
      </c>
      <c r="AG16" s="37" t="s">
        <v>290</v>
      </c>
      <c r="AH16" s="37">
        <v>64.489999999999995</v>
      </c>
      <c r="AI16" s="37">
        <v>27.63</v>
      </c>
      <c r="AJ16" s="37">
        <f>AH16-AI16</f>
        <v>36.86</v>
      </c>
      <c r="AK16" s="27" t="s">
        <v>55</v>
      </c>
      <c r="AL16" s="27" t="s">
        <v>55</v>
      </c>
      <c r="AM16" s="27" t="s">
        <v>55</v>
      </c>
      <c r="AN16" s="27" t="s">
        <v>55</v>
      </c>
      <c r="AO16" s="27" t="s">
        <v>55</v>
      </c>
      <c r="AP16" s="27" t="s">
        <v>55</v>
      </c>
      <c r="AQ16" s="27" t="s">
        <v>55</v>
      </c>
      <c r="AR16" s="27" t="s">
        <v>55</v>
      </c>
      <c r="AS16" s="27" t="s">
        <v>55</v>
      </c>
      <c r="AT16" s="2" t="s">
        <v>52</v>
      </c>
      <c r="AU16" s="2">
        <v>0.65</v>
      </c>
      <c r="AV16" s="2">
        <v>1.86</v>
      </c>
      <c r="AW16" s="2">
        <v>16.829999999999998</v>
      </c>
      <c r="AX16" s="2">
        <v>2.86</v>
      </c>
      <c r="AZ16" s="2">
        <v>48.15</v>
      </c>
      <c r="BA16" s="2">
        <v>16.690000000000001</v>
      </c>
      <c r="BB16" s="2">
        <v>9.51</v>
      </c>
      <c r="BC16" s="2">
        <v>0.56499999999999995</v>
      </c>
      <c r="BD16" s="2">
        <v>0.93</v>
      </c>
      <c r="BE16" s="2">
        <v>0.11</v>
      </c>
      <c r="BF16" s="2">
        <v>0.11</v>
      </c>
      <c r="BG16" s="2">
        <v>56</v>
      </c>
      <c r="BH16" s="2">
        <v>99</v>
      </c>
    </row>
    <row r="17" spans="1:61" s="2" customFormat="1" ht="60" customHeight="1" x14ac:dyDescent="0.35">
      <c r="A17" s="32"/>
      <c r="B17" s="20"/>
      <c r="D17" s="3"/>
      <c r="E17" s="44"/>
      <c r="F17" s="44"/>
      <c r="G17" s="44"/>
      <c r="H17" s="44"/>
      <c r="P17" s="2">
        <v>2.75</v>
      </c>
      <c r="R17" s="3">
        <v>45936.732638888891</v>
      </c>
      <c r="S17" s="61">
        <v>45936.732638888891</v>
      </c>
      <c r="T17" s="58"/>
      <c r="U17" s="36">
        <f t="shared" si="0"/>
        <v>47.732638888890506</v>
      </c>
      <c r="V17" s="36"/>
      <c r="W17" s="27">
        <v>10.62</v>
      </c>
      <c r="X17" s="27">
        <v>4.1399999999999997</v>
      </c>
      <c r="Y17" s="27">
        <v>1.7</v>
      </c>
      <c r="Z17" s="27">
        <v>3.5</v>
      </c>
      <c r="AA17" s="27">
        <v>3.04</v>
      </c>
      <c r="AB17" s="27" t="s">
        <v>269</v>
      </c>
      <c r="AC17" s="27" t="s">
        <v>272</v>
      </c>
      <c r="AD17" s="27">
        <v>12</v>
      </c>
      <c r="AE17" s="62">
        <f>$S$15+($T$16/2)</f>
        <v>45928.26284722222</v>
      </c>
      <c r="AF17" s="27">
        <f>$U$15+($T$16/2)</f>
        <v>38.435069444443798</v>
      </c>
      <c r="AG17" s="37" t="s">
        <v>289</v>
      </c>
      <c r="AH17" s="37">
        <v>81.69</v>
      </c>
      <c r="AI17" s="37">
        <v>7.39</v>
      </c>
      <c r="AJ17" s="37">
        <f>AH17-AI17</f>
        <v>74.3</v>
      </c>
      <c r="AK17" s="27" t="s">
        <v>55</v>
      </c>
      <c r="AL17" s="27" t="s">
        <v>55</v>
      </c>
      <c r="AM17" s="27" t="s">
        <v>55</v>
      </c>
      <c r="AN17" s="37">
        <v>88.16</v>
      </c>
      <c r="AO17" s="37">
        <v>15.74</v>
      </c>
      <c r="AP17" s="37">
        <f>AN17-AO17</f>
        <v>72.42</v>
      </c>
      <c r="AQ17" s="27" t="s">
        <v>55</v>
      </c>
      <c r="AR17" s="27" t="s">
        <v>55</v>
      </c>
      <c r="AS17" s="27" t="s">
        <v>55</v>
      </c>
      <c r="AT17" s="2" t="s">
        <v>52</v>
      </c>
      <c r="AU17" s="2">
        <v>1</v>
      </c>
      <c r="AV17" s="2">
        <v>2.75</v>
      </c>
      <c r="AW17" s="2">
        <v>0</v>
      </c>
      <c r="AX17" s="2" t="s">
        <v>89</v>
      </c>
      <c r="AZ17" s="2">
        <v>30.15</v>
      </c>
      <c r="BA17" s="2">
        <v>10.88</v>
      </c>
      <c r="BB17" s="2">
        <v>6.53</v>
      </c>
      <c r="BC17" s="2">
        <v>0.59499999999999997</v>
      </c>
      <c r="BD17" s="2">
        <v>0.36</v>
      </c>
      <c r="BE17" s="2">
        <v>0</v>
      </c>
      <c r="BF17" s="2">
        <v>0.05</v>
      </c>
      <c r="BG17" s="2">
        <v>52</v>
      </c>
      <c r="BH17" s="2">
        <v>95</v>
      </c>
      <c r="BI17" s="2" t="s">
        <v>329</v>
      </c>
    </row>
    <row r="18" spans="1:61" s="2" customFormat="1" ht="60" customHeight="1" x14ac:dyDescent="0.35">
      <c r="A18" s="32"/>
      <c r="B18" s="20"/>
      <c r="D18" s="3"/>
      <c r="E18" s="44"/>
      <c r="F18" s="44"/>
      <c r="G18" s="44"/>
      <c r="H18" s="44"/>
      <c r="R18" s="3"/>
      <c r="S18" s="44"/>
      <c r="T18" s="3"/>
      <c r="U18" s="36"/>
      <c r="V18" s="36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</row>
    <row r="19" spans="1:61" s="2" customFormat="1" ht="60" customHeight="1" x14ac:dyDescent="0.35">
      <c r="A19" s="32"/>
      <c r="B19" s="20"/>
      <c r="D19" s="3"/>
      <c r="E19" s="44"/>
      <c r="F19" s="44"/>
      <c r="G19" s="44"/>
      <c r="H19" s="44"/>
      <c r="R19" s="3"/>
      <c r="S19" s="3"/>
      <c r="T19" s="3"/>
      <c r="U19" s="36"/>
      <c r="V19" s="36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</row>
    <row r="20" spans="1:61" s="2" customFormat="1" ht="60" customHeight="1" x14ac:dyDescent="0.35">
      <c r="A20" s="32">
        <v>2</v>
      </c>
      <c r="B20" s="57" t="s">
        <v>36</v>
      </c>
      <c r="C20" s="3">
        <v>44287</v>
      </c>
      <c r="D20" s="3">
        <v>45892</v>
      </c>
      <c r="E20" s="44">
        <f t="shared" ref="E20:E119" si="1">(D20-C20)</f>
        <v>1605</v>
      </c>
      <c r="F20" s="44">
        <f>E20/30</f>
        <v>53.5</v>
      </c>
      <c r="G20" s="44">
        <f t="shared" ref="G20:G119" si="2">E20/365</f>
        <v>4.397260273972603</v>
      </c>
      <c r="H20" s="44">
        <f t="shared" ref="H20:H119" si="3">(E20-180)/240</f>
        <v>5.9375</v>
      </c>
      <c r="I20" s="2" t="s">
        <v>11</v>
      </c>
      <c r="J20" s="2">
        <v>3.2</v>
      </c>
      <c r="K20" s="2">
        <v>4110</v>
      </c>
      <c r="L20" s="2" t="s">
        <v>11</v>
      </c>
      <c r="M20" s="2">
        <v>2.5</v>
      </c>
      <c r="N20" s="2">
        <v>4111</v>
      </c>
      <c r="R20" s="3">
        <v>45894</v>
      </c>
      <c r="S20" s="58">
        <v>0.7729166666666667</v>
      </c>
      <c r="T20" s="58"/>
      <c r="U20" s="36">
        <f>R20-$D$20</f>
        <v>2</v>
      </c>
      <c r="V20" s="133">
        <f>R34-D20</f>
        <v>44</v>
      </c>
      <c r="W20" s="27">
        <v>46.18</v>
      </c>
      <c r="X20" s="27" t="s">
        <v>55</v>
      </c>
      <c r="Y20" s="27">
        <v>5.88</v>
      </c>
      <c r="Z20" s="27">
        <v>22.33</v>
      </c>
      <c r="AA20" s="27">
        <v>7.11</v>
      </c>
      <c r="AB20" s="27" t="s">
        <v>55</v>
      </c>
      <c r="AC20" s="27" t="s">
        <v>55</v>
      </c>
      <c r="AD20" s="27" t="s">
        <v>55</v>
      </c>
      <c r="AE20" s="27" t="s">
        <v>55</v>
      </c>
      <c r="AF20" s="27" t="s">
        <v>55</v>
      </c>
      <c r="AG20" s="27" t="s">
        <v>55</v>
      </c>
      <c r="AH20" s="27" t="s">
        <v>55</v>
      </c>
      <c r="AI20" s="27" t="s">
        <v>55</v>
      </c>
      <c r="AJ20" s="27" t="s">
        <v>55</v>
      </c>
      <c r="AK20" s="27" t="s">
        <v>55</v>
      </c>
      <c r="AL20" s="27" t="s">
        <v>55</v>
      </c>
      <c r="AM20" s="27" t="s">
        <v>55</v>
      </c>
      <c r="AN20" s="27" t="s">
        <v>55</v>
      </c>
      <c r="AO20" s="27" t="s">
        <v>55</v>
      </c>
      <c r="AP20" s="27" t="s">
        <v>55</v>
      </c>
      <c r="AQ20" s="27" t="s">
        <v>55</v>
      </c>
      <c r="AR20" s="27" t="s">
        <v>55</v>
      </c>
      <c r="AS20" s="27" t="s">
        <v>55</v>
      </c>
      <c r="AT20" s="2" t="s">
        <v>52</v>
      </c>
      <c r="AU20" s="2">
        <v>0.92500000000000004</v>
      </c>
      <c r="AV20" s="2">
        <v>1.4350000000000001</v>
      </c>
      <c r="AW20" s="2">
        <v>2.27</v>
      </c>
      <c r="AX20" s="2">
        <v>24.085000000000001</v>
      </c>
      <c r="AZ20" s="2">
        <v>30.335000000000001</v>
      </c>
      <c r="BA20" s="2">
        <v>8.6300000000000008</v>
      </c>
      <c r="BB20" s="2">
        <v>6.5549999999999997</v>
      </c>
      <c r="BC20" s="2">
        <v>0.34</v>
      </c>
      <c r="BD20" s="2">
        <v>0.37</v>
      </c>
      <c r="BE20" s="2">
        <v>5.0000000000000001E-3</v>
      </c>
      <c r="BF20" s="2">
        <v>0.02</v>
      </c>
      <c r="BG20" s="2" t="s">
        <v>55</v>
      </c>
      <c r="BH20" s="2">
        <v>82</v>
      </c>
    </row>
    <row r="21" spans="1:61" s="2" customFormat="1" ht="60" customHeight="1" x14ac:dyDescent="0.35">
      <c r="A21" s="32"/>
      <c r="B21" s="20"/>
      <c r="D21" s="3"/>
      <c r="E21" s="44"/>
      <c r="F21" s="44"/>
      <c r="G21" s="44"/>
      <c r="H21" s="44"/>
      <c r="R21" s="3">
        <v>45896</v>
      </c>
      <c r="S21" s="58">
        <v>0.71388888888888891</v>
      </c>
      <c r="T21" s="58"/>
      <c r="U21" s="36">
        <f t="shared" ref="U21:U36" si="4">R21-$D$20</f>
        <v>4</v>
      </c>
      <c r="V21" s="36"/>
      <c r="W21" s="37" t="s">
        <v>108</v>
      </c>
      <c r="X21" s="27">
        <v>14.88</v>
      </c>
      <c r="Y21" s="27">
        <v>4.18</v>
      </c>
      <c r="Z21" s="27">
        <v>20.88</v>
      </c>
      <c r="AA21" s="27">
        <v>11.2</v>
      </c>
      <c r="AB21" s="27" t="s">
        <v>55</v>
      </c>
      <c r="AC21" s="27" t="s">
        <v>55</v>
      </c>
      <c r="AD21" s="27" t="s">
        <v>55</v>
      </c>
      <c r="AE21" s="27" t="s">
        <v>55</v>
      </c>
      <c r="AF21" s="27" t="s">
        <v>55</v>
      </c>
      <c r="AG21" s="27" t="s">
        <v>55</v>
      </c>
      <c r="AH21" s="27" t="s">
        <v>55</v>
      </c>
      <c r="AI21" s="27" t="s">
        <v>55</v>
      </c>
      <c r="AJ21" s="27" t="s">
        <v>55</v>
      </c>
      <c r="AK21" s="27" t="s">
        <v>55</v>
      </c>
      <c r="AL21" s="27" t="s">
        <v>55</v>
      </c>
      <c r="AM21" s="27" t="s">
        <v>55</v>
      </c>
      <c r="AN21" s="27" t="s">
        <v>55</v>
      </c>
      <c r="AO21" s="27" t="s">
        <v>55</v>
      </c>
      <c r="AP21" s="27" t="s">
        <v>55</v>
      </c>
      <c r="AQ21" s="27" t="s">
        <v>55</v>
      </c>
      <c r="AR21" s="27" t="s">
        <v>55</v>
      </c>
      <c r="AS21" s="27" t="s">
        <v>55</v>
      </c>
      <c r="AT21" s="2" t="s">
        <v>50</v>
      </c>
    </row>
    <row r="22" spans="1:61" s="2" customFormat="1" ht="60" customHeight="1" x14ac:dyDescent="0.35">
      <c r="A22" s="32"/>
      <c r="B22" s="20"/>
      <c r="D22" s="3"/>
      <c r="E22" s="44"/>
      <c r="F22" s="44"/>
      <c r="G22" s="44"/>
      <c r="H22" s="44"/>
      <c r="R22" s="3">
        <v>45898</v>
      </c>
      <c r="S22" s="58">
        <v>0.37638888888888888</v>
      </c>
      <c r="T22" s="58"/>
      <c r="U22" s="36">
        <f t="shared" si="4"/>
        <v>6</v>
      </c>
      <c r="V22" s="36"/>
      <c r="W22" s="27">
        <v>39.409999999999997</v>
      </c>
      <c r="X22" s="27">
        <v>16.010000000000002</v>
      </c>
      <c r="Y22" s="27">
        <v>3.13</v>
      </c>
      <c r="Z22" s="27">
        <v>9.61</v>
      </c>
      <c r="AA22" s="37">
        <v>27.46</v>
      </c>
      <c r="AB22" s="27" t="s">
        <v>55</v>
      </c>
      <c r="AC22" s="27" t="s">
        <v>55</v>
      </c>
      <c r="AD22" s="27" t="s">
        <v>55</v>
      </c>
      <c r="AE22" s="27" t="s">
        <v>55</v>
      </c>
      <c r="AF22" s="27" t="s">
        <v>55</v>
      </c>
      <c r="AG22" s="27" t="s">
        <v>55</v>
      </c>
      <c r="AH22" s="27" t="s">
        <v>55</v>
      </c>
      <c r="AI22" s="27" t="s">
        <v>55</v>
      </c>
      <c r="AJ22" s="27" t="s">
        <v>55</v>
      </c>
      <c r="AK22" s="27" t="s">
        <v>55</v>
      </c>
      <c r="AL22" s="27" t="s">
        <v>55</v>
      </c>
      <c r="AM22" s="27" t="s">
        <v>55</v>
      </c>
      <c r="AN22" s="27" t="s">
        <v>55</v>
      </c>
      <c r="AO22" s="27" t="s">
        <v>55</v>
      </c>
      <c r="AP22" s="27" t="s">
        <v>55</v>
      </c>
      <c r="AQ22" s="27" t="s">
        <v>55</v>
      </c>
      <c r="AR22" s="27" t="s">
        <v>55</v>
      </c>
      <c r="AS22" s="27" t="s">
        <v>55</v>
      </c>
      <c r="AT22" s="2" t="s">
        <v>52</v>
      </c>
      <c r="AU22" s="2">
        <v>0.67</v>
      </c>
      <c r="AV22" s="2">
        <v>2.0499999999999998</v>
      </c>
      <c r="AW22" s="2">
        <v>23.69</v>
      </c>
      <c r="AX22" s="2">
        <v>3.06</v>
      </c>
      <c r="AZ22" s="2">
        <v>72.61</v>
      </c>
      <c r="BA22" s="2">
        <v>23.68</v>
      </c>
      <c r="BB22" s="2">
        <v>12.2</v>
      </c>
      <c r="BC22" s="2">
        <v>0.51</v>
      </c>
      <c r="BD22" s="2">
        <v>2.11</v>
      </c>
      <c r="BE22" s="2">
        <v>0.22</v>
      </c>
      <c r="BF22" s="2">
        <v>0.22</v>
      </c>
      <c r="BG22" s="2">
        <v>70</v>
      </c>
      <c r="BH22" s="2">
        <v>108</v>
      </c>
      <c r="BI22" s="2" t="s">
        <v>118</v>
      </c>
    </row>
    <row r="23" spans="1:61" s="2" customFormat="1" ht="60" customHeight="1" x14ac:dyDescent="0.35">
      <c r="A23" s="32"/>
      <c r="B23" s="20"/>
      <c r="D23" s="3"/>
      <c r="E23" s="44"/>
      <c r="F23" s="44"/>
      <c r="G23" s="44"/>
      <c r="H23" s="44"/>
      <c r="R23" s="3">
        <v>45901</v>
      </c>
      <c r="S23" s="58">
        <v>0.35069444444444442</v>
      </c>
      <c r="T23" s="58"/>
      <c r="U23" s="36">
        <f>R23-$D$20</f>
        <v>9</v>
      </c>
      <c r="V23" s="36"/>
      <c r="W23" s="27">
        <v>29.93</v>
      </c>
      <c r="X23" s="27">
        <v>13.36</v>
      </c>
      <c r="Y23" s="27">
        <v>4.41</v>
      </c>
      <c r="Z23" s="27">
        <v>10.18</v>
      </c>
      <c r="AA23" s="27">
        <v>5.47</v>
      </c>
      <c r="AB23" s="27" t="s">
        <v>55</v>
      </c>
      <c r="AC23" s="27" t="s">
        <v>83</v>
      </c>
      <c r="AD23" s="27">
        <v>9</v>
      </c>
      <c r="AE23" s="27" t="s">
        <v>55</v>
      </c>
      <c r="AF23" s="27" t="s">
        <v>55</v>
      </c>
      <c r="AG23" s="27" t="s">
        <v>55</v>
      </c>
      <c r="AH23" s="27" t="s">
        <v>55</v>
      </c>
      <c r="AI23" s="27" t="s">
        <v>55</v>
      </c>
      <c r="AJ23" s="27" t="s">
        <v>55</v>
      </c>
      <c r="AK23" s="27" t="s">
        <v>55</v>
      </c>
      <c r="AL23" s="27" t="s">
        <v>55</v>
      </c>
      <c r="AM23" s="27" t="s">
        <v>55</v>
      </c>
      <c r="AN23" s="27" t="s">
        <v>55</v>
      </c>
      <c r="AO23" s="27" t="s">
        <v>55</v>
      </c>
      <c r="AP23" s="27" t="s">
        <v>55</v>
      </c>
      <c r="AQ23" s="27" t="s">
        <v>55</v>
      </c>
      <c r="AR23" s="27" t="s">
        <v>55</v>
      </c>
      <c r="AS23" s="27" t="s">
        <v>55</v>
      </c>
      <c r="AT23" s="2" t="s">
        <v>50</v>
      </c>
    </row>
    <row r="24" spans="1:61" s="2" customFormat="1" ht="60" customHeight="1" x14ac:dyDescent="0.35">
      <c r="A24" s="32"/>
      <c r="B24" s="20"/>
      <c r="D24" s="3"/>
      <c r="E24" s="44"/>
      <c r="F24" s="44"/>
      <c r="G24" s="44"/>
      <c r="H24" s="44"/>
      <c r="R24" s="3">
        <v>45903</v>
      </c>
      <c r="S24" s="58">
        <v>0.73750000000000004</v>
      </c>
      <c r="T24" s="58"/>
      <c r="U24" s="36">
        <f t="shared" si="4"/>
        <v>11</v>
      </c>
      <c r="V24" s="36"/>
      <c r="W24" s="27">
        <v>28.48</v>
      </c>
      <c r="X24" s="27">
        <v>14.76</v>
      </c>
      <c r="Y24" s="27">
        <v>3.5</v>
      </c>
      <c r="Z24" s="27">
        <v>14.41</v>
      </c>
      <c r="AA24" s="27">
        <v>12.53</v>
      </c>
      <c r="AB24" s="27" t="s">
        <v>55</v>
      </c>
      <c r="AC24" s="27" t="s">
        <v>55</v>
      </c>
      <c r="AD24" s="27">
        <v>9</v>
      </c>
      <c r="AE24" s="27" t="s">
        <v>55</v>
      </c>
      <c r="AF24" s="27" t="s">
        <v>55</v>
      </c>
      <c r="AG24" s="27" t="s">
        <v>55</v>
      </c>
      <c r="AH24" s="27" t="s">
        <v>55</v>
      </c>
      <c r="AI24" s="27" t="s">
        <v>55</v>
      </c>
      <c r="AJ24" s="27" t="s">
        <v>55</v>
      </c>
      <c r="AK24" s="27" t="s">
        <v>55</v>
      </c>
      <c r="AL24" s="27" t="s">
        <v>55</v>
      </c>
      <c r="AM24" s="27" t="s">
        <v>55</v>
      </c>
      <c r="AN24" s="27" t="s">
        <v>55</v>
      </c>
      <c r="AO24" s="27" t="s">
        <v>55</v>
      </c>
      <c r="AP24" s="27" t="s">
        <v>55</v>
      </c>
      <c r="AQ24" s="27" t="s">
        <v>55</v>
      </c>
      <c r="AR24" s="27" t="s">
        <v>55</v>
      </c>
      <c r="AS24" s="27" t="s">
        <v>55</v>
      </c>
      <c r="AT24" s="2" t="s">
        <v>107</v>
      </c>
      <c r="AU24" s="2">
        <v>0.85</v>
      </c>
      <c r="AV24" s="2">
        <v>2.6</v>
      </c>
      <c r="AW24" s="2">
        <v>7.15</v>
      </c>
      <c r="AX24" s="2">
        <v>6.58</v>
      </c>
      <c r="AZ24" s="2">
        <v>47.04</v>
      </c>
      <c r="BA24" s="2">
        <v>15.19</v>
      </c>
      <c r="BB24" s="2">
        <v>8.66</v>
      </c>
      <c r="BC24" s="2">
        <v>0.56499999999999995</v>
      </c>
      <c r="BD24" s="2">
        <v>0.89</v>
      </c>
      <c r="BE24" s="2">
        <v>0.02</v>
      </c>
      <c r="BF24" s="2">
        <v>0.09</v>
      </c>
      <c r="BG24" s="2">
        <v>46</v>
      </c>
      <c r="BH24" s="2">
        <v>86</v>
      </c>
    </row>
    <row r="25" spans="1:61" s="2" customFormat="1" ht="60" customHeight="1" x14ac:dyDescent="0.35">
      <c r="A25" s="32"/>
      <c r="B25" s="20"/>
      <c r="D25" s="3"/>
      <c r="E25" s="44"/>
      <c r="F25" s="44"/>
      <c r="G25" s="44"/>
      <c r="H25" s="44"/>
      <c r="R25" s="3">
        <v>45905</v>
      </c>
      <c r="S25" s="58">
        <v>0.36041666666666666</v>
      </c>
      <c r="T25" s="58"/>
      <c r="U25" s="36">
        <f t="shared" si="4"/>
        <v>13</v>
      </c>
      <c r="V25" s="36"/>
      <c r="W25" s="27">
        <v>27.93</v>
      </c>
      <c r="X25" s="27">
        <v>18.8</v>
      </c>
      <c r="Y25" s="27">
        <v>2.2599999999999998</v>
      </c>
      <c r="Z25" s="27">
        <v>15.66</v>
      </c>
      <c r="AA25" s="27">
        <v>10.029999999999999</v>
      </c>
      <c r="AB25" s="27" t="s">
        <v>116</v>
      </c>
      <c r="AC25" s="27" t="s">
        <v>115</v>
      </c>
      <c r="AD25" s="27">
        <v>9</v>
      </c>
      <c r="AE25" s="27" t="s">
        <v>55</v>
      </c>
      <c r="AF25" s="27" t="s">
        <v>55</v>
      </c>
      <c r="AG25" s="27" t="s">
        <v>55</v>
      </c>
      <c r="AH25" s="27" t="s">
        <v>55</v>
      </c>
      <c r="AI25" s="27" t="s">
        <v>55</v>
      </c>
      <c r="AJ25" s="27" t="s">
        <v>55</v>
      </c>
      <c r="AK25" s="27" t="s">
        <v>55</v>
      </c>
      <c r="AL25" s="27" t="s">
        <v>55</v>
      </c>
      <c r="AM25" s="27" t="s">
        <v>55</v>
      </c>
      <c r="AN25" s="27" t="s">
        <v>55</v>
      </c>
      <c r="AO25" s="27" t="s">
        <v>55</v>
      </c>
      <c r="AP25" s="27" t="s">
        <v>55</v>
      </c>
      <c r="AQ25" s="27" t="s">
        <v>55</v>
      </c>
      <c r="AR25" s="27" t="s">
        <v>55</v>
      </c>
      <c r="AS25" s="27" t="s">
        <v>55</v>
      </c>
      <c r="AT25" s="2" t="s">
        <v>50</v>
      </c>
    </row>
    <row r="26" spans="1:61" s="2" customFormat="1" ht="60" customHeight="1" x14ac:dyDescent="0.35">
      <c r="A26" s="32"/>
      <c r="B26" s="20"/>
      <c r="D26" s="3"/>
      <c r="E26" s="44"/>
      <c r="F26" s="44"/>
      <c r="G26" s="44"/>
      <c r="H26" s="44"/>
      <c r="R26" s="3">
        <v>45908</v>
      </c>
      <c r="S26" s="58">
        <v>0.34583333333333333</v>
      </c>
      <c r="T26" s="58"/>
      <c r="U26" s="36">
        <f t="shared" si="4"/>
        <v>16</v>
      </c>
      <c r="V26" s="36"/>
      <c r="W26" s="27">
        <v>29.01</v>
      </c>
      <c r="X26" s="27">
        <v>14.48</v>
      </c>
      <c r="Y26" s="27">
        <v>2.2599999999999998</v>
      </c>
      <c r="Z26" s="27" t="s">
        <v>127</v>
      </c>
      <c r="AA26" s="27">
        <v>4.3899999999999997</v>
      </c>
      <c r="AB26" s="27" t="s">
        <v>128</v>
      </c>
      <c r="AC26" s="27" t="s">
        <v>129</v>
      </c>
      <c r="AD26" s="27">
        <v>9</v>
      </c>
      <c r="AE26" s="27" t="s">
        <v>55</v>
      </c>
      <c r="AF26" s="27" t="s">
        <v>55</v>
      </c>
      <c r="AG26" s="27" t="s">
        <v>55</v>
      </c>
      <c r="AH26" s="27" t="s">
        <v>55</v>
      </c>
      <c r="AI26" s="27" t="s">
        <v>55</v>
      </c>
      <c r="AJ26" s="27" t="s">
        <v>55</v>
      </c>
      <c r="AK26" s="27" t="s">
        <v>55</v>
      </c>
      <c r="AL26" s="27" t="s">
        <v>55</v>
      </c>
      <c r="AM26" s="27" t="s">
        <v>55</v>
      </c>
      <c r="AN26" s="27" t="s">
        <v>55</v>
      </c>
      <c r="AO26" s="27" t="s">
        <v>55</v>
      </c>
      <c r="AP26" s="27" t="s">
        <v>55</v>
      </c>
      <c r="AQ26" s="27" t="s">
        <v>55</v>
      </c>
      <c r="AR26" s="27" t="s">
        <v>55</v>
      </c>
      <c r="AS26" s="27" t="s">
        <v>55</v>
      </c>
      <c r="AT26" s="2" t="s">
        <v>52</v>
      </c>
      <c r="AU26" s="2">
        <v>0.88</v>
      </c>
      <c r="AV26" s="2">
        <v>2.79</v>
      </c>
      <c r="AW26" s="2">
        <v>4.4400000000000004</v>
      </c>
      <c r="AX26" s="2">
        <v>8</v>
      </c>
      <c r="AZ26" s="2">
        <v>35.49</v>
      </c>
      <c r="BA26" s="2">
        <v>11.05</v>
      </c>
      <c r="BB26" s="2">
        <v>6.91</v>
      </c>
      <c r="BC26" s="2">
        <v>0.62</v>
      </c>
      <c r="BD26" s="2">
        <v>0.5</v>
      </c>
      <c r="BE26" s="2">
        <v>0.01</v>
      </c>
      <c r="BF26" s="2">
        <v>0.05</v>
      </c>
      <c r="BG26" s="2">
        <v>40</v>
      </c>
      <c r="BH26" s="2">
        <v>92</v>
      </c>
    </row>
    <row r="27" spans="1:61" s="2" customFormat="1" ht="60" customHeight="1" x14ac:dyDescent="0.35">
      <c r="A27" s="32"/>
      <c r="B27" s="20"/>
      <c r="D27" s="3"/>
      <c r="E27" s="44"/>
      <c r="F27" s="44"/>
      <c r="G27" s="44"/>
      <c r="H27" s="44"/>
      <c r="R27" s="3">
        <v>45910</v>
      </c>
      <c r="S27" s="58">
        <v>0.70694444444444449</v>
      </c>
      <c r="T27" s="58"/>
      <c r="U27" s="36">
        <f t="shared" si="4"/>
        <v>18</v>
      </c>
      <c r="V27" s="36"/>
      <c r="W27" s="27">
        <v>20.170000000000002</v>
      </c>
      <c r="X27" s="27">
        <v>11.81</v>
      </c>
      <c r="Y27" s="27">
        <v>1.96</v>
      </c>
      <c r="Z27" s="27">
        <v>10.78</v>
      </c>
      <c r="AA27" s="27">
        <v>2.85</v>
      </c>
      <c r="AB27" s="27" t="s">
        <v>129</v>
      </c>
      <c r="AC27" s="27" t="s">
        <v>140</v>
      </c>
      <c r="AD27" s="27">
        <v>9</v>
      </c>
      <c r="AE27" s="27" t="s">
        <v>55</v>
      </c>
      <c r="AF27" s="27" t="s">
        <v>55</v>
      </c>
      <c r="AG27" s="27" t="s">
        <v>55</v>
      </c>
      <c r="AH27" s="27" t="s">
        <v>55</v>
      </c>
      <c r="AI27" s="27" t="s">
        <v>55</v>
      </c>
      <c r="AJ27" s="27" t="s">
        <v>55</v>
      </c>
      <c r="AK27" s="27" t="s">
        <v>55</v>
      </c>
      <c r="AL27" s="27" t="s">
        <v>55</v>
      </c>
      <c r="AM27" s="27" t="s">
        <v>55</v>
      </c>
      <c r="AN27" s="27" t="s">
        <v>55</v>
      </c>
      <c r="AO27" s="27" t="s">
        <v>55</v>
      </c>
      <c r="AP27" s="27" t="s">
        <v>55</v>
      </c>
      <c r="AQ27" s="27" t="s">
        <v>55</v>
      </c>
      <c r="AR27" s="27" t="s">
        <v>55</v>
      </c>
      <c r="AS27" s="27" t="s">
        <v>55</v>
      </c>
      <c r="AT27" s="2" t="s">
        <v>52</v>
      </c>
      <c r="AU27" s="2">
        <v>1</v>
      </c>
      <c r="AV27" s="2">
        <v>1.66</v>
      </c>
      <c r="AW27" s="2">
        <v>0</v>
      </c>
      <c r="AX27" s="2" t="s">
        <v>89</v>
      </c>
      <c r="AZ27" s="2">
        <v>25.53</v>
      </c>
      <c r="BA27" s="2">
        <v>15.23</v>
      </c>
      <c r="BB27" s="2">
        <v>7.92</v>
      </c>
      <c r="BC27" s="2">
        <v>0.51500000000000001</v>
      </c>
      <c r="BD27" s="2">
        <v>0.26</v>
      </c>
      <c r="BE27" s="2">
        <v>0</v>
      </c>
      <c r="BF27" s="2">
        <v>0.09</v>
      </c>
      <c r="BG27" s="2">
        <v>36</v>
      </c>
      <c r="BH27" s="2">
        <v>91</v>
      </c>
    </row>
    <row r="28" spans="1:61" s="2" customFormat="1" ht="60" customHeight="1" x14ac:dyDescent="0.35">
      <c r="A28" s="32"/>
      <c r="B28" s="20"/>
      <c r="D28" s="3"/>
      <c r="E28" s="44"/>
      <c r="F28" s="44"/>
      <c r="G28" s="44"/>
      <c r="H28" s="44"/>
      <c r="R28" s="3">
        <v>45912</v>
      </c>
      <c r="S28" s="58">
        <v>0.37013888888888891</v>
      </c>
      <c r="T28" s="58"/>
      <c r="U28" s="36">
        <f t="shared" si="4"/>
        <v>20</v>
      </c>
      <c r="V28" s="36"/>
      <c r="W28" s="27">
        <v>27.39</v>
      </c>
      <c r="X28" s="27">
        <v>14.52</v>
      </c>
      <c r="Y28" s="27">
        <v>2.1</v>
      </c>
      <c r="Z28" s="27">
        <v>12.74</v>
      </c>
      <c r="AA28" s="27">
        <v>9.2200000000000006</v>
      </c>
      <c r="AB28" s="27" t="s">
        <v>151</v>
      </c>
      <c r="AC28" s="27" t="s">
        <v>150</v>
      </c>
      <c r="AD28" s="27">
        <v>9</v>
      </c>
      <c r="AE28" s="27" t="s">
        <v>55</v>
      </c>
      <c r="AF28" s="27" t="s">
        <v>55</v>
      </c>
      <c r="AG28" s="27" t="s">
        <v>55</v>
      </c>
      <c r="AH28" s="27" t="s">
        <v>55</v>
      </c>
      <c r="AI28" s="27" t="s">
        <v>55</v>
      </c>
      <c r="AJ28" s="27" t="s">
        <v>55</v>
      </c>
      <c r="AK28" s="27" t="s">
        <v>55</v>
      </c>
      <c r="AL28" s="27" t="s">
        <v>55</v>
      </c>
      <c r="AM28" s="27" t="s">
        <v>55</v>
      </c>
      <c r="AN28" s="27" t="s">
        <v>55</v>
      </c>
      <c r="AO28" s="27" t="s">
        <v>55</v>
      </c>
      <c r="AP28" s="27" t="s">
        <v>55</v>
      </c>
      <c r="AQ28" s="27" t="s">
        <v>55</v>
      </c>
      <c r="AR28" s="27" t="s">
        <v>55</v>
      </c>
      <c r="AS28" s="27" t="s">
        <v>55</v>
      </c>
      <c r="AT28" s="2" t="s">
        <v>52</v>
      </c>
      <c r="AU28" s="2">
        <v>0.68</v>
      </c>
      <c r="AV28" s="2">
        <v>1.46</v>
      </c>
      <c r="AW28" s="2">
        <v>9.5</v>
      </c>
      <c r="AX28" s="2">
        <v>3.15</v>
      </c>
      <c r="AZ28" s="2">
        <v>29.9</v>
      </c>
      <c r="BA28" s="2">
        <v>13.83</v>
      </c>
      <c r="BB28" s="2">
        <v>8.51</v>
      </c>
      <c r="BC28" s="2">
        <v>0.61</v>
      </c>
      <c r="BD28" s="2">
        <v>0.36</v>
      </c>
      <c r="BE28" s="2">
        <v>0.04</v>
      </c>
      <c r="BF28" s="2">
        <v>0.08</v>
      </c>
      <c r="BG28" s="2">
        <v>42</v>
      </c>
      <c r="BH28" s="2">
        <v>93</v>
      </c>
      <c r="BI28" s="2" t="s">
        <v>118</v>
      </c>
    </row>
    <row r="29" spans="1:61" s="2" customFormat="1" ht="60" customHeight="1" x14ac:dyDescent="0.35">
      <c r="A29" s="32"/>
      <c r="B29" s="20"/>
      <c r="D29" s="3"/>
      <c r="E29" s="44"/>
      <c r="F29" s="44"/>
      <c r="G29" s="44"/>
      <c r="H29" s="44"/>
      <c r="R29" s="3">
        <v>45915</v>
      </c>
      <c r="S29" s="58">
        <v>0.70625000000000004</v>
      </c>
      <c r="T29" s="58"/>
      <c r="U29" s="36">
        <f t="shared" si="4"/>
        <v>23</v>
      </c>
      <c r="V29" s="36"/>
      <c r="W29" s="27">
        <v>20.88</v>
      </c>
      <c r="X29" s="27">
        <v>9.76</v>
      </c>
      <c r="Y29" s="27">
        <v>1.85</v>
      </c>
      <c r="Z29" s="27">
        <v>7.67</v>
      </c>
      <c r="AA29" s="27">
        <v>3.58</v>
      </c>
      <c r="AB29" s="27" t="s">
        <v>173</v>
      </c>
      <c r="AC29" s="27" t="s">
        <v>174</v>
      </c>
      <c r="AD29" s="27">
        <v>9</v>
      </c>
      <c r="AE29" s="27" t="s">
        <v>55</v>
      </c>
      <c r="AF29" s="27" t="s">
        <v>55</v>
      </c>
      <c r="AG29" s="27" t="s">
        <v>55</v>
      </c>
      <c r="AH29" s="27" t="s">
        <v>55</v>
      </c>
      <c r="AI29" s="27" t="s">
        <v>55</v>
      </c>
      <c r="AJ29" s="27" t="s">
        <v>55</v>
      </c>
      <c r="AK29" s="27" t="s">
        <v>55</v>
      </c>
      <c r="AL29" s="27" t="s">
        <v>55</v>
      </c>
      <c r="AM29" s="27" t="s">
        <v>55</v>
      </c>
      <c r="AN29" s="27" t="s">
        <v>55</v>
      </c>
      <c r="AO29" s="27" t="s">
        <v>55</v>
      </c>
      <c r="AP29" s="27" t="s">
        <v>55</v>
      </c>
      <c r="AQ29" s="27" t="s">
        <v>55</v>
      </c>
      <c r="AR29" s="27" t="s">
        <v>55</v>
      </c>
      <c r="AS29" s="27" t="s">
        <v>55</v>
      </c>
      <c r="AT29" s="2" t="s">
        <v>52</v>
      </c>
      <c r="AU29" s="2">
        <v>0.76</v>
      </c>
      <c r="AV29" s="2">
        <v>2.4</v>
      </c>
      <c r="AW29" s="2">
        <v>13.09</v>
      </c>
      <c r="AX29" s="2">
        <v>4.21</v>
      </c>
      <c r="AZ29" s="2">
        <v>55.16</v>
      </c>
      <c r="BA29" s="2">
        <v>17.38</v>
      </c>
      <c r="BB29" s="2">
        <v>9.2100000000000009</v>
      </c>
      <c r="BC29" s="2">
        <v>0.52500000000000002</v>
      </c>
      <c r="BD29" s="2">
        <v>1.22</v>
      </c>
      <c r="BE29" s="2">
        <v>7.0000000000000007E-2</v>
      </c>
      <c r="BF29" s="2">
        <v>0.12</v>
      </c>
      <c r="BG29" s="2">
        <v>56</v>
      </c>
      <c r="BH29" s="2">
        <v>105</v>
      </c>
    </row>
    <row r="30" spans="1:61" s="2" customFormat="1" ht="60" customHeight="1" x14ac:dyDescent="0.35">
      <c r="A30" s="32"/>
      <c r="B30" s="20"/>
      <c r="D30" s="3"/>
      <c r="E30" s="44"/>
      <c r="F30" s="44"/>
      <c r="G30" s="44"/>
      <c r="H30" s="44"/>
      <c r="R30" s="3">
        <v>45918</v>
      </c>
      <c r="S30" s="58">
        <v>0.82499999999999996</v>
      </c>
      <c r="T30" s="58"/>
      <c r="U30" s="36">
        <f t="shared" si="4"/>
        <v>26</v>
      </c>
      <c r="V30" s="36"/>
      <c r="W30" s="27">
        <v>14.37</v>
      </c>
      <c r="X30" s="27">
        <v>6.26</v>
      </c>
      <c r="Y30" s="27">
        <v>2.27</v>
      </c>
      <c r="Z30" s="27">
        <v>5.53</v>
      </c>
      <c r="AA30" s="27">
        <v>4.1399999999999997</v>
      </c>
      <c r="AB30" s="27" t="s">
        <v>185</v>
      </c>
      <c r="AC30" s="27" t="s">
        <v>185</v>
      </c>
      <c r="AD30" s="27">
        <v>9</v>
      </c>
      <c r="AE30" s="27" t="s">
        <v>55</v>
      </c>
      <c r="AF30" s="27" t="s">
        <v>55</v>
      </c>
      <c r="AG30" s="27" t="s">
        <v>55</v>
      </c>
      <c r="AH30" s="27" t="s">
        <v>55</v>
      </c>
      <c r="AI30" s="27" t="s">
        <v>55</v>
      </c>
      <c r="AJ30" s="27" t="s">
        <v>55</v>
      </c>
      <c r="AK30" s="27" t="s">
        <v>55</v>
      </c>
      <c r="AL30" s="27" t="s">
        <v>55</v>
      </c>
      <c r="AM30" s="27" t="s">
        <v>55</v>
      </c>
      <c r="AN30" s="27" t="s">
        <v>55</v>
      </c>
      <c r="AO30" s="27" t="s">
        <v>55</v>
      </c>
      <c r="AP30" s="27" t="s">
        <v>55</v>
      </c>
      <c r="AQ30" s="27" t="s">
        <v>55</v>
      </c>
      <c r="AR30" s="27" t="s">
        <v>55</v>
      </c>
      <c r="AS30" s="27" t="s">
        <v>55</v>
      </c>
      <c r="AT30" s="38" t="s">
        <v>50</v>
      </c>
    </row>
    <row r="31" spans="1:61" s="2" customFormat="1" ht="60" customHeight="1" x14ac:dyDescent="0.35">
      <c r="A31" s="32"/>
      <c r="B31" s="20"/>
      <c r="D31" s="3"/>
      <c r="E31" s="44"/>
      <c r="F31" s="44"/>
      <c r="G31" s="44"/>
      <c r="H31" s="44"/>
      <c r="R31" s="3">
        <v>45922</v>
      </c>
      <c r="S31" s="58">
        <v>0.40763888888888888</v>
      </c>
      <c r="T31" s="58"/>
      <c r="U31" s="36">
        <f t="shared" si="4"/>
        <v>30</v>
      </c>
      <c r="V31" s="36"/>
      <c r="W31" s="27">
        <v>19.37</v>
      </c>
      <c r="X31" s="27">
        <v>10.130000000000001</v>
      </c>
      <c r="Y31" s="27">
        <v>2.29</v>
      </c>
      <c r="Z31" s="27">
        <v>9.31</v>
      </c>
      <c r="AA31" s="27">
        <v>3.62</v>
      </c>
      <c r="AB31" s="27" t="s">
        <v>203</v>
      </c>
      <c r="AC31" s="27" t="s">
        <v>209</v>
      </c>
      <c r="AD31" s="27">
        <v>9</v>
      </c>
      <c r="AE31" s="27" t="s">
        <v>55</v>
      </c>
      <c r="AF31" s="27" t="s">
        <v>55</v>
      </c>
      <c r="AG31" s="27" t="s">
        <v>55</v>
      </c>
      <c r="AH31" s="27" t="s">
        <v>55</v>
      </c>
      <c r="AI31" s="27" t="s">
        <v>55</v>
      </c>
      <c r="AJ31" s="27" t="s">
        <v>55</v>
      </c>
      <c r="AK31" s="27" t="s">
        <v>55</v>
      </c>
      <c r="AL31" s="27" t="s">
        <v>55</v>
      </c>
      <c r="AM31" s="27" t="s">
        <v>55</v>
      </c>
      <c r="AN31" s="27" t="s">
        <v>55</v>
      </c>
      <c r="AO31" s="27" t="s">
        <v>55</v>
      </c>
      <c r="AP31" s="27" t="s">
        <v>55</v>
      </c>
      <c r="AQ31" s="27" t="s">
        <v>55</v>
      </c>
      <c r="AR31" s="27" t="s">
        <v>55</v>
      </c>
      <c r="AS31" s="27" t="s">
        <v>55</v>
      </c>
      <c r="AT31" s="2" t="s">
        <v>52</v>
      </c>
      <c r="AU31" s="2">
        <v>0.8</v>
      </c>
      <c r="AV31" s="2">
        <v>2.0299999999999998</v>
      </c>
      <c r="AW31" s="2">
        <v>8.99</v>
      </c>
      <c r="AX31" s="2">
        <v>4.91</v>
      </c>
      <c r="AZ31" s="2">
        <v>44.15</v>
      </c>
      <c r="BA31" s="2">
        <v>17.21</v>
      </c>
      <c r="BB31" s="2">
        <v>12.22</v>
      </c>
      <c r="BC31" s="2">
        <v>0.70499999999999996</v>
      </c>
      <c r="BD31" s="2">
        <v>0.78</v>
      </c>
      <c r="BE31" s="2">
        <v>0.03</v>
      </c>
      <c r="BF31" s="2">
        <v>0.12</v>
      </c>
      <c r="BG31" s="2">
        <v>48</v>
      </c>
      <c r="BH31" s="2">
        <v>72</v>
      </c>
    </row>
    <row r="32" spans="1:61" s="2" customFormat="1" ht="60" customHeight="1" x14ac:dyDescent="0.35">
      <c r="A32" s="32"/>
      <c r="B32" s="20"/>
      <c r="D32" s="3"/>
      <c r="E32" s="44"/>
      <c r="F32" s="44"/>
      <c r="G32" s="44"/>
      <c r="H32" s="44"/>
      <c r="P32" s="2">
        <v>3</v>
      </c>
      <c r="R32" s="3">
        <v>45925</v>
      </c>
      <c r="S32" s="58">
        <v>0.82291666666666663</v>
      </c>
      <c r="T32" s="58"/>
      <c r="U32" s="36">
        <f t="shared" si="4"/>
        <v>33</v>
      </c>
      <c r="V32" s="36"/>
      <c r="W32" s="27">
        <v>14.91</v>
      </c>
      <c r="X32" s="27">
        <v>8.75</v>
      </c>
      <c r="Y32" s="27">
        <v>2.2599999999999998</v>
      </c>
      <c r="Z32" s="27">
        <v>6.9</v>
      </c>
      <c r="AA32" s="27">
        <v>3.06</v>
      </c>
      <c r="AB32" s="27" t="s">
        <v>232</v>
      </c>
      <c r="AC32" s="27" t="s">
        <v>231</v>
      </c>
      <c r="AD32" s="27">
        <v>9</v>
      </c>
      <c r="AE32" s="27" t="s">
        <v>55</v>
      </c>
      <c r="AF32" s="27" t="s">
        <v>55</v>
      </c>
      <c r="AG32" s="27" t="s">
        <v>55</v>
      </c>
      <c r="AH32" s="27" t="s">
        <v>55</v>
      </c>
      <c r="AI32" s="27" t="s">
        <v>55</v>
      </c>
      <c r="AJ32" s="27" t="s">
        <v>55</v>
      </c>
      <c r="AK32" s="27" t="s">
        <v>55</v>
      </c>
      <c r="AL32" s="27" t="s">
        <v>55</v>
      </c>
      <c r="AM32" s="27" t="s">
        <v>55</v>
      </c>
      <c r="AN32" s="27" t="s">
        <v>55</v>
      </c>
      <c r="AO32" s="27" t="s">
        <v>55</v>
      </c>
      <c r="AP32" s="27" t="s">
        <v>55</v>
      </c>
      <c r="AQ32" s="27" t="s">
        <v>55</v>
      </c>
      <c r="AR32" s="27" t="s">
        <v>55</v>
      </c>
      <c r="AS32" s="27" t="s">
        <v>55</v>
      </c>
      <c r="AT32" s="2" t="s">
        <v>52</v>
      </c>
      <c r="AU32" s="2">
        <v>1</v>
      </c>
      <c r="AV32" s="2">
        <v>5.95</v>
      </c>
      <c r="AW32" s="2">
        <v>0</v>
      </c>
      <c r="AX32" s="2" t="s">
        <v>89</v>
      </c>
      <c r="AZ32" s="2">
        <v>35.520000000000003</v>
      </c>
      <c r="BA32" s="2">
        <v>5.93</v>
      </c>
      <c r="BB32" s="2">
        <v>4.0599999999999996</v>
      </c>
      <c r="BC32" s="2">
        <v>0.68</v>
      </c>
      <c r="BD32" s="2">
        <v>0.5</v>
      </c>
      <c r="BE32" s="2">
        <v>0</v>
      </c>
      <c r="BF32" s="2">
        <v>0.01</v>
      </c>
      <c r="BG32" s="2">
        <v>58</v>
      </c>
      <c r="BH32" s="2">
        <v>83</v>
      </c>
    </row>
    <row r="33" spans="1:61" s="2" customFormat="1" ht="60" customHeight="1" x14ac:dyDescent="0.35">
      <c r="A33" s="32"/>
      <c r="B33" s="20"/>
      <c r="D33" s="3"/>
      <c r="E33" s="44"/>
      <c r="F33" s="44"/>
      <c r="G33" s="44"/>
      <c r="H33" s="44"/>
      <c r="P33" s="2">
        <v>2.75</v>
      </c>
      <c r="R33" s="3">
        <v>45930</v>
      </c>
      <c r="S33" s="61">
        <v>45930.729166666664</v>
      </c>
      <c r="U33" s="36">
        <f t="shared" si="4"/>
        <v>38</v>
      </c>
      <c r="V33" s="36"/>
      <c r="W33" s="27">
        <v>16.97</v>
      </c>
      <c r="X33" s="27">
        <v>9.49</v>
      </c>
      <c r="Y33" s="27">
        <v>2.0299999999999998</v>
      </c>
      <c r="Z33" s="27">
        <v>6.89</v>
      </c>
      <c r="AA33" s="27">
        <v>4.2300000000000004</v>
      </c>
      <c r="AB33" s="27" t="s">
        <v>250</v>
      </c>
      <c r="AC33" s="27" t="s">
        <v>251</v>
      </c>
      <c r="AD33" s="27">
        <v>9</v>
      </c>
      <c r="AE33" s="27" t="s">
        <v>55</v>
      </c>
      <c r="AF33" s="27" t="s">
        <v>55</v>
      </c>
      <c r="AG33" s="27" t="s">
        <v>55</v>
      </c>
      <c r="AH33" s="27" t="s">
        <v>55</v>
      </c>
      <c r="AI33" s="27" t="s">
        <v>55</v>
      </c>
      <c r="AJ33" s="27" t="s">
        <v>55</v>
      </c>
      <c r="AK33" s="27" t="s">
        <v>55</v>
      </c>
      <c r="AL33" s="27" t="s">
        <v>55</v>
      </c>
      <c r="AM33" s="27" t="s">
        <v>55</v>
      </c>
      <c r="AN33" s="27" t="s">
        <v>55</v>
      </c>
      <c r="AO33" s="27" t="s">
        <v>55</v>
      </c>
      <c r="AP33" s="27" t="s">
        <v>55</v>
      </c>
      <c r="AQ33" s="27" t="s">
        <v>55</v>
      </c>
      <c r="AR33" s="27" t="s">
        <v>55</v>
      </c>
      <c r="AS33" s="27" t="s">
        <v>55</v>
      </c>
      <c r="AT33" s="2" t="s">
        <v>84</v>
      </c>
      <c r="AU33" s="2">
        <v>0.76</v>
      </c>
      <c r="AV33" s="2">
        <v>1.25</v>
      </c>
      <c r="AW33" s="2">
        <v>11.26</v>
      </c>
      <c r="AX33" s="2">
        <v>4.09</v>
      </c>
      <c r="AZ33" s="2">
        <v>46.08</v>
      </c>
      <c r="BA33" s="2">
        <v>27.35</v>
      </c>
      <c r="BB33" s="2">
        <v>9.3000000000000007</v>
      </c>
      <c r="BC33" s="2">
        <v>0.33500000000000002</v>
      </c>
      <c r="BD33" s="2">
        <v>0.85</v>
      </c>
      <c r="BE33" s="2">
        <v>0.05</v>
      </c>
      <c r="BF33" s="2">
        <v>0.3</v>
      </c>
      <c r="BG33" s="2">
        <v>42</v>
      </c>
      <c r="BH33" s="2">
        <v>100</v>
      </c>
    </row>
    <row r="34" spans="1:61" s="2" customFormat="1" ht="60" customHeight="1" x14ac:dyDescent="0.35">
      <c r="A34" s="32"/>
      <c r="B34" s="20"/>
      <c r="D34" s="3"/>
      <c r="E34" s="44"/>
      <c r="F34" s="44"/>
      <c r="G34" s="44"/>
      <c r="H34" s="44"/>
      <c r="P34" s="2">
        <v>3</v>
      </c>
      <c r="R34" s="3">
        <v>45936</v>
      </c>
      <c r="S34" s="61">
        <v>45936.712500000001</v>
      </c>
      <c r="T34" s="2">
        <f>S34-S33</f>
        <v>5.9833333333372138</v>
      </c>
      <c r="U34" s="36">
        <f t="shared" si="4"/>
        <v>44</v>
      </c>
      <c r="V34" s="36"/>
      <c r="W34" s="27">
        <v>9.93</v>
      </c>
      <c r="X34" s="27">
        <v>6.82</v>
      </c>
      <c r="Y34" s="27">
        <v>2.2000000000000002</v>
      </c>
      <c r="Z34" s="27">
        <v>4.13</v>
      </c>
      <c r="AA34" s="27">
        <v>0.68</v>
      </c>
      <c r="AB34" s="27" t="s">
        <v>276</v>
      </c>
      <c r="AC34" s="27" t="s">
        <v>275</v>
      </c>
      <c r="AD34" s="27">
        <v>9</v>
      </c>
      <c r="AE34" s="62">
        <f>$R$34-($T$34/2)</f>
        <v>45933.008333333331</v>
      </c>
      <c r="AF34" s="27">
        <f>$U$33+($T$34/2)</f>
        <v>40.991666666668607</v>
      </c>
      <c r="AG34" s="27" t="s">
        <v>55</v>
      </c>
      <c r="AH34" s="27" t="s">
        <v>55</v>
      </c>
      <c r="AI34" s="27" t="s">
        <v>55</v>
      </c>
      <c r="AJ34" s="27" t="s">
        <v>55</v>
      </c>
      <c r="AK34" s="27" t="s">
        <v>55</v>
      </c>
      <c r="AL34" s="27" t="s">
        <v>55</v>
      </c>
      <c r="AM34" s="27" t="s">
        <v>55</v>
      </c>
      <c r="AN34" s="27" t="s">
        <v>55</v>
      </c>
      <c r="AO34" s="27" t="s">
        <v>55</v>
      </c>
      <c r="AP34" s="27" t="s">
        <v>55</v>
      </c>
      <c r="AQ34" s="27" t="s">
        <v>55</v>
      </c>
      <c r="AR34" s="27" t="s">
        <v>55</v>
      </c>
      <c r="AS34" s="27" t="s">
        <v>55</v>
      </c>
      <c r="AT34" s="2" t="s">
        <v>52</v>
      </c>
      <c r="AU34" s="2">
        <v>0.67</v>
      </c>
      <c r="AV34" s="2">
        <v>1.41</v>
      </c>
      <c r="AW34" s="2">
        <v>15.79</v>
      </c>
      <c r="AX34" s="2">
        <v>3.06</v>
      </c>
      <c r="AZ34" s="2">
        <v>48.35</v>
      </c>
      <c r="BA34" s="2">
        <v>22.86</v>
      </c>
      <c r="BB34" s="2">
        <v>13.95</v>
      </c>
      <c r="BC34" s="2">
        <v>0.60499999999999998</v>
      </c>
      <c r="BD34" s="2">
        <v>0.93</v>
      </c>
      <c r="BE34" s="2">
        <v>0.1</v>
      </c>
      <c r="BF34" s="2">
        <v>0.21</v>
      </c>
      <c r="BG34" s="2">
        <v>58</v>
      </c>
      <c r="BH34" s="2">
        <v>92</v>
      </c>
    </row>
    <row r="35" spans="1:61" s="2" customFormat="1" ht="60" customHeight="1" x14ac:dyDescent="0.35">
      <c r="A35" s="32"/>
      <c r="B35" s="20"/>
      <c r="D35" s="3"/>
      <c r="E35" s="44"/>
      <c r="F35" s="44"/>
      <c r="G35" s="44"/>
      <c r="H35" s="44"/>
      <c r="P35" s="2">
        <v>3</v>
      </c>
      <c r="R35" s="3">
        <v>45939</v>
      </c>
      <c r="S35" s="58">
        <v>0.49861111111111112</v>
      </c>
      <c r="T35" s="58"/>
      <c r="U35" s="36">
        <f t="shared" si="4"/>
        <v>47</v>
      </c>
      <c r="V35" s="36"/>
      <c r="W35" s="27">
        <v>13.34</v>
      </c>
      <c r="X35" s="27">
        <v>6.84</v>
      </c>
      <c r="Y35" s="27">
        <v>1.06</v>
      </c>
      <c r="Z35" s="27">
        <v>4.8</v>
      </c>
      <c r="AA35" s="27">
        <v>1.73</v>
      </c>
      <c r="AB35" s="27" t="s">
        <v>319</v>
      </c>
      <c r="AC35" s="37" t="s">
        <v>318</v>
      </c>
      <c r="AD35" s="27">
        <v>9</v>
      </c>
      <c r="AE35" s="62">
        <f t="shared" ref="AE35:AE36" si="5">$R$34-($T$34/2)</f>
        <v>45933.008333333331</v>
      </c>
      <c r="AF35" s="27">
        <f t="shared" ref="AF35:AF36" si="6">$U$33+($T$34/2)</f>
        <v>40.991666666668607</v>
      </c>
      <c r="AG35" s="37" t="s">
        <v>320</v>
      </c>
      <c r="AH35" s="37">
        <v>56.5</v>
      </c>
      <c r="AI35" s="37">
        <v>5.0199999999999996</v>
      </c>
      <c r="AJ35" s="37">
        <f>AH35-AI35</f>
        <v>51.480000000000004</v>
      </c>
      <c r="AK35" s="27" t="s">
        <v>55</v>
      </c>
      <c r="AL35" s="27" t="s">
        <v>55</v>
      </c>
      <c r="AM35" s="27" t="s">
        <v>55</v>
      </c>
      <c r="AN35" s="37">
        <v>67.790000000000006</v>
      </c>
      <c r="AO35" s="37">
        <v>0</v>
      </c>
      <c r="AP35" s="37">
        <f>AN35-AO35</f>
        <v>67.790000000000006</v>
      </c>
      <c r="AQ35" s="27" t="s">
        <v>55</v>
      </c>
      <c r="AR35" s="27" t="s">
        <v>55</v>
      </c>
      <c r="AS35" s="27" t="s">
        <v>55</v>
      </c>
      <c r="AT35" s="2" t="s">
        <v>52</v>
      </c>
      <c r="AU35" s="2">
        <v>1</v>
      </c>
      <c r="AV35" s="2">
        <v>6.92</v>
      </c>
      <c r="AW35" s="2">
        <v>0</v>
      </c>
      <c r="AX35" s="2" t="s">
        <v>89</v>
      </c>
      <c r="AZ35" s="2">
        <v>27.79</v>
      </c>
      <c r="BA35" s="2">
        <v>3.99</v>
      </c>
      <c r="BB35" s="2">
        <v>2.89</v>
      </c>
      <c r="BC35" s="2">
        <v>0.72</v>
      </c>
      <c r="BD35" s="2">
        <v>0.31</v>
      </c>
      <c r="BE35" s="2">
        <v>0</v>
      </c>
      <c r="BF35" s="2">
        <v>0.01</v>
      </c>
      <c r="BG35" s="2">
        <v>36</v>
      </c>
      <c r="BH35" s="2">
        <v>79</v>
      </c>
      <c r="BI35" s="2" t="s">
        <v>321</v>
      </c>
    </row>
    <row r="36" spans="1:61" s="2" customFormat="1" ht="60" customHeight="1" x14ac:dyDescent="0.35">
      <c r="A36" s="32"/>
      <c r="B36" s="20"/>
      <c r="D36" s="3"/>
      <c r="E36" s="44"/>
      <c r="F36" s="44"/>
      <c r="G36" s="44"/>
      <c r="H36" s="44"/>
      <c r="P36" s="2">
        <v>3</v>
      </c>
      <c r="R36" s="3">
        <v>45944</v>
      </c>
      <c r="S36" s="58">
        <v>0.69027777777777777</v>
      </c>
      <c r="T36" s="58"/>
      <c r="U36" s="36">
        <f t="shared" si="4"/>
        <v>52</v>
      </c>
      <c r="V36" s="36"/>
      <c r="W36" s="27">
        <v>14.82</v>
      </c>
      <c r="X36" s="27">
        <v>7.66</v>
      </c>
      <c r="Y36" s="27">
        <v>1.85</v>
      </c>
      <c r="Z36" s="27">
        <v>5.24</v>
      </c>
      <c r="AA36" s="27">
        <v>0.42</v>
      </c>
      <c r="AB36" s="27" t="s">
        <v>339</v>
      </c>
      <c r="AC36" s="27" t="s">
        <v>341</v>
      </c>
      <c r="AD36" s="27">
        <v>9</v>
      </c>
      <c r="AE36" s="62">
        <f t="shared" si="5"/>
        <v>45933.008333333331</v>
      </c>
      <c r="AF36" s="27">
        <f t="shared" si="6"/>
        <v>40.991666666668607</v>
      </c>
      <c r="AG36" s="37" t="s">
        <v>340</v>
      </c>
      <c r="AH36" s="37">
        <v>77.37</v>
      </c>
      <c r="AI36" s="37">
        <v>0</v>
      </c>
      <c r="AJ36" s="37">
        <f>AH36-AI36</f>
        <v>77.37</v>
      </c>
      <c r="AK36" s="27" t="s">
        <v>55</v>
      </c>
      <c r="AL36" s="27" t="s">
        <v>55</v>
      </c>
      <c r="AM36" s="27" t="s">
        <v>55</v>
      </c>
      <c r="AN36" s="37">
        <v>69.59</v>
      </c>
      <c r="AO36" s="37">
        <v>0</v>
      </c>
      <c r="AP36" s="37">
        <f>AN36-AO36</f>
        <v>69.59</v>
      </c>
      <c r="AQ36" s="27" t="s">
        <v>55</v>
      </c>
      <c r="AR36" s="27" t="s">
        <v>55</v>
      </c>
      <c r="AS36" s="27" t="s">
        <v>55</v>
      </c>
      <c r="AT36" s="2" t="s">
        <v>52</v>
      </c>
      <c r="AU36" s="2">
        <v>1</v>
      </c>
      <c r="AV36" s="2">
        <v>4.5199999999999996</v>
      </c>
      <c r="AW36" s="2">
        <v>0</v>
      </c>
      <c r="AX36" s="2" t="s">
        <v>89</v>
      </c>
      <c r="AZ36" s="2">
        <v>26.84</v>
      </c>
      <c r="BA36" s="2">
        <v>5.89</v>
      </c>
      <c r="BB36" s="2">
        <v>3.42</v>
      </c>
      <c r="BC36" s="2">
        <v>0.57499999999999996</v>
      </c>
      <c r="BD36" s="2">
        <v>0.28999999999999998</v>
      </c>
      <c r="BE36" s="2">
        <v>0</v>
      </c>
      <c r="BF36" s="2">
        <v>0.01</v>
      </c>
      <c r="BG36" s="2">
        <v>50</v>
      </c>
      <c r="BH36" s="2">
        <v>98</v>
      </c>
    </row>
    <row r="37" spans="1:61" s="2" customFormat="1" ht="60" customHeight="1" x14ac:dyDescent="0.35">
      <c r="A37" s="32"/>
      <c r="B37" s="20"/>
      <c r="D37" s="3"/>
      <c r="E37" s="44"/>
      <c r="F37" s="44"/>
      <c r="G37" s="44"/>
      <c r="H37" s="44"/>
      <c r="R37" s="3"/>
      <c r="S37" s="3"/>
      <c r="T37" s="3"/>
      <c r="U37" s="36"/>
      <c r="V37" s="36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</row>
    <row r="38" spans="1:61" s="2" customFormat="1" ht="60" customHeight="1" x14ac:dyDescent="0.35">
      <c r="A38" s="32">
        <v>3</v>
      </c>
      <c r="B38" s="57" t="s">
        <v>35</v>
      </c>
      <c r="C38" s="3">
        <v>44228</v>
      </c>
      <c r="D38" s="3">
        <v>45893</v>
      </c>
      <c r="E38" s="44">
        <f t="shared" si="1"/>
        <v>1665</v>
      </c>
      <c r="F38" s="44">
        <f>E38/30</f>
        <v>55.5</v>
      </c>
      <c r="G38" s="44">
        <f t="shared" si="2"/>
        <v>4.5616438356164384</v>
      </c>
      <c r="H38" s="44">
        <f t="shared" si="3"/>
        <v>6.1875</v>
      </c>
      <c r="I38" s="2" t="s">
        <v>11</v>
      </c>
      <c r="J38" s="2">
        <v>4.1100000000000003</v>
      </c>
      <c r="K38" s="2">
        <v>4113</v>
      </c>
      <c r="R38" s="3">
        <v>45894</v>
      </c>
      <c r="S38" s="58">
        <v>0.76527777777777772</v>
      </c>
      <c r="T38" s="58"/>
      <c r="U38" s="36">
        <f>R38-$D$38</f>
        <v>1</v>
      </c>
      <c r="V38" s="133">
        <f>R52-D38</f>
        <v>43</v>
      </c>
      <c r="W38" s="27">
        <v>36.619999999999997</v>
      </c>
      <c r="X38" s="27" t="s">
        <v>55</v>
      </c>
      <c r="Y38" s="27">
        <v>2.8</v>
      </c>
      <c r="Z38" s="27">
        <v>40.17</v>
      </c>
      <c r="AA38" s="27" t="s">
        <v>55</v>
      </c>
      <c r="AB38" s="27" t="s">
        <v>55</v>
      </c>
      <c r="AC38" s="27" t="s">
        <v>55</v>
      </c>
      <c r="AD38" s="27" t="s">
        <v>55</v>
      </c>
      <c r="AE38" s="27" t="s">
        <v>55</v>
      </c>
      <c r="AF38" s="27" t="s">
        <v>55</v>
      </c>
      <c r="AG38" s="27" t="s">
        <v>55</v>
      </c>
      <c r="AH38" s="27" t="s">
        <v>55</v>
      </c>
      <c r="AI38" s="27" t="s">
        <v>55</v>
      </c>
      <c r="AJ38" s="27" t="s">
        <v>55</v>
      </c>
      <c r="AK38" s="27" t="s">
        <v>55</v>
      </c>
      <c r="AL38" s="27" t="s">
        <v>55</v>
      </c>
      <c r="AM38" s="27" t="s">
        <v>55</v>
      </c>
      <c r="AN38" s="27" t="s">
        <v>55</v>
      </c>
      <c r="AO38" s="27" t="s">
        <v>55</v>
      </c>
      <c r="AP38" s="27" t="s">
        <v>55</v>
      </c>
      <c r="AQ38" s="27" t="s">
        <v>55</v>
      </c>
      <c r="AR38" s="27" t="s">
        <v>55</v>
      </c>
      <c r="AS38" s="27" t="s">
        <v>55</v>
      </c>
      <c r="AT38" s="2" t="s">
        <v>50</v>
      </c>
    </row>
    <row r="39" spans="1:61" s="2" customFormat="1" ht="60" customHeight="1" x14ac:dyDescent="0.35">
      <c r="A39" s="32"/>
      <c r="B39" s="20"/>
      <c r="D39" s="3"/>
      <c r="E39" s="44"/>
      <c r="F39" s="44"/>
      <c r="G39" s="44"/>
      <c r="H39" s="44"/>
      <c r="R39" s="3">
        <v>45896</v>
      </c>
      <c r="S39" s="58">
        <v>0.7006944444444444</v>
      </c>
      <c r="T39" s="58"/>
      <c r="U39" s="36">
        <f t="shared" ref="U39:U53" si="7">R39-$D$38</f>
        <v>3</v>
      </c>
      <c r="V39" s="36"/>
      <c r="W39" s="27">
        <v>43.37</v>
      </c>
      <c r="X39" s="27">
        <v>23.24</v>
      </c>
      <c r="Y39" s="27">
        <v>3.03</v>
      </c>
      <c r="Z39" s="27">
        <v>14.65</v>
      </c>
      <c r="AA39" s="27">
        <v>6.47</v>
      </c>
      <c r="AB39" s="27" t="s">
        <v>55</v>
      </c>
      <c r="AC39" s="27" t="s">
        <v>55</v>
      </c>
      <c r="AD39" s="27" t="s">
        <v>55</v>
      </c>
      <c r="AE39" s="27" t="s">
        <v>55</v>
      </c>
      <c r="AF39" s="27" t="s">
        <v>55</v>
      </c>
      <c r="AG39" s="27" t="s">
        <v>55</v>
      </c>
      <c r="AH39" s="27" t="s">
        <v>55</v>
      </c>
      <c r="AI39" s="27" t="s">
        <v>55</v>
      </c>
      <c r="AJ39" s="27" t="s">
        <v>55</v>
      </c>
      <c r="AK39" s="27" t="s">
        <v>55</v>
      </c>
      <c r="AL39" s="27" t="s">
        <v>55</v>
      </c>
      <c r="AM39" s="27" t="s">
        <v>55</v>
      </c>
      <c r="AN39" s="27" t="s">
        <v>55</v>
      </c>
      <c r="AO39" s="27" t="s">
        <v>55</v>
      </c>
      <c r="AP39" s="27" t="s">
        <v>55</v>
      </c>
      <c r="AQ39" s="27" t="s">
        <v>55</v>
      </c>
      <c r="AR39" s="27" t="s">
        <v>55</v>
      </c>
      <c r="AS39" s="27" t="s">
        <v>55</v>
      </c>
      <c r="AT39" s="2" t="s">
        <v>52</v>
      </c>
      <c r="AU39" s="2">
        <v>0.68</v>
      </c>
      <c r="AV39" s="2">
        <v>1.125</v>
      </c>
      <c r="AW39" s="2">
        <v>13.6</v>
      </c>
      <c r="AX39" s="2">
        <v>3.14</v>
      </c>
      <c r="AZ39" s="2">
        <v>42.134999999999998</v>
      </c>
      <c r="BA39" s="2">
        <v>20.99</v>
      </c>
      <c r="BB39" s="2">
        <v>12.225</v>
      </c>
      <c r="BC39" s="2">
        <v>0.48</v>
      </c>
      <c r="BD39" s="2">
        <v>0.71</v>
      </c>
      <c r="BE39" s="2">
        <v>7.0000000000000007E-2</v>
      </c>
      <c r="BF39" s="2">
        <v>0.18</v>
      </c>
      <c r="BG39" s="2" t="s">
        <v>55</v>
      </c>
      <c r="BH39" s="2">
        <v>105</v>
      </c>
    </row>
    <row r="40" spans="1:61" s="2" customFormat="1" ht="60" customHeight="1" x14ac:dyDescent="0.35">
      <c r="A40" s="32"/>
      <c r="B40" s="20"/>
      <c r="D40" s="3"/>
      <c r="E40" s="44"/>
      <c r="F40" s="44"/>
      <c r="G40" s="44"/>
      <c r="H40" s="44"/>
      <c r="R40" s="3">
        <v>45898</v>
      </c>
      <c r="S40" s="58">
        <v>0.3576388888888889</v>
      </c>
      <c r="T40" s="58"/>
      <c r="U40" s="36">
        <f t="shared" si="7"/>
        <v>5</v>
      </c>
      <c r="V40" s="36"/>
      <c r="W40" s="27">
        <v>51.1</v>
      </c>
      <c r="X40" s="27">
        <v>22.64</v>
      </c>
      <c r="Y40" s="27">
        <v>5.55</v>
      </c>
      <c r="Z40" s="27">
        <v>14.71</v>
      </c>
      <c r="AA40" s="27">
        <v>3.93</v>
      </c>
      <c r="AB40" s="27" t="s">
        <v>55</v>
      </c>
      <c r="AC40" s="27" t="s">
        <v>55</v>
      </c>
      <c r="AD40" s="27" t="s">
        <v>55</v>
      </c>
      <c r="AE40" s="27" t="s">
        <v>55</v>
      </c>
      <c r="AF40" s="27" t="s">
        <v>55</v>
      </c>
      <c r="AG40" s="27" t="s">
        <v>55</v>
      </c>
      <c r="AH40" s="27" t="s">
        <v>55</v>
      </c>
      <c r="AI40" s="27" t="s">
        <v>55</v>
      </c>
      <c r="AJ40" s="27" t="s">
        <v>55</v>
      </c>
      <c r="AK40" s="27" t="s">
        <v>55</v>
      </c>
      <c r="AL40" s="27" t="s">
        <v>55</v>
      </c>
      <c r="AM40" s="27" t="s">
        <v>55</v>
      </c>
      <c r="AN40" s="27" t="s">
        <v>55</v>
      </c>
      <c r="AO40" s="27" t="s">
        <v>55</v>
      </c>
      <c r="AP40" s="27" t="s">
        <v>55</v>
      </c>
      <c r="AQ40" s="27" t="s">
        <v>55</v>
      </c>
      <c r="AR40" s="27" t="s">
        <v>55</v>
      </c>
      <c r="AS40" s="27" t="s">
        <v>55</v>
      </c>
      <c r="AT40" s="2" t="s">
        <v>52</v>
      </c>
      <c r="AU40" s="2">
        <v>0.46</v>
      </c>
      <c r="AV40" s="2">
        <v>0.7</v>
      </c>
      <c r="AW40" s="2">
        <v>18.059999999999999</v>
      </c>
      <c r="AX40" s="2">
        <v>1.85</v>
      </c>
      <c r="AZ40" s="2">
        <v>33.49</v>
      </c>
      <c r="BA40" s="2">
        <v>21.97</v>
      </c>
      <c r="BB40" s="2">
        <v>13.07</v>
      </c>
      <c r="BC40" s="2">
        <v>0.59</v>
      </c>
      <c r="BD40" s="2">
        <v>0.45</v>
      </c>
      <c r="BE40" s="2">
        <v>0.13</v>
      </c>
      <c r="BF40" s="2">
        <v>0.19</v>
      </c>
      <c r="BG40" s="2">
        <v>46</v>
      </c>
      <c r="BH40" s="2">
        <v>86</v>
      </c>
    </row>
    <row r="41" spans="1:61" s="2" customFormat="1" ht="60" customHeight="1" x14ac:dyDescent="0.35">
      <c r="A41" s="32"/>
      <c r="B41" s="20"/>
      <c r="D41" s="3"/>
      <c r="E41" s="44"/>
      <c r="F41" s="44"/>
      <c r="G41" s="44"/>
      <c r="H41" s="44"/>
      <c r="R41" s="3">
        <v>45901</v>
      </c>
      <c r="S41" s="58">
        <v>0.32847222222222222</v>
      </c>
      <c r="T41" s="58"/>
      <c r="U41" s="36">
        <f t="shared" si="7"/>
        <v>8</v>
      </c>
      <c r="V41" s="36"/>
      <c r="W41" s="27">
        <v>38.950000000000003</v>
      </c>
      <c r="X41" s="27">
        <v>15.43</v>
      </c>
      <c r="Y41" s="27">
        <v>3.65</v>
      </c>
      <c r="Z41" s="27">
        <v>16.93</v>
      </c>
      <c r="AA41" s="27">
        <v>3.59</v>
      </c>
      <c r="AB41" s="27" t="s">
        <v>78</v>
      </c>
      <c r="AC41" s="27" t="s">
        <v>79</v>
      </c>
      <c r="AD41" s="27">
        <f>R41-$D$38</f>
        <v>8</v>
      </c>
      <c r="AE41" s="27" t="s">
        <v>55</v>
      </c>
      <c r="AF41" s="27" t="s">
        <v>55</v>
      </c>
      <c r="AG41" s="27" t="s">
        <v>55</v>
      </c>
      <c r="AH41" s="27" t="s">
        <v>55</v>
      </c>
      <c r="AI41" s="27" t="s">
        <v>55</v>
      </c>
      <c r="AJ41" s="27" t="s">
        <v>55</v>
      </c>
      <c r="AK41" s="27" t="s">
        <v>55</v>
      </c>
      <c r="AL41" s="27" t="s">
        <v>55</v>
      </c>
      <c r="AM41" s="27" t="s">
        <v>55</v>
      </c>
      <c r="AN41" s="27" t="s">
        <v>55</v>
      </c>
      <c r="AO41" s="27" t="s">
        <v>55</v>
      </c>
      <c r="AP41" s="27" t="s">
        <v>55</v>
      </c>
      <c r="AQ41" s="27" t="s">
        <v>55</v>
      </c>
      <c r="AR41" s="27" t="s">
        <v>55</v>
      </c>
      <c r="AS41" s="27" t="s">
        <v>55</v>
      </c>
      <c r="AT41" s="2" t="s">
        <v>52</v>
      </c>
      <c r="AU41" s="2">
        <v>1</v>
      </c>
      <c r="AV41" s="2">
        <v>4.2</v>
      </c>
      <c r="AW41" s="2">
        <v>0</v>
      </c>
      <c r="AX41" s="2" t="s">
        <v>89</v>
      </c>
      <c r="AZ41" s="2">
        <v>57.43</v>
      </c>
      <c r="BA41" s="2">
        <v>13.63</v>
      </c>
      <c r="BB41" s="2">
        <v>18.329999999999998</v>
      </c>
      <c r="BC41" s="2">
        <v>1.34</v>
      </c>
      <c r="BD41" s="2">
        <v>1.32</v>
      </c>
      <c r="BE41" s="2">
        <v>0</v>
      </c>
      <c r="BF41" s="2">
        <v>7.0000000000000007E-2</v>
      </c>
      <c r="BG41" s="2">
        <v>48</v>
      </c>
      <c r="BH41" s="2">
        <v>43</v>
      </c>
    </row>
    <row r="42" spans="1:61" s="2" customFormat="1" ht="60" customHeight="1" x14ac:dyDescent="0.35">
      <c r="A42" s="32"/>
      <c r="B42" s="20"/>
      <c r="D42" s="3"/>
      <c r="E42" s="44"/>
      <c r="F42" s="44"/>
      <c r="G42" s="44"/>
      <c r="H42" s="44"/>
      <c r="R42" s="3">
        <v>45903</v>
      </c>
      <c r="S42" s="58">
        <v>0.71180555555555558</v>
      </c>
      <c r="T42" s="58"/>
      <c r="U42" s="36">
        <f t="shared" si="7"/>
        <v>10</v>
      </c>
      <c r="V42" s="36"/>
      <c r="W42" s="27">
        <v>22.01</v>
      </c>
      <c r="X42" s="27">
        <v>11.85</v>
      </c>
      <c r="Y42" s="27">
        <v>4.53</v>
      </c>
      <c r="Z42" s="27">
        <v>10.16</v>
      </c>
      <c r="AA42" s="27">
        <v>2.41</v>
      </c>
      <c r="AB42" s="27" t="s">
        <v>98</v>
      </c>
      <c r="AC42" s="27" t="s">
        <v>55</v>
      </c>
      <c r="AD42" s="27">
        <v>8</v>
      </c>
      <c r="AE42" s="27" t="s">
        <v>55</v>
      </c>
      <c r="AF42" s="27" t="s">
        <v>55</v>
      </c>
      <c r="AG42" s="27" t="s">
        <v>55</v>
      </c>
      <c r="AH42" s="27" t="s">
        <v>55</v>
      </c>
      <c r="AI42" s="27" t="s">
        <v>55</v>
      </c>
      <c r="AJ42" s="27" t="s">
        <v>55</v>
      </c>
      <c r="AK42" s="27" t="s">
        <v>55</v>
      </c>
      <c r="AL42" s="27" t="s">
        <v>55</v>
      </c>
      <c r="AM42" s="27" t="s">
        <v>55</v>
      </c>
      <c r="AN42" s="27" t="s">
        <v>55</v>
      </c>
      <c r="AO42" s="27" t="s">
        <v>55</v>
      </c>
      <c r="AP42" s="27" t="s">
        <v>55</v>
      </c>
      <c r="AQ42" s="27" t="s">
        <v>55</v>
      </c>
      <c r="AR42" s="27" t="s">
        <v>55</v>
      </c>
      <c r="AS42" s="27" t="s">
        <v>55</v>
      </c>
      <c r="AT42" s="2" t="s">
        <v>52</v>
      </c>
      <c r="AU42" s="2">
        <v>0.84</v>
      </c>
      <c r="AV42" s="2">
        <v>2.5099999999999998</v>
      </c>
      <c r="AW42" s="2">
        <v>10.46</v>
      </c>
      <c r="AX42" s="2">
        <v>6.4</v>
      </c>
      <c r="AZ42" s="2">
        <v>66.92</v>
      </c>
      <c r="BA42" s="2">
        <v>22.3</v>
      </c>
      <c r="BB42" s="2">
        <v>14.5</v>
      </c>
      <c r="BC42" s="2">
        <v>0.64500000000000002</v>
      </c>
      <c r="BD42" s="2">
        <v>1.79</v>
      </c>
      <c r="BE42" s="2">
        <v>0.04</v>
      </c>
      <c r="BF42" s="2">
        <v>0.2</v>
      </c>
      <c r="BG42" s="2">
        <v>60</v>
      </c>
      <c r="BH42" s="2">
        <v>81</v>
      </c>
    </row>
    <row r="43" spans="1:61" s="2" customFormat="1" ht="60" customHeight="1" x14ac:dyDescent="0.35">
      <c r="A43" s="32"/>
      <c r="B43" s="20"/>
      <c r="D43" s="3"/>
      <c r="E43" s="44"/>
      <c r="F43" s="44"/>
      <c r="G43" s="44"/>
      <c r="H43" s="44"/>
      <c r="R43" s="3">
        <v>45905</v>
      </c>
      <c r="S43" s="58">
        <v>0.33333333333333331</v>
      </c>
      <c r="T43" s="58"/>
      <c r="U43" s="36">
        <f t="shared" si="7"/>
        <v>12</v>
      </c>
      <c r="V43" s="36"/>
      <c r="W43" s="27">
        <v>22.2</v>
      </c>
      <c r="X43" s="27">
        <v>10.99</v>
      </c>
      <c r="Y43" s="27">
        <v>2.56</v>
      </c>
      <c r="Z43" s="27">
        <v>5.53</v>
      </c>
      <c r="AA43" s="27">
        <v>2.0299999999999998</v>
      </c>
      <c r="AB43" s="27" t="s">
        <v>355</v>
      </c>
      <c r="AC43" s="27" t="s">
        <v>111</v>
      </c>
      <c r="AD43" s="27">
        <v>8</v>
      </c>
      <c r="AE43" s="27" t="s">
        <v>55</v>
      </c>
      <c r="AF43" s="27" t="s">
        <v>55</v>
      </c>
      <c r="AG43" s="27" t="s">
        <v>55</v>
      </c>
      <c r="AH43" s="27" t="s">
        <v>55</v>
      </c>
      <c r="AI43" s="27" t="s">
        <v>55</v>
      </c>
      <c r="AJ43" s="27" t="s">
        <v>55</v>
      </c>
      <c r="AK43" s="27" t="s">
        <v>55</v>
      </c>
      <c r="AL43" s="27" t="s">
        <v>55</v>
      </c>
      <c r="AM43" s="27" t="s">
        <v>55</v>
      </c>
      <c r="AN43" s="27" t="s">
        <v>55</v>
      </c>
      <c r="AO43" s="27" t="s">
        <v>55</v>
      </c>
      <c r="AP43" s="27" t="s">
        <v>55</v>
      </c>
      <c r="AQ43" s="27" t="s">
        <v>55</v>
      </c>
      <c r="AR43" s="27" t="s">
        <v>55</v>
      </c>
      <c r="AS43" s="27" t="s">
        <v>55</v>
      </c>
      <c r="AT43" s="2" t="s">
        <v>52</v>
      </c>
      <c r="AU43" s="2">
        <v>1</v>
      </c>
      <c r="AV43" s="2">
        <v>3.64</v>
      </c>
      <c r="AW43" s="2">
        <v>0</v>
      </c>
      <c r="AX43" s="2" t="s">
        <v>89</v>
      </c>
      <c r="AZ43" s="2">
        <v>18.91</v>
      </c>
      <c r="BA43" s="2">
        <v>5.16</v>
      </c>
      <c r="BB43" s="2">
        <v>3.48</v>
      </c>
      <c r="BC43" s="2">
        <v>0.67</v>
      </c>
      <c r="BD43" s="2">
        <v>0.14000000000000001</v>
      </c>
      <c r="BE43" s="2">
        <v>0</v>
      </c>
      <c r="BF43" s="2">
        <v>0.01</v>
      </c>
      <c r="BG43" s="2">
        <v>38</v>
      </c>
      <c r="BH43" s="2">
        <v>85</v>
      </c>
    </row>
    <row r="44" spans="1:61" s="2" customFormat="1" ht="60" customHeight="1" x14ac:dyDescent="0.35">
      <c r="A44" s="32"/>
      <c r="B44" s="20"/>
      <c r="D44" s="3"/>
      <c r="E44" s="44"/>
      <c r="F44" s="44"/>
      <c r="G44" s="44"/>
      <c r="H44" s="44"/>
      <c r="R44" s="3">
        <v>45908</v>
      </c>
      <c r="S44" s="58">
        <v>0.33680555555555558</v>
      </c>
      <c r="T44" s="58"/>
      <c r="U44" s="36">
        <f t="shared" si="7"/>
        <v>15</v>
      </c>
      <c r="V44" s="36"/>
      <c r="W44" s="27">
        <v>19.45</v>
      </c>
      <c r="X44" s="27">
        <v>9.98</v>
      </c>
      <c r="Y44" s="27">
        <v>2.0299999999999998</v>
      </c>
      <c r="Z44" s="27">
        <v>8.4</v>
      </c>
      <c r="AA44" s="27">
        <v>7.34</v>
      </c>
      <c r="AB44" s="27" t="s">
        <v>124</v>
      </c>
      <c r="AC44" s="27" t="s">
        <v>123</v>
      </c>
      <c r="AD44" s="27">
        <v>8</v>
      </c>
      <c r="AE44" s="27" t="s">
        <v>55</v>
      </c>
      <c r="AF44" s="27" t="s">
        <v>55</v>
      </c>
      <c r="AG44" s="27" t="s">
        <v>55</v>
      </c>
      <c r="AH44" s="27" t="s">
        <v>55</v>
      </c>
      <c r="AI44" s="27" t="s">
        <v>55</v>
      </c>
      <c r="AJ44" s="27" t="s">
        <v>55</v>
      </c>
      <c r="AK44" s="27" t="s">
        <v>55</v>
      </c>
      <c r="AL44" s="27" t="s">
        <v>55</v>
      </c>
      <c r="AM44" s="27" t="s">
        <v>55</v>
      </c>
      <c r="AN44" s="27" t="s">
        <v>55</v>
      </c>
      <c r="AO44" s="27" t="s">
        <v>55</v>
      </c>
      <c r="AP44" s="27" t="s">
        <v>55</v>
      </c>
      <c r="AQ44" s="27" t="s">
        <v>55</v>
      </c>
      <c r="AR44" s="27" t="s">
        <v>55</v>
      </c>
      <c r="AS44" s="27" t="s">
        <v>55</v>
      </c>
      <c r="AT44" s="2" t="s">
        <v>52</v>
      </c>
      <c r="AU44" s="2">
        <v>0.82</v>
      </c>
      <c r="AV44" s="2">
        <v>2.13</v>
      </c>
      <c r="AW44" s="2">
        <v>7.85</v>
      </c>
      <c r="AX44" s="2">
        <v>5.52</v>
      </c>
      <c r="AZ44" s="2">
        <v>43.34</v>
      </c>
      <c r="BA44" s="2">
        <v>16.510000000000002</v>
      </c>
      <c r="BB44" s="2">
        <v>9.49</v>
      </c>
      <c r="BC44" s="2">
        <v>0.56999999999999995</v>
      </c>
      <c r="BD44" s="2">
        <v>0.75</v>
      </c>
      <c r="BE44" s="2">
        <v>0.02</v>
      </c>
      <c r="BF44" s="2">
        <v>0.11</v>
      </c>
      <c r="BG44" s="2">
        <v>40</v>
      </c>
      <c r="BH44" s="2">
        <v>97</v>
      </c>
    </row>
    <row r="45" spans="1:61" s="2" customFormat="1" ht="60" customHeight="1" x14ac:dyDescent="0.35">
      <c r="A45" s="32"/>
      <c r="B45" s="20"/>
      <c r="D45" s="3"/>
      <c r="E45" s="44"/>
      <c r="F45" s="44"/>
      <c r="G45" s="44"/>
      <c r="H45" s="44"/>
      <c r="R45" s="3">
        <v>45910</v>
      </c>
      <c r="S45" s="58">
        <v>0.69374999999999998</v>
      </c>
      <c r="T45" s="58"/>
      <c r="U45" s="36">
        <f t="shared" si="7"/>
        <v>17</v>
      </c>
      <c r="V45" s="36"/>
      <c r="W45" s="27">
        <v>18.72</v>
      </c>
      <c r="X45" s="27">
        <v>9.81</v>
      </c>
      <c r="Y45" s="27">
        <v>1.37</v>
      </c>
      <c r="Z45" s="27">
        <v>10.67</v>
      </c>
      <c r="AA45" s="27">
        <v>3.87</v>
      </c>
      <c r="AB45" s="27" t="s">
        <v>139</v>
      </c>
      <c r="AC45" s="27" t="s">
        <v>138</v>
      </c>
      <c r="AD45" s="27">
        <v>8</v>
      </c>
      <c r="AE45" s="27" t="s">
        <v>55</v>
      </c>
      <c r="AF45" s="27" t="s">
        <v>55</v>
      </c>
      <c r="AG45" s="27" t="s">
        <v>55</v>
      </c>
      <c r="AH45" s="27" t="s">
        <v>55</v>
      </c>
      <c r="AI45" s="27" t="s">
        <v>55</v>
      </c>
      <c r="AJ45" s="27" t="s">
        <v>55</v>
      </c>
      <c r="AK45" s="27" t="s">
        <v>55</v>
      </c>
      <c r="AL45" s="27" t="s">
        <v>55</v>
      </c>
      <c r="AM45" s="27" t="s">
        <v>55</v>
      </c>
      <c r="AN45" s="27" t="s">
        <v>55</v>
      </c>
      <c r="AO45" s="27" t="s">
        <v>55</v>
      </c>
      <c r="AP45" s="27" t="s">
        <v>55</v>
      </c>
      <c r="AQ45" s="27" t="s">
        <v>55</v>
      </c>
      <c r="AR45" s="27" t="s">
        <v>55</v>
      </c>
      <c r="AS45" s="27" t="s">
        <v>55</v>
      </c>
      <c r="AT45" s="2" t="s">
        <v>52</v>
      </c>
      <c r="AU45" s="2">
        <v>1</v>
      </c>
      <c r="AV45" s="2">
        <v>3.5</v>
      </c>
      <c r="AW45" s="2">
        <v>0</v>
      </c>
      <c r="AX45" s="2" t="s">
        <v>89</v>
      </c>
      <c r="AZ45" s="2">
        <v>46.36</v>
      </c>
      <c r="BA45" s="2">
        <v>13.13</v>
      </c>
      <c r="BB45" s="2">
        <v>8.4</v>
      </c>
      <c r="BC45" s="2">
        <v>0.63500000000000001</v>
      </c>
      <c r="BD45" s="2">
        <v>0.86</v>
      </c>
      <c r="BE45" s="2">
        <v>0</v>
      </c>
      <c r="BF45" s="2">
        <v>7.0000000000000007E-2</v>
      </c>
      <c r="BG45" s="2">
        <v>50</v>
      </c>
      <c r="BH45" s="2">
        <v>89</v>
      </c>
    </row>
    <row r="46" spans="1:61" s="2" customFormat="1" ht="60" customHeight="1" x14ac:dyDescent="0.35">
      <c r="A46" s="32"/>
      <c r="B46" s="20"/>
      <c r="D46" s="3"/>
      <c r="E46" s="44"/>
      <c r="F46" s="44"/>
      <c r="G46" s="44"/>
      <c r="H46" s="44"/>
      <c r="R46" s="3">
        <v>45912</v>
      </c>
      <c r="S46" s="58">
        <v>0.39166666666666666</v>
      </c>
      <c r="T46" s="58"/>
      <c r="U46" s="36">
        <f t="shared" si="7"/>
        <v>19</v>
      </c>
      <c r="V46" s="36"/>
      <c r="W46" s="27">
        <v>16.98</v>
      </c>
      <c r="X46" s="27">
        <v>7.85</v>
      </c>
      <c r="Y46" s="27">
        <v>2.1</v>
      </c>
      <c r="Z46" s="27">
        <v>6.12</v>
      </c>
      <c r="AA46" s="27">
        <v>4.43</v>
      </c>
      <c r="AB46" s="27" t="s">
        <v>155</v>
      </c>
      <c r="AC46" s="27" t="s">
        <v>99</v>
      </c>
      <c r="AD46" s="27">
        <v>8</v>
      </c>
      <c r="AE46" s="27" t="s">
        <v>55</v>
      </c>
      <c r="AF46" s="27" t="s">
        <v>55</v>
      </c>
      <c r="AG46" s="27" t="s">
        <v>55</v>
      </c>
      <c r="AH46" s="27" t="s">
        <v>55</v>
      </c>
      <c r="AI46" s="27" t="s">
        <v>55</v>
      </c>
      <c r="AJ46" s="27" t="s">
        <v>55</v>
      </c>
      <c r="AK46" s="27" t="s">
        <v>55</v>
      </c>
      <c r="AL46" s="27" t="s">
        <v>55</v>
      </c>
      <c r="AM46" s="27" t="s">
        <v>55</v>
      </c>
      <c r="AN46" s="27" t="s">
        <v>55</v>
      </c>
      <c r="AO46" s="27" t="s">
        <v>55</v>
      </c>
      <c r="AP46" s="27" t="s">
        <v>55</v>
      </c>
      <c r="AQ46" s="27" t="s">
        <v>55</v>
      </c>
      <c r="AR46" s="27" t="s">
        <v>55</v>
      </c>
      <c r="AS46" s="27" t="s">
        <v>55</v>
      </c>
      <c r="AT46" s="2" t="s">
        <v>52</v>
      </c>
      <c r="AU46" s="2">
        <v>1</v>
      </c>
      <c r="AV46" s="2">
        <v>4.16</v>
      </c>
      <c r="AW46" s="2">
        <v>0</v>
      </c>
      <c r="AX46" s="2" t="s">
        <v>89</v>
      </c>
      <c r="AZ46" s="2">
        <v>20.32</v>
      </c>
      <c r="BA46" s="2">
        <v>4.8499999999999996</v>
      </c>
      <c r="BB46" s="2">
        <v>3.03</v>
      </c>
      <c r="BC46" s="2">
        <v>0.62</v>
      </c>
      <c r="BD46" s="2">
        <v>0.17</v>
      </c>
      <c r="BE46" s="2">
        <v>0</v>
      </c>
      <c r="BF46" s="2">
        <v>0.01</v>
      </c>
      <c r="BG46" s="2">
        <v>46</v>
      </c>
      <c r="BH46" s="2">
        <v>92</v>
      </c>
      <c r="BI46" s="2" t="s">
        <v>176</v>
      </c>
    </row>
    <row r="47" spans="1:61" s="2" customFormat="1" ht="60" customHeight="1" x14ac:dyDescent="0.35">
      <c r="A47" s="32"/>
      <c r="B47" s="20"/>
      <c r="D47" s="3"/>
      <c r="E47" s="44"/>
      <c r="F47" s="44"/>
      <c r="G47" s="44"/>
      <c r="H47" s="44"/>
      <c r="R47" s="3">
        <v>45915</v>
      </c>
      <c r="S47" s="58">
        <v>0.69027777777777777</v>
      </c>
      <c r="T47" s="58"/>
      <c r="U47" s="36">
        <f t="shared" si="7"/>
        <v>22</v>
      </c>
      <c r="V47" s="36"/>
      <c r="W47" s="27">
        <v>16.190000000000001</v>
      </c>
      <c r="X47" s="27">
        <v>10.24</v>
      </c>
      <c r="Y47" s="27">
        <v>3.35</v>
      </c>
      <c r="Z47" s="27">
        <v>6.99</v>
      </c>
      <c r="AA47" s="27">
        <v>2.64</v>
      </c>
      <c r="AB47" s="27" t="s">
        <v>169</v>
      </c>
      <c r="AC47" s="27" t="s">
        <v>168</v>
      </c>
      <c r="AD47" s="27">
        <v>8</v>
      </c>
      <c r="AE47" s="27" t="s">
        <v>55</v>
      </c>
      <c r="AF47" s="27" t="s">
        <v>55</v>
      </c>
      <c r="AG47" s="27" t="s">
        <v>55</v>
      </c>
      <c r="AH47" s="27" t="s">
        <v>55</v>
      </c>
      <c r="AI47" s="27" t="s">
        <v>55</v>
      </c>
      <c r="AJ47" s="27" t="s">
        <v>55</v>
      </c>
      <c r="AK47" s="27" t="s">
        <v>55</v>
      </c>
      <c r="AL47" s="27" t="s">
        <v>55</v>
      </c>
      <c r="AM47" s="27" t="s">
        <v>55</v>
      </c>
      <c r="AN47" s="27" t="s">
        <v>55</v>
      </c>
      <c r="AO47" s="27" t="s">
        <v>55</v>
      </c>
      <c r="AP47" s="27" t="s">
        <v>55</v>
      </c>
      <c r="AQ47" s="27" t="s">
        <v>55</v>
      </c>
      <c r="AR47" s="27" t="s">
        <v>55</v>
      </c>
      <c r="AS47" s="27" t="s">
        <v>55</v>
      </c>
      <c r="AT47" s="2" t="s">
        <v>52</v>
      </c>
      <c r="AU47" s="2">
        <v>1</v>
      </c>
      <c r="AV47" s="2">
        <v>4.1100000000000003</v>
      </c>
      <c r="AW47" s="2">
        <v>0</v>
      </c>
      <c r="AX47" s="2" t="s">
        <v>89</v>
      </c>
      <c r="AZ47" s="2">
        <v>30.57</v>
      </c>
      <c r="BA47" s="2">
        <v>7.39</v>
      </c>
      <c r="BB47" s="2">
        <v>4.99</v>
      </c>
      <c r="BC47" s="2">
        <v>0.67</v>
      </c>
      <c r="BD47" s="2">
        <v>0.37</v>
      </c>
      <c r="BE47" s="2">
        <v>0</v>
      </c>
      <c r="BF47" s="2">
        <v>0.02</v>
      </c>
      <c r="BG47" s="2">
        <v>52</v>
      </c>
      <c r="BH47" s="2">
        <v>85</v>
      </c>
    </row>
    <row r="48" spans="1:61" s="2" customFormat="1" ht="60" customHeight="1" x14ac:dyDescent="0.35">
      <c r="A48" s="32"/>
      <c r="B48" s="20"/>
      <c r="D48" s="3"/>
      <c r="E48" s="44"/>
      <c r="F48" s="44"/>
      <c r="G48" s="44"/>
      <c r="H48" s="44"/>
      <c r="R48" s="3">
        <v>45918</v>
      </c>
      <c r="S48" s="58">
        <v>0.8125</v>
      </c>
      <c r="T48" s="58"/>
      <c r="U48" s="36">
        <f t="shared" si="7"/>
        <v>25</v>
      </c>
      <c r="V48" s="36"/>
      <c r="W48" s="27">
        <v>22.06</v>
      </c>
      <c r="X48" s="27">
        <v>10.51</v>
      </c>
      <c r="Y48" s="27">
        <v>2.2000000000000002</v>
      </c>
      <c r="Z48" s="27">
        <v>7.86</v>
      </c>
      <c r="AA48" s="27">
        <v>7.2</v>
      </c>
      <c r="AB48" s="27" t="s">
        <v>181</v>
      </c>
      <c r="AC48" s="27" t="s">
        <v>487</v>
      </c>
      <c r="AD48" s="27">
        <v>8</v>
      </c>
      <c r="AE48" s="27" t="s">
        <v>55</v>
      </c>
      <c r="AF48" s="27" t="s">
        <v>55</v>
      </c>
      <c r="AG48" s="27" t="s">
        <v>55</v>
      </c>
      <c r="AH48" s="27" t="s">
        <v>55</v>
      </c>
      <c r="AI48" s="27" t="s">
        <v>55</v>
      </c>
      <c r="AJ48" s="27" t="s">
        <v>55</v>
      </c>
      <c r="AK48" s="27" t="s">
        <v>55</v>
      </c>
      <c r="AL48" s="27" t="s">
        <v>55</v>
      </c>
      <c r="AM48" s="27" t="s">
        <v>55</v>
      </c>
      <c r="AN48" s="27" t="s">
        <v>55</v>
      </c>
      <c r="AO48" s="27" t="s">
        <v>55</v>
      </c>
      <c r="AP48" s="27" t="s">
        <v>55</v>
      </c>
      <c r="AQ48" s="27" t="s">
        <v>55</v>
      </c>
      <c r="AR48" s="27" t="s">
        <v>55</v>
      </c>
      <c r="AS48" s="27" t="s">
        <v>55</v>
      </c>
      <c r="AT48" s="2" t="s">
        <v>52</v>
      </c>
      <c r="AU48" s="2">
        <v>1</v>
      </c>
      <c r="AV48" s="2">
        <v>2.94</v>
      </c>
      <c r="AW48" s="2">
        <v>0</v>
      </c>
      <c r="AX48" s="2" t="s">
        <v>89</v>
      </c>
      <c r="AZ48" s="2">
        <v>39.14</v>
      </c>
      <c r="BA48" s="2">
        <v>13.19</v>
      </c>
      <c r="BB48" s="2">
        <v>8.24</v>
      </c>
      <c r="BC48" s="2">
        <v>0.62</v>
      </c>
      <c r="BD48" s="2">
        <v>0.61</v>
      </c>
      <c r="BE48" s="2">
        <v>0</v>
      </c>
      <c r="BF48" s="2">
        <v>7.0000000000000007E-2</v>
      </c>
      <c r="BG48" s="2">
        <v>54</v>
      </c>
      <c r="BH48" s="2">
        <v>91</v>
      </c>
      <c r="BI48" s="2" t="s">
        <v>180</v>
      </c>
    </row>
    <row r="49" spans="1:61" s="2" customFormat="1" ht="60" customHeight="1" x14ac:dyDescent="0.35">
      <c r="A49" s="32"/>
      <c r="B49" s="20"/>
      <c r="D49" s="3"/>
      <c r="E49" s="44"/>
      <c r="F49" s="44"/>
      <c r="G49" s="44"/>
      <c r="H49" s="44"/>
      <c r="R49" s="3">
        <v>45922</v>
      </c>
      <c r="S49" s="58">
        <v>0.37152777777777779</v>
      </c>
      <c r="T49" s="58"/>
      <c r="U49" s="36">
        <f t="shared" si="7"/>
        <v>29</v>
      </c>
      <c r="V49" s="36"/>
      <c r="W49" s="27">
        <v>26.94</v>
      </c>
      <c r="X49" s="27">
        <v>12.78</v>
      </c>
      <c r="Y49" s="27">
        <v>4.2300000000000004</v>
      </c>
      <c r="Z49" s="27">
        <v>9.3699999999999992</v>
      </c>
      <c r="AA49" s="27">
        <v>7.96</v>
      </c>
      <c r="AB49" s="27" t="s">
        <v>197</v>
      </c>
      <c r="AC49" s="27" t="s">
        <v>203</v>
      </c>
      <c r="AD49" s="27">
        <v>8</v>
      </c>
      <c r="AE49" s="27" t="s">
        <v>55</v>
      </c>
      <c r="AF49" s="27" t="s">
        <v>55</v>
      </c>
      <c r="AG49" s="27" t="s">
        <v>55</v>
      </c>
      <c r="AH49" s="27" t="s">
        <v>55</v>
      </c>
      <c r="AI49" s="27" t="s">
        <v>55</v>
      </c>
      <c r="AJ49" s="27" t="s">
        <v>55</v>
      </c>
      <c r="AK49" s="27" t="s">
        <v>55</v>
      </c>
      <c r="AL49" s="27" t="s">
        <v>55</v>
      </c>
      <c r="AM49" s="27" t="s">
        <v>55</v>
      </c>
      <c r="AN49" s="27" t="s">
        <v>55</v>
      </c>
      <c r="AO49" s="27" t="s">
        <v>55</v>
      </c>
      <c r="AP49" s="27" t="s">
        <v>55</v>
      </c>
      <c r="AQ49" s="27" t="s">
        <v>55</v>
      </c>
      <c r="AR49" s="27" t="s">
        <v>55</v>
      </c>
      <c r="AS49" s="27" t="s">
        <v>55</v>
      </c>
      <c r="AT49" s="2" t="s">
        <v>52</v>
      </c>
      <c r="AU49" s="2">
        <v>0.64</v>
      </c>
      <c r="AV49" s="2">
        <v>1.29</v>
      </c>
      <c r="AW49" s="2">
        <v>13.55</v>
      </c>
      <c r="AX49" s="2">
        <v>2.81</v>
      </c>
      <c r="AZ49" s="2">
        <v>38.01</v>
      </c>
      <c r="BA49" s="2">
        <v>18.73</v>
      </c>
      <c r="BB49" s="2">
        <v>8.0500000000000007</v>
      </c>
      <c r="BC49" s="2">
        <v>0.42499999999999999</v>
      </c>
      <c r="BD49" s="2">
        <v>0.57999999999999996</v>
      </c>
      <c r="BE49" s="2">
        <v>7.0000000000000007E-2</v>
      </c>
      <c r="BF49" s="2">
        <v>0.14000000000000001</v>
      </c>
      <c r="BG49" s="2">
        <v>46</v>
      </c>
      <c r="BH49" s="2">
        <v>121</v>
      </c>
      <c r="BI49" s="2" t="s">
        <v>204</v>
      </c>
    </row>
    <row r="50" spans="1:61" s="2" customFormat="1" ht="60" customHeight="1" x14ac:dyDescent="0.35">
      <c r="A50" s="32"/>
      <c r="B50" s="20"/>
      <c r="D50" s="3"/>
      <c r="E50" s="44"/>
      <c r="F50" s="44"/>
      <c r="G50" s="44"/>
      <c r="H50" s="44"/>
      <c r="P50" s="2">
        <v>3</v>
      </c>
      <c r="R50" s="3">
        <v>45925</v>
      </c>
      <c r="S50" s="58">
        <v>0.81180555555555556</v>
      </c>
      <c r="T50" s="58"/>
      <c r="U50" s="36">
        <f t="shared" si="7"/>
        <v>32</v>
      </c>
      <c r="V50" s="36"/>
      <c r="W50" s="27">
        <v>16.329999999999998</v>
      </c>
      <c r="X50" s="27">
        <v>6.47</v>
      </c>
      <c r="Y50" s="27">
        <v>3.43</v>
      </c>
      <c r="Z50" s="27">
        <v>6.56</v>
      </c>
      <c r="AA50" s="27">
        <v>5.61</v>
      </c>
      <c r="AB50" s="27" t="s">
        <v>93</v>
      </c>
      <c r="AC50" s="27" t="s">
        <v>228</v>
      </c>
      <c r="AD50" s="27">
        <v>8</v>
      </c>
      <c r="AE50" s="27" t="s">
        <v>55</v>
      </c>
      <c r="AF50" s="27" t="s">
        <v>55</v>
      </c>
      <c r="AG50" s="27" t="s">
        <v>55</v>
      </c>
      <c r="AH50" s="27" t="s">
        <v>55</v>
      </c>
      <c r="AI50" s="27" t="s">
        <v>55</v>
      </c>
      <c r="AJ50" s="27" t="s">
        <v>55</v>
      </c>
      <c r="AK50" s="27" t="s">
        <v>55</v>
      </c>
      <c r="AL50" s="27" t="s">
        <v>55</v>
      </c>
      <c r="AM50" s="27" t="s">
        <v>55</v>
      </c>
      <c r="AN50" s="27" t="s">
        <v>55</v>
      </c>
      <c r="AO50" s="27" t="s">
        <v>55</v>
      </c>
      <c r="AP50" s="27" t="s">
        <v>55</v>
      </c>
      <c r="AQ50" s="27" t="s">
        <v>55</v>
      </c>
      <c r="AR50" s="27" t="s">
        <v>55</v>
      </c>
      <c r="AS50" s="27" t="s">
        <v>55</v>
      </c>
      <c r="AT50" s="2" t="s">
        <v>52</v>
      </c>
      <c r="AU50" s="2">
        <v>1</v>
      </c>
      <c r="AV50" s="2">
        <v>5.09</v>
      </c>
      <c r="AW50" s="2">
        <v>0</v>
      </c>
      <c r="AX50" s="2" t="s">
        <v>89</v>
      </c>
      <c r="AZ50" s="2">
        <v>29.45</v>
      </c>
      <c r="BA50" s="2">
        <v>5.74</v>
      </c>
      <c r="BB50" s="2">
        <v>4.0199999999999996</v>
      </c>
      <c r="BC50" s="2">
        <v>0.69499999999999995</v>
      </c>
      <c r="BD50" s="2">
        <v>0.35</v>
      </c>
      <c r="BE50" s="2">
        <v>0</v>
      </c>
      <c r="BF50" s="2">
        <v>0.01</v>
      </c>
      <c r="BG50" s="2">
        <v>56</v>
      </c>
      <c r="BH50" s="2">
        <v>83</v>
      </c>
    </row>
    <row r="51" spans="1:61" s="2" customFormat="1" ht="60" customHeight="1" x14ac:dyDescent="0.35">
      <c r="A51" s="32"/>
      <c r="B51" s="20"/>
      <c r="D51" s="3"/>
      <c r="E51" s="44"/>
      <c r="F51" s="44"/>
      <c r="G51" s="44"/>
      <c r="H51" s="44"/>
      <c r="P51" s="2">
        <v>3</v>
      </c>
      <c r="R51" s="3">
        <v>45930</v>
      </c>
      <c r="S51" s="61">
        <v>45930.743750000001</v>
      </c>
      <c r="T51" s="58"/>
      <c r="U51" s="36">
        <f t="shared" si="7"/>
        <v>37</v>
      </c>
      <c r="V51" s="36"/>
      <c r="W51" s="27">
        <v>22.73</v>
      </c>
      <c r="X51" s="27">
        <v>11.78</v>
      </c>
      <c r="Y51" s="27">
        <v>2.38</v>
      </c>
      <c r="Z51" s="27">
        <v>8.85</v>
      </c>
      <c r="AA51" s="27">
        <v>4.63</v>
      </c>
      <c r="AB51" s="27" t="s">
        <v>154</v>
      </c>
      <c r="AC51" s="27" t="s">
        <v>231</v>
      </c>
      <c r="AD51" s="27">
        <v>8</v>
      </c>
      <c r="AE51" s="27" t="s">
        <v>55</v>
      </c>
      <c r="AF51" s="27" t="s">
        <v>55</v>
      </c>
      <c r="AG51" s="27" t="s">
        <v>55</v>
      </c>
      <c r="AH51" s="27" t="s">
        <v>55</v>
      </c>
      <c r="AI51" s="27" t="s">
        <v>55</v>
      </c>
      <c r="AJ51" s="27" t="s">
        <v>55</v>
      </c>
      <c r="AK51" s="27" t="s">
        <v>55</v>
      </c>
      <c r="AL51" s="27" t="s">
        <v>55</v>
      </c>
      <c r="AM51" s="27" t="s">
        <v>55</v>
      </c>
      <c r="AN51" s="27" t="s">
        <v>55</v>
      </c>
      <c r="AO51" s="27" t="s">
        <v>55</v>
      </c>
      <c r="AP51" s="27" t="s">
        <v>55</v>
      </c>
      <c r="AQ51" s="27" t="s">
        <v>55</v>
      </c>
      <c r="AR51" s="27" t="s">
        <v>55</v>
      </c>
      <c r="AS51" s="27" t="s">
        <v>55</v>
      </c>
      <c r="AT51" s="2" t="s">
        <v>52</v>
      </c>
      <c r="AU51" s="2">
        <v>0.64</v>
      </c>
      <c r="AV51" s="2">
        <v>1.17</v>
      </c>
      <c r="AW51" s="2">
        <v>12.9</v>
      </c>
      <c r="AX51" s="2">
        <v>2.79</v>
      </c>
      <c r="AZ51" s="2">
        <v>36.03</v>
      </c>
      <c r="BA51" s="2">
        <v>19.649999999999999</v>
      </c>
      <c r="BB51" s="2">
        <v>10.42</v>
      </c>
      <c r="BC51" s="2">
        <v>0.52500000000000002</v>
      </c>
      <c r="BD51" s="2">
        <v>0.52</v>
      </c>
      <c r="BE51" s="2">
        <v>7.0000000000000007E-2</v>
      </c>
      <c r="BF51" s="2">
        <v>0.15</v>
      </c>
      <c r="BG51" s="2">
        <v>54</v>
      </c>
      <c r="BH51" s="2">
        <v>96</v>
      </c>
    </row>
    <row r="52" spans="1:61" s="2" customFormat="1" ht="60" customHeight="1" x14ac:dyDescent="0.35">
      <c r="A52" s="32"/>
      <c r="B52" s="20"/>
      <c r="D52" s="3"/>
      <c r="E52" s="44"/>
      <c r="F52" s="44"/>
      <c r="G52" s="44"/>
      <c r="H52" s="44"/>
      <c r="P52" s="2">
        <v>3</v>
      </c>
      <c r="R52" s="3">
        <v>45936</v>
      </c>
      <c r="S52" s="61">
        <v>45936.737500000003</v>
      </c>
      <c r="T52" s="2">
        <f>S52-S51</f>
        <v>5.9937500000014552</v>
      </c>
      <c r="U52" s="36">
        <f t="shared" si="7"/>
        <v>43</v>
      </c>
      <c r="V52" s="36"/>
      <c r="W52" s="27">
        <v>19.809999999999999</v>
      </c>
      <c r="X52" s="27">
        <v>7.73</v>
      </c>
      <c r="Y52" s="27">
        <v>1.43</v>
      </c>
      <c r="Z52" s="27">
        <v>6.48</v>
      </c>
      <c r="AA52" s="27">
        <v>5.89</v>
      </c>
      <c r="AB52" s="27" t="s">
        <v>281</v>
      </c>
      <c r="AC52" s="27" t="s">
        <v>282</v>
      </c>
      <c r="AD52" s="27">
        <v>8</v>
      </c>
      <c r="AE52" s="62">
        <f>$S$51+($T$52/2)</f>
        <v>45933.740625000006</v>
      </c>
      <c r="AF52" s="27">
        <f>$U$51+($T$52/2)</f>
        <v>39.996875000000728</v>
      </c>
      <c r="AG52" s="37" t="s">
        <v>283</v>
      </c>
      <c r="AH52" s="27" t="s">
        <v>55</v>
      </c>
      <c r="AI52" s="27" t="s">
        <v>55</v>
      </c>
      <c r="AJ52" s="27" t="s">
        <v>55</v>
      </c>
      <c r="AK52" s="27" t="s">
        <v>55</v>
      </c>
      <c r="AL52" s="27" t="s">
        <v>55</v>
      </c>
      <c r="AM52" s="27" t="s">
        <v>55</v>
      </c>
      <c r="AN52" s="37">
        <v>90.53</v>
      </c>
      <c r="AO52" s="37">
        <v>0</v>
      </c>
      <c r="AP52" s="37">
        <f>AN52-AO52</f>
        <v>90.53</v>
      </c>
      <c r="AQ52" s="37">
        <v>129.52000000000001</v>
      </c>
      <c r="AR52" s="37">
        <v>17.87</v>
      </c>
      <c r="AS52" s="37">
        <f>AQ52-AR52</f>
        <v>111.65</v>
      </c>
      <c r="AT52" s="2" t="s">
        <v>52</v>
      </c>
      <c r="AU52" s="2">
        <v>1</v>
      </c>
      <c r="AV52" s="2">
        <v>2.34</v>
      </c>
      <c r="AW52" s="2">
        <v>0</v>
      </c>
      <c r="AX52" s="2" t="s">
        <v>89</v>
      </c>
      <c r="AZ52" s="2">
        <v>34.770000000000003</v>
      </c>
      <c r="BA52" s="2">
        <v>14.7</v>
      </c>
      <c r="BB52" s="2">
        <v>7.5</v>
      </c>
      <c r="BC52" s="2">
        <v>0.505</v>
      </c>
      <c r="BD52" s="2">
        <v>0.48</v>
      </c>
      <c r="BE52" s="2">
        <v>0</v>
      </c>
      <c r="BF52" s="2">
        <v>0.09</v>
      </c>
      <c r="BG52" s="2">
        <v>48</v>
      </c>
      <c r="BH52" s="2">
        <v>97</v>
      </c>
    </row>
    <row r="53" spans="1:61" s="2" customFormat="1" ht="60" customHeight="1" x14ac:dyDescent="0.35">
      <c r="A53" s="32"/>
      <c r="B53" s="20"/>
      <c r="D53" s="3"/>
      <c r="E53" s="44"/>
      <c r="F53" s="44"/>
      <c r="G53" s="44"/>
      <c r="H53" s="44"/>
      <c r="P53" s="2">
        <v>3</v>
      </c>
      <c r="R53" s="3">
        <v>45939</v>
      </c>
      <c r="S53" s="58">
        <v>0.36388888888888887</v>
      </c>
      <c r="T53" s="58"/>
      <c r="U53" s="36">
        <f t="shared" si="7"/>
        <v>46</v>
      </c>
      <c r="V53" s="36"/>
      <c r="W53" s="27">
        <v>15.38</v>
      </c>
      <c r="X53" s="27">
        <v>7.66</v>
      </c>
      <c r="Y53" s="27">
        <v>1.33</v>
      </c>
      <c r="Z53" s="27">
        <v>4.2300000000000004</v>
      </c>
      <c r="AA53" s="27">
        <v>2.97</v>
      </c>
      <c r="AB53" s="27" t="s">
        <v>305</v>
      </c>
      <c r="AC53" s="27" t="s">
        <v>304</v>
      </c>
      <c r="AD53" s="27">
        <v>8</v>
      </c>
      <c r="AE53" s="62">
        <f>$S$51+($T$52/2)</f>
        <v>45933.740625000006</v>
      </c>
      <c r="AF53" s="27">
        <f>$U$51+($T$52/2)</f>
        <v>39.996875000000728</v>
      </c>
      <c r="AG53" s="37" t="s">
        <v>488</v>
      </c>
      <c r="AH53" s="27" t="s">
        <v>55</v>
      </c>
      <c r="AI53" s="27" t="s">
        <v>55</v>
      </c>
      <c r="AJ53" s="27" t="s">
        <v>55</v>
      </c>
      <c r="AK53" s="27" t="s">
        <v>55</v>
      </c>
      <c r="AL53" s="27" t="s">
        <v>55</v>
      </c>
      <c r="AM53" s="27" t="s">
        <v>55</v>
      </c>
      <c r="AN53" s="37">
        <v>74.97</v>
      </c>
      <c r="AO53" s="37">
        <v>0</v>
      </c>
      <c r="AP53" s="37">
        <f>AN53-AO53</f>
        <v>74.97</v>
      </c>
      <c r="AQ53" s="37">
        <v>92.2</v>
      </c>
      <c r="AR53" s="37">
        <v>3.25</v>
      </c>
      <c r="AS53" s="37">
        <f>AQ53-AR53</f>
        <v>88.95</v>
      </c>
      <c r="AT53" s="2" t="s">
        <v>52</v>
      </c>
      <c r="AU53" s="2">
        <v>0.73</v>
      </c>
      <c r="AV53" s="2">
        <v>1.6</v>
      </c>
      <c r="AW53" s="2">
        <v>9.0299999999999994</v>
      </c>
      <c r="AX53" s="2">
        <v>3.71</v>
      </c>
      <c r="AZ53" s="2">
        <v>33.49</v>
      </c>
      <c r="BA53" s="2">
        <v>15.2</v>
      </c>
      <c r="BB53" s="2">
        <v>10.029999999999999</v>
      </c>
      <c r="BC53" s="2">
        <v>0.65500000000000003</v>
      </c>
      <c r="BD53" s="2">
        <v>0.45</v>
      </c>
      <c r="BE53" s="2">
        <v>0.03</v>
      </c>
      <c r="BF53" s="2">
        <v>0.09</v>
      </c>
      <c r="BG53" s="2">
        <v>46</v>
      </c>
      <c r="BH53" s="2">
        <v>80</v>
      </c>
      <c r="BI53" s="2" t="s">
        <v>306</v>
      </c>
    </row>
    <row r="54" spans="1:61" s="2" customFormat="1" ht="60" customHeight="1" x14ac:dyDescent="0.35">
      <c r="A54" s="32"/>
      <c r="B54" s="20"/>
      <c r="D54" s="3"/>
      <c r="E54" s="44"/>
      <c r="F54" s="44"/>
      <c r="G54" s="44"/>
      <c r="H54" s="44"/>
      <c r="R54" s="3"/>
      <c r="S54" s="3"/>
      <c r="T54" s="3"/>
      <c r="U54" s="36"/>
      <c r="V54" s="36"/>
      <c r="W54" s="27"/>
      <c r="X54" s="27"/>
      <c r="Y54" s="27"/>
      <c r="Z54" s="27"/>
      <c r="AA54" s="27"/>
      <c r="AB54" s="27"/>
      <c r="AC54" s="27"/>
      <c r="AD54" s="27"/>
      <c r="AE54" s="45"/>
      <c r="AF54" s="2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</row>
    <row r="55" spans="1:61" s="2" customFormat="1" ht="60" customHeight="1" x14ac:dyDescent="0.35">
      <c r="A55" s="32">
        <v>4</v>
      </c>
      <c r="B55" s="57" t="s">
        <v>37</v>
      </c>
      <c r="C55" s="43">
        <v>43871</v>
      </c>
      <c r="D55" s="3">
        <v>45893</v>
      </c>
      <c r="E55" s="44">
        <f t="shared" si="1"/>
        <v>2022</v>
      </c>
      <c r="F55" s="44">
        <f>E55/30</f>
        <v>67.400000000000006</v>
      </c>
      <c r="G55" s="44">
        <f t="shared" si="2"/>
        <v>5.5397260273972604</v>
      </c>
      <c r="H55" s="44">
        <f t="shared" si="3"/>
        <v>7.6749999999999998</v>
      </c>
      <c r="I55" s="2" t="s">
        <v>11</v>
      </c>
      <c r="J55" s="2">
        <v>4.28</v>
      </c>
      <c r="K55" s="2">
        <v>4112</v>
      </c>
      <c r="R55" s="3">
        <v>45894</v>
      </c>
      <c r="S55" s="58">
        <v>0.76180555555555551</v>
      </c>
      <c r="T55" s="58"/>
      <c r="U55" s="36">
        <f>R55-$D$55</f>
        <v>1</v>
      </c>
      <c r="V55" s="133">
        <f>R63-D55</f>
        <v>19</v>
      </c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BI55" s="2" t="s">
        <v>67</v>
      </c>
    </row>
    <row r="56" spans="1:61" s="2" customFormat="1" ht="60" customHeight="1" x14ac:dyDescent="0.35">
      <c r="A56" s="32"/>
      <c r="B56" s="20"/>
      <c r="D56" s="3"/>
      <c r="E56" s="44"/>
      <c r="F56" s="44"/>
      <c r="G56" s="44"/>
      <c r="H56" s="44"/>
      <c r="R56" s="3">
        <v>45896</v>
      </c>
      <c r="S56" s="58">
        <v>0.70763888888888893</v>
      </c>
      <c r="T56" s="58"/>
      <c r="U56" s="36">
        <f t="shared" ref="U56:U69" si="8">R56-$D$55</f>
        <v>3</v>
      </c>
      <c r="V56" s="36"/>
      <c r="W56" s="27" t="s">
        <v>57</v>
      </c>
      <c r="X56" s="27">
        <v>23.05</v>
      </c>
      <c r="Y56" s="27">
        <v>4.91</v>
      </c>
      <c r="Z56" s="27">
        <v>17.89</v>
      </c>
      <c r="AA56" s="37">
        <v>0</v>
      </c>
      <c r="AB56" s="27" t="s">
        <v>55</v>
      </c>
      <c r="AC56" s="27" t="s">
        <v>55</v>
      </c>
      <c r="AD56" s="27" t="s">
        <v>55</v>
      </c>
      <c r="AE56" s="27" t="s">
        <v>55</v>
      </c>
      <c r="AF56" s="27" t="s">
        <v>55</v>
      </c>
      <c r="AG56" s="27" t="s">
        <v>55</v>
      </c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" t="s">
        <v>50</v>
      </c>
      <c r="BI56" s="2" t="s">
        <v>53</v>
      </c>
    </row>
    <row r="57" spans="1:61" s="2" customFormat="1" ht="60" customHeight="1" x14ac:dyDescent="0.35">
      <c r="A57" s="32"/>
      <c r="B57" s="20"/>
      <c r="D57" s="3"/>
      <c r="E57" s="44"/>
      <c r="F57" s="44"/>
      <c r="G57" s="44"/>
      <c r="H57" s="44"/>
      <c r="R57" s="3">
        <v>45898</v>
      </c>
      <c r="S57" s="58">
        <v>0.35138888888888886</v>
      </c>
      <c r="T57" s="58"/>
      <c r="U57" s="36">
        <f t="shared" si="8"/>
        <v>5</v>
      </c>
      <c r="V57" s="36"/>
      <c r="W57" s="27">
        <v>33.26</v>
      </c>
      <c r="X57" s="27">
        <v>17.829999999999998</v>
      </c>
      <c r="Y57" s="27">
        <v>3.58</v>
      </c>
      <c r="Z57" s="27">
        <v>14.23</v>
      </c>
      <c r="AA57" s="27">
        <v>0</v>
      </c>
      <c r="AB57" s="27" t="s">
        <v>55</v>
      </c>
      <c r="AC57" s="27" t="s">
        <v>55</v>
      </c>
      <c r="AD57" s="27" t="s">
        <v>55</v>
      </c>
      <c r="AE57" s="27" t="s">
        <v>55</v>
      </c>
      <c r="AF57" s="27" t="s">
        <v>55</v>
      </c>
      <c r="AG57" s="27" t="s">
        <v>55</v>
      </c>
      <c r="AH57" s="27" t="s">
        <v>55</v>
      </c>
      <c r="AI57" s="27" t="s">
        <v>55</v>
      </c>
      <c r="AJ57" s="27" t="s">
        <v>55</v>
      </c>
      <c r="AK57" s="27" t="s">
        <v>55</v>
      </c>
      <c r="AL57" s="27" t="s">
        <v>55</v>
      </c>
      <c r="AM57" s="27" t="s">
        <v>55</v>
      </c>
      <c r="AN57" s="27" t="s">
        <v>55</v>
      </c>
      <c r="AO57" s="27" t="s">
        <v>55</v>
      </c>
      <c r="AP57" s="27" t="s">
        <v>55</v>
      </c>
      <c r="AQ57" s="27" t="s">
        <v>55</v>
      </c>
      <c r="AR57" s="27" t="s">
        <v>55</v>
      </c>
      <c r="AS57" s="27" t="s">
        <v>55</v>
      </c>
      <c r="AT57" s="2" t="s">
        <v>50</v>
      </c>
    </row>
    <row r="58" spans="1:61" s="2" customFormat="1" ht="60" customHeight="1" x14ac:dyDescent="0.35">
      <c r="A58" s="32"/>
      <c r="B58" s="20"/>
      <c r="D58" s="3"/>
      <c r="E58" s="44"/>
      <c r="F58" s="44"/>
      <c r="G58" s="44"/>
      <c r="H58" s="44"/>
      <c r="R58" s="3">
        <v>45901</v>
      </c>
      <c r="S58" s="58">
        <v>0.35972222222222222</v>
      </c>
      <c r="T58" s="58"/>
      <c r="U58" s="36">
        <f t="shared" si="8"/>
        <v>8</v>
      </c>
      <c r="V58" s="36"/>
      <c r="W58" s="27">
        <v>26.54</v>
      </c>
      <c r="X58" s="27">
        <v>15.35</v>
      </c>
      <c r="Y58" s="27">
        <v>2.63</v>
      </c>
      <c r="Z58" s="27">
        <v>12.48</v>
      </c>
      <c r="AA58" s="37">
        <v>0</v>
      </c>
      <c r="AB58" s="27" t="s">
        <v>86</v>
      </c>
      <c r="AC58" s="27" t="s">
        <v>85</v>
      </c>
      <c r="AD58" s="27">
        <v>8</v>
      </c>
      <c r="AE58" s="27" t="s">
        <v>55</v>
      </c>
      <c r="AF58" s="27" t="s">
        <v>55</v>
      </c>
      <c r="AG58" s="27" t="s">
        <v>55</v>
      </c>
      <c r="AH58" s="27" t="s">
        <v>55</v>
      </c>
      <c r="AI58" s="27" t="s">
        <v>55</v>
      </c>
      <c r="AJ58" s="27" t="s">
        <v>55</v>
      </c>
      <c r="AK58" s="27" t="s">
        <v>55</v>
      </c>
      <c r="AL58" s="27" t="s">
        <v>55</v>
      </c>
      <c r="AM58" s="27" t="s">
        <v>55</v>
      </c>
      <c r="AN58" s="27" t="s">
        <v>55</v>
      </c>
      <c r="AO58" s="27" t="s">
        <v>55</v>
      </c>
      <c r="AP58" s="27" t="s">
        <v>55</v>
      </c>
      <c r="AQ58" s="27" t="s">
        <v>55</v>
      </c>
      <c r="AR58" s="27" t="s">
        <v>55</v>
      </c>
      <c r="AS58" s="27" t="s">
        <v>55</v>
      </c>
      <c r="AT58" s="2" t="s">
        <v>50</v>
      </c>
    </row>
    <row r="59" spans="1:61" s="2" customFormat="1" ht="60" customHeight="1" x14ac:dyDescent="0.35">
      <c r="A59" s="32"/>
      <c r="B59" s="20"/>
      <c r="D59" s="3"/>
      <c r="E59" s="44"/>
      <c r="F59" s="44"/>
      <c r="G59" s="44"/>
      <c r="H59" s="44"/>
      <c r="R59" s="3">
        <v>45903</v>
      </c>
      <c r="S59" s="58">
        <v>0.72222222222222221</v>
      </c>
      <c r="T59" s="58"/>
      <c r="U59" s="36">
        <f t="shared" si="8"/>
        <v>10</v>
      </c>
      <c r="V59" s="36"/>
      <c r="W59" s="27">
        <v>26.35</v>
      </c>
      <c r="X59" s="27">
        <v>14.99</v>
      </c>
      <c r="Y59" s="27">
        <v>4.29</v>
      </c>
      <c r="Z59" s="27">
        <v>14.58</v>
      </c>
      <c r="AA59" s="27">
        <v>3.77</v>
      </c>
      <c r="AB59" s="27" t="s">
        <v>99</v>
      </c>
      <c r="AC59" s="27" t="s">
        <v>100</v>
      </c>
      <c r="AD59" s="27">
        <v>8</v>
      </c>
      <c r="AE59" s="27" t="s">
        <v>55</v>
      </c>
      <c r="AF59" s="27" t="s">
        <v>55</v>
      </c>
      <c r="AG59" s="27" t="s">
        <v>55</v>
      </c>
      <c r="AH59" s="27" t="s">
        <v>55</v>
      </c>
      <c r="AI59" s="27" t="s">
        <v>55</v>
      </c>
      <c r="AJ59" s="27" t="s">
        <v>55</v>
      </c>
      <c r="AK59" s="27" t="s">
        <v>55</v>
      </c>
      <c r="AL59" s="27" t="s">
        <v>55</v>
      </c>
      <c r="AM59" s="27" t="s">
        <v>55</v>
      </c>
      <c r="AN59" s="27" t="s">
        <v>55</v>
      </c>
      <c r="AO59" s="27" t="s">
        <v>55</v>
      </c>
      <c r="AP59" s="27" t="s">
        <v>55</v>
      </c>
      <c r="AQ59" s="27" t="s">
        <v>55</v>
      </c>
      <c r="AR59" s="27" t="s">
        <v>55</v>
      </c>
      <c r="AS59" s="27" t="s">
        <v>55</v>
      </c>
      <c r="AT59" s="2" t="s">
        <v>50</v>
      </c>
    </row>
    <row r="60" spans="1:61" s="2" customFormat="1" ht="60" customHeight="1" x14ac:dyDescent="0.35">
      <c r="A60" s="32"/>
      <c r="B60" s="20"/>
      <c r="D60" s="3"/>
      <c r="E60" s="44"/>
      <c r="F60" s="44"/>
      <c r="G60" s="44"/>
      <c r="H60" s="44"/>
      <c r="R60" s="3">
        <v>45905</v>
      </c>
      <c r="S60" s="58">
        <v>0.33750000000000002</v>
      </c>
      <c r="T60" s="58"/>
      <c r="U60" s="36">
        <f t="shared" si="8"/>
        <v>12</v>
      </c>
      <c r="V60" s="36"/>
      <c r="W60" s="27">
        <v>26.41</v>
      </c>
      <c r="X60" s="27">
        <v>17.329999999999998</v>
      </c>
      <c r="Y60" s="27">
        <v>3.02</v>
      </c>
      <c r="Z60" s="27">
        <v>13.7</v>
      </c>
      <c r="AA60" s="27">
        <v>6.46</v>
      </c>
      <c r="AB60" s="27" t="s">
        <v>112</v>
      </c>
      <c r="AC60" s="27" t="s">
        <v>110</v>
      </c>
      <c r="AD60" s="27">
        <v>8</v>
      </c>
      <c r="AE60" s="27" t="s">
        <v>55</v>
      </c>
      <c r="AF60" s="27" t="s">
        <v>55</v>
      </c>
      <c r="AG60" s="27" t="s">
        <v>55</v>
      </c>
      <c r="AH60" s="27" t="s">
        <v>55</v>
      </c>
      <c r="AI60" s="27" t="s">
        <v>55</v>
      </c>
      <c r="AJ60" s="27" t="s">
        <v>55</v>
      </c>
      <c r="AK60" s="27" t="s">
        <v>55</v>
      </c>
      <c r="AL60" s="27" t="s">
        <v>55</v>
      </c>
      <c r="AM60" s="27" t="s">
        <v>55</v>
      </c>
      <c r="AN60" s="27" t="s">
        <v>55</v>
      </c>
      <c r="AO60" s="27" t="s">
        <v>55</v>
      </c>
      <c r="AP60" s="27" t="s">
        <v>55</v>
      </c>
      <c r="AQ60" s="27" t="s">
        <v>55</v>
      </c>
      <c r="AR60" s="27" t="s">
        <v>55</v>
      </c>
      <c r="AS60" s="27" t="s">
        <v>55</v>
      </c>
      <c r="AT60" s="2" t="s">
        <v>52</v>
      </c>
      <c r="AU60" s="2">
        <v>0.7</v>
      </c>
      <c r="AV60" s="2">
        <v>1.29</v>
      </c>
      <c r="AW60" s="2">
        <v>11.35</v>
      </c>
      <c r="AX60" s="2">
        <v>3.31</v>
      </c>
      <c r="AZ60" s="2">
        <v>37.520000000000003</v>
      </c>
      <c r="BA60" s="2">
        <v>20.09</v>
      </c>
      <c r="BB60" s="2">
        <v>14.66</v>
      </c>
      <c r="BC60" s="2">
        <v>0.72499999999999998</v>
      </c>
      <c r="BD60" s="2">
        <v>0.56000000000000005</v>
      </c>
      <c r="BE60" s="2">
        <v>0.05</v>
      </c>
      <c r="BF60" s="2">
        <v>0.16</v>
      </c>
      <c r="BG60" s="2">
        <v>34</v>
      </c>
      <c r="BH60" s="2">
        <v>73</v>
      </c>
    </row>
    <row r="61" spans="1:61" s="2" customFormat="1" ht="60" customHeight="1" x14ac:dyDescent="0.35">
      <c r="A61" s="32"/>
      <c r="B61" s="20"/>
      <c r="D61" s="3"/>
      <c r="E61" s="44"/>
      <c r="F61" s="44"/>
      <c r="G61" s="44"/>
      <c r="H61" s="44"/>
      <c r="R61" s="3">
        <v>45908</v>
      </c>
      <c r="S61" s="58">
        <v>0.33958333333333335</v>
      </c>
      <c r="T61" s="58"/>
      <c r="U61" s="36">
        <f t="shared" si="8"/>
        <v>15</v>
      </c>
      <c r="V61" s="36"/>
      <c r="W61" s="27">
        <v>29.4</v>
      </c>
      <c r="X61" s="27">
        <v>13.29</v>
      </c>
      <c r="Y61" s="27">
        <v>1.52</v>
      </c>
      <c r="Z61" s="27">
        <v>13.58</v>
      </c>
      <c r="AA61" s="27">
        <v>6.38</v>
      </c>
      <c r="AB61" s="27" t="s">
        <v>126</v>
      </c>
      <c r="AC61" s="27" t="s">
        <v>98</v>
      </c>
      <c r="AD61" s="27">
        <v>8</v>
      </c>
      <c r="AE61" s="27" t="s">
        <v>55</v>
      </c>
      <c r="AF61" s="27" t="s">
        <v>55</v>
      </c>
      <c r="AG61" s="27" t="s">
        <v>55</v>
      </c>
      <c r="AH61" s="27" t="s">
        <v>55</v>
      </c>
      <c r="AI61" s="27" t="s">
        <v>55</v>
      </c>
      <c r="AJ61" s="27" t="s">
        <v>55</v>
      </c>
      <c r="AK61" s="27" t="s">
        <v>55</v>
      </c>
      <c r="AL61" s="27" t="s">
        <v>55</v>
      </c>
      <c r="AM61" s="27" t="s">
        <v>55</v>
      </c>
      <c r="AN61" s="27" t="s">
        <v>55</v>
      </c>
      <c r="AO61" s="27" t="s">
        <v>55</v>
      </c>
      <c r="AP61" s="27" t="s">
        <v>55</v>
      </c>
      <c r="AQ61" s="27" t="s">
        <v>55</v>
      </c>
      <c r="AR61" s="27" t="s">
        <v>55</v>
      </c>
      <c r="AS61" s="27" t="s">
        <v>55</v>
      </c>
      <c r="AT61" s="2" t="s">
        <v>52</v>
      </c>
      <c r="AU61" s="2">
        <v>0.89</v>
      </c>
      <c r="AV61" s="2">
        <v>2.9</v>
      </c>
      <c r="AW61" s="2">
        <v>6.1</v>
      </c>
      <c r="AX61" s="2">
        <v>9.1999999999999993</v>
      </c>
      <c r="AZ61" s="2">
        <v>56.12</v>
      </c>
      <c r="BA61" s="2">
        <v>17.100000000000001</v>
      </c>
      <c r="BB61" s="2">
        <v>10.86</v>
      </c>
      <c r="BC61" s="2">
        <v>0.63</v>
      </c>
      <c r="BD61" s="2">
        <v>1.26</v>
      </c>
      <c r="BE61" s="2">
        <v>0.01</v>
      </c>
      <c r="BF61" s="2">
        <v>0.12</v>
      </c>
      <c r="BG61" s="2">
        <v>50</v>
      </c>
      <c r="BH61" s="2">
        <v>76</v>
      </c>
      <c r="BI61" s="2" t="s">
        <v>125</v>
      </c>
    </row>
    <row r="62" spans="1:61" s="2" customFormat="1" ht="60" customHeight="1" x14ac:dyDescent="0.35">
      <c r="A62" s="32"/>
      <c r="B62" s="20"/>
      <c r="D62" s="3"/>
      <c r="E62" s="44"/>
      <c r="F62" s="44"/>
      <c r="G62" s="44"/>
      <c r="H62" s="44"/>
      <c r="R62" s="3">
        <v>45910</v>
      </c>
      <c r="S62" s="61">
        <v>45910.677083333336</v>
      </c>
      <c r="T62" s="58"/>
      <c r="U62" s="36">
        <f t="shared" si="8"/>
        <v>17</v>
      </c>
      <c r="V62" s="36"/>
      <c r="W62" s="27">
        <v>20.079999999999998</v>
      </c>
      <c r="X62" s="27">
        <v>10.130000000000001</v>
      </c>
      <c r="Y62" s="27">
        <v>3.39</v>
      </c>
      <c r="Z62" s="27">
        <v>10.94</v>
      </c>
      <c r="AA62" s="27">
        <v>4.59</v>
      </c>
      <c r="AB62" s="27" t="s">
        <v>489</v>
      </c>
      <c r="AC62" s="27" t="s">
        <v>133</v>
      </c>
      <c r="AD62" s="27">
        <v>8</v>
      </c>
      <c r="AE62" s="27" t="s">
        <v>55</v>
      </c>
      <c r="AF62" s="27" t="s">
        <v>55</v>
      </c>
      <c r="AG62" s="27" t="s">
        <v>55</v>
      </c>
      <c r="AH62" s="27" t="s">
        <v>55</v>
      </c>
      <c r="AI62" s="27" t="s">
        <v>55</v>
      </c>
      <c r="AJ62" s="27" t="s">
        <v>55</v>
      </c>
      <c r="AK62" s="27" t="s">
        <v>55</v>
      </c>
      <c r="AL62" s="27" t="s">
        <v>55</v>
      </c>
      <c r="AM62" s="27" t="s">
        <v>55</v>
      </c>
      <c r="AN62" s="27" t="s">
        <v>55</v>
      </c>
      <c r="AO62" s="27" t="s">
        <v>55</v>
      </c>
      <c r="AP62" s="27" t="s">
        <v>55</v>
      </c>
      <c r="AQ62" s="27" t="s">
        <v>55</v>
      </c>
      <c r="AR62" s="27" t="s">
        <v>55</v>
      </c>
      <c r="AS62" s="27" t="s">
        <v>55</v>
      </c>
      <c r="AT62" s="2" t="s">
        <v>52</v>
      </c>
      <c r="AU62" s="2">
        <v>0.74</v>
      </c>
      <c r="AV62" s="2">
        <v>1.64</v>
      </c>
      <c r="AW62" s="2">
        <v>14.44</v>
      </c>
      <c r="AX62" s="2">
        <v>3.91</v>
      </c>
      <c r="AZ62" s="2">
        <v>56.47</v>
      </c>
      <c r="BA62" s="2">
        <v>25.37</v>
      </c>
      <c r="BB62" s="2">
        <v>15.22</v>
      </c>
      <c r="BC62" s="2">
        <v>0.59499999999999997</v>
      </c>
      <c r="BD62" s="2">
        <v>1.28</v>
      </c>
      <c r="BE62" s="2">
        <v>0.08</v>
      </c>
      <c r="BF62" s="2">
        <v>0.26</v>
      </c>
      <c r="BG62" s="2">
        <v>52</v>
      </c>
      <c r="BH62" s="2">
        <v>90</v>
      </c>
    </row>
    <row r="63" spans="1:61" s="2" customFormat="1" ht="60" customHeight="1" x14ac:dyDescent="0.35">
      <c r="A63" s="32"/>
      <c r="B63" s="20"/>
      <c r="D63" s="3"/>
      <c r="E63" s="44"/>
      <c r="F63" s="44"/>
      <c r="G63" s="44"/>
      <c r="H63" s="44"/>
      <c r="R63" s="3">
        <v>45912</v>
      </c>
      <c r="S63" s="61">
        <v>45912.399305555555</v>
      </c>
      <c r="T63" s="2">
        <f>S63-S62</f>
        <v>1.7222222222189885</v>
      </c>
      <c r="U63" s="36">
        <f t="shared" si="8"/>
        <v>19</v>
      </c>
      <c r="V63" s="36"/>
      <c r="W63" s="27">
        <v>26.76</v>
      </c>
      <c r="X63" s="27">
        <v>15.1</v>
      </c>
      <c r="Y63" s="27">
        <v>2.82</v>
      </c>
      <c r="Z63" s="27">
        <v>10.11</v>
      </c>
      <c r="AA63" s="27">
        <v>12.43</v>
      </c>
      <c r="AB63" s="27" t="s">
        <v>490</v>
      </c>
      <c r="AC63" s="27" t="s">
        <v>55</v>
      </c>
      <c r="AD63" s="27">
        <v>8</v>
      </c>
      <c r="AE63" s="62">
        <f>$S$62+($T$63/2)</f>
        <v>45911.538194444445</v>
      </c>
      <c r="AF63" s="27">
        <f>$U$62+($T$63/2)</f>
        <v>17.861111111109494</v>
      </c>
      <c r="AG63" s="27">
        <v>50.34</v>
      </c>
      <c r="AH63" s="27">
        <v>50.34</v>
      </c>
      <c r="AI63" s="27">
        <v>0</v>
      </c>
      <c r="AJ63" s="27">
        <f t="shared" ref="AJ63:AJ69" si="9">AH63-AI63</f>
        <v>50.34</v>
      </c>
      <c r="AK63" s="27" t="s">
        <v>55</v>
      </c>
      <c r="AL63" s="27" t="s">
        <v>55</v>
      </c>
      <c r="AM63" s="27" t="s">
        <v>55</v>
      </c>
      <c r="AN63" s="27" t="s">
        <v>55</v>
      </c>
      <c r="AO63" s="27" t="s">
        <v>55</v>
      </c>
      <c r="AP63" s="27" t="s">
        <v>55</v>
      </c>
      <c r="AQ63" s="27" t="s">
        <v>55</v>
      </c>
      <c r="AR63" s="27" t="s">
        <v>55</v>
      </c>
      <c r="AS63" s="27" t="s">
        <v>55</v>
      </c>
      <c r="AT63" s="2" t="s">
        <v>52</v>
      </c>
      <c r="AU63" s="2">
        <v>1</v>
      </c>
      <c r="AV63" s="2">
        <v>2.46</v>
      </c>
      <c r="AW63" s="2">
        <v>0</v>
      </c>
      <c r="AX63" s="2" t="s">
        <v>89</v>
      </c>
      <c r="AZ63" s="2">
        <v>33.799999999999997</v>
      </c>
      <c r="BA63" s="2">
        <v>13.65</v>
      </c>
      <c r="BB63" s="2">
        <v>8.6</v>
      </c>
      <c r="BC63" s="2">
        <v>0.625</v>
      </c>
      <c r="BD63" s="2">
        <v>0.46</v>
      </c>
      <c r="BE63" s="2">
        <v>0</v>
      </c>
      <c r="BF63" s="2">
        <v>7.0000000000000007E-2</v>
      </c>
      <c r="BG63" s="2">
        <v>54</v>
      </c>
      <c r="BH63" s="2">
        <v>81</v>
      </c>
    </row>
    <row r="64" spans="1:61" s="2" customFormat="1" ht="60" customHeight="1" x14ac:dyDescent="0.35">
      <c r="A64" s="32"/>
      <c r="B64" s="20"/>
      <c r="D64" s="3"/>
      <c r="E64" s="44"/>
      <c r="F64" s="44"/>
      <c r="G64" s="44"/>
      <c r="H64" s="44"/>
      <c r="R64" s="3">
        <v>45915</v>
      </c>
      <c r="S64" s="58">
        <v>0.67708333333333337</v>
      </c>
      <c r="T64" s="58"/>
      <c r="U64" s="36">
        <f t="shared" si="8"/>
        <v>22</v>
      </c>
      <c r="V64" s="36"/>
      <c r="W64" s="27">
        <v>22.09</v>
      </c>
      <c r="X64" s="27">
        <v>11.52</v>
      </c>
      <c r="Y64" s="27">
        <v>2.87</v>
      </c>
      <c r="Z64" s="27">
        <v>9.75</v>
      </c>
      <c r="AA64" s="27">
        <v>3.25</v>
      </c>
      <c r="AB64" s="27" t="s">
        <v>166</v>
      </c>
      <c r="AC64" s="27" t="s">
        <v>131</v>
      </c>
      <c r="AD64" s="27">
        <v>8</v>
      </c>
      <c r="AE64" s="62">
        <f t="shared" ref="AE64:AE69" si="10">$S$62+($T$63/2)</f>
        <v>45911.538194444445</v>
      </c>
      <c r="AF64" s="27">
        <f t="shared" ref="AF64:AF69" si="11">$U$62+($T$63/2)</f>
        <v>17.861111111109494</v>
      </c>
      <c r="AG64" s="27">
        <v>55.86</v>
      </c>
      <c r="AH64" s="27">
        <v>55.86</v>
      </c>
      <c r="AI64" s="27">
        <v>0</v>
      </c>
      <c r="AJ64" s="27">
        <f t="shared" si="9"/>
        <v>55.86</v>
      </c>
      <c r="AK64" s="27" t="s">
        <v>55</v>
      </c>
      <c r="AL64" s="27" t="s">
        <v>55</v>
      </c>
      <c r="AM64" s="27" t="s">
        <v>55</v>
      </c>
      <c r="AN64" s="27" t="s">
        <v>55</v>
      </c>
      <c r="AO64" s="27" t="s">
        <v>55</v>
      </c>
      <c r="AP64" s="27" t="s">
        <v>55</v>
      </c>
      <c r="AQ64" s="27" t="s">
        <v>55</v>
      </c>
      <c r="AR64" s="27" t="s">
        <v>55</v>
      </c>
      <c r="AS64" s="27" t="s">
        <v>55</v>
      </c>
      <c r="AT64" s="2" t="s">
        <v>52</v>
      </c>
      <c r="AU64" s="2">
        <v>0.73</v>
      </c>
      <c r="AV64" s="2">
        <v>2.46</v>
      </c>
      <c r="AW64" s="2">
        <v>12.61</v>
      </c>
      <c r="AX64" s="2">
        <v>3.65</v>
      </c>
      <c r="AZ64" s="2">
        <v>45.96</v>
      </c>
      <c r="BA64" s="2">
        <v>13.44</v>
      </c>
      <c r="BB64" s="2">
        <v>6.79</v>
      </c>
      <c r="BC64" s="2">
        <v>0.5</v>
      </c>
      <c r="BD64" s="2">
        <v>0.84</v>
      </c>
      <c r="BE64" s="2">
        <v>0.06</v>
      </c>
      <c r="BF64" s="2">
        <v>7.0000000000000007E-2</v>
      </c>
      <c r="BG64" s="2">
        <v>50</v>
      </c>
      <c r="BH64" s="2">
        <v>109</v>
      </c>
    </row>
    <row r="65" spans="1:61" s="2" customFormat="1" ht="60" customHeight="1" x14ac:dyDescent="0.35">
      <c r="A65" s="32"/>
      <c r="B65" s="20"/>
      <c r="D65" s="3"/>
      <c r="E65" s="44"/>
      <c r="F65" s="44"/>
      <c r="G65" s="44"/>
      <c r="H65" s="44"/>
      <c r="R65" s="3">
        <v>45918</v>
      </c>
      <c r="S65" s="58">
        <v>0.82986111111111116</v>
      </c>
      <c r="T65" s="58"/>
      <c r="U65" s="36">
        <f t="shared" si="8"/>
        <v>25</v>
      </c>
      <c r="V65" s="36"/>
      <c r="W65" s="27">
        <v>20.28</v>
      </c>
      <c r="X65" s="27">
        <v>9.73</v>
      </c>
      <c r="Y65" s="27">
        <v>2.0299999999999998</v>
      </c>
      <c r="Z65" s="27">
        <v>7.45</v>
      </c>
      <c r="AA65" s="27">
        <v>4.74</v>
      </c>
      <c r="AB65" s="27" t="s">
        <v>187</v>
      </c>
      <c r="AC65" s="27" t="s">
        <v>186</v>
      </c>
      <c r="AD65" s="27">
        <v>8</v>
      </c>
      <c r="AE65" s="62">
        <f t="shared" si="10"/>
        <v>45911.538194444445</v>
      </c>
      <c r="AF65" s="27">
        <f t="shared" si="11"/>
        <v>17.861111111109494</v>
      </c>
      <c r="AG65" s="27">
        <v>77.87</v>
      </c>
      <c r="AH65" s="27">
        <v>77.87</v>
      </c>
      <c r="AI65" s="27">
        <v>0</v>
      </c>
      <c r="AJ65" s="27">
        <f t="shared" si="9"/>
        <v>77.87</v>
      </c>
      <c r="AK65" s="27" t="s">
        <v>55</v>
      </c>
      <c r="AL65" s="27" t="s">
        <v>55</v>
      </c>
      <c r="AM65" s="27" t="s">
        <v>55</v>
      </c>
      <c r="AN65" s="27" t="s">
        <v>55</v>
      </c>
      <c r="AO65" s="27" t="s">
        <v>55</v>
      </c>
      <c r="AP65" s="27" t="s">
        <v>55</v>
      </c>
      <c r="AQ65" s="27" t="s">
        <v>55</v>
      </c>
      <c r="AR65" s="27" t="s">
        <v>55</v>
      </c>
      <c r="AS65" s="27" t="s">
        <v>55</v>
      </c>
      <c r="AT65" s="2" t="s">
        <v>52</v>
      </c>
      <c r="AU65" s="2">
        <v>1</v>
      </c>
      <c r="AV65" s="2">
        <v>3.54</v>
      </c>
      <c r="AW65" s="2">
        <v>0</v>
      </c>
      <c r="AX65" s="2" t="s">
        <v>89</v>
      </c>
      <c r="AZ65" s="2">
        <v>34.979999999999997</v>
      </c>
      <c r="BA65" s="2">
        <v>9.7899999999999991</v>
      </c>
      <c r="BB65" s="2">
        <v>4.7</v>
      </c>
      <c r="BC65" s="2">
        <v>0.47499999999999998</v>
      </c>
      <c r="BD65" s="2">
        <v>0.49</v>
      </c>
      <c r="BE65" s="2">
        <v>0</v>
      </c>
      <c r="BF65" s="2">
        <v>0.04</v>
      </c>
      <c r="BG65" s="2">
        <v>50</v>
      </c>
      <c r="BH65" s="2">
        <v>98</v>
      </c>
    </row>
    <row r="66" spans="1:61" s="2" customFormat="1" ht="60" customHeight="1" x14ac:dyDescent="0.35">
      <c r="A66" s="32"/>
      <c r="B66" s="20"/>
      <c r="D66" s="3"/>
      <c r="E66" s="44"/>
      <c r="F66" s="44"/>
      <c r="G66" s="44"/>
      <c r="H66" s="44"/>
      <c r="R66" s="3">
        <v>45922</v>
      </c>
      <c r="S66" s="58">
        <v>0.37569444444444444</v>
      </c>
      <c r="T66" s="58"/>
      <c r="U66" s="36">
        <f t="shared" si="8"/>
        <v>29</v>
      </c>
      <c r="V66" s="36"/>
      <c r="W66" s="27">
        <v>17.079999999999998</v>
      </c>
      <c r="X66" s="27">
        <v>7.83</v>
      </c>
      <c r="Y66" s="27">
        <v>1.96</v>
      </c>
      <c r="Z66" s="27">
        <v>5.81</v>
      </c>
      <c r="AA66" s="27">
        <v>2.41</v>
      </c>
      <c r="AB66" s="27" t="s">
        <v>205</v>
      </c>
      <c r="AC66" s="27" t="s">
        <v>98</v>
      </c>
      <c r="AD66" s="27">
        <v>8</v>
      </c>
      <c r="AE66" s="62">
        <f t="shared" si="10"/>
        <v>45911.538194444445</v>
      </c>
      <c r="AF66" s="27">
        <f t="shared" si="11"/>
        <v>17.861111111109494</v>
      </c>
      <c r="AG66" s="27">
        <v>102.95</v>
      </c>
      <c r="AH66" s="27">
        <v>102.95</v>
      </c>
      <c r="AI66" s="27">
        <v>0</v>
      </c>
      <c r="AJ66" s="27">
        <f t="shared" si="9"/>
        <v>102.95</v>
      </c>
      <c r="AK66" s="27" t="s">
        <v>55</v>
      </c>
      <c r="AL66" s="27" t="s">
        <v>55</v>
      </c>
      <c r="AM66" s="27" t="s">
        <v>55</v>
      </c>
      <c r="AN66" s="27" t="s">
        <v>55</v>
      </c>
      <c r="AO66" s="27" t="s">
        <v>55</v>
      </c>
      <c r="AP66" s="27" t="s">
        <v>55</v>
      </c>
      <c r="AQ66" s="27" t="s">
        <v>55</v>
      </c>
      <c r="AR66" s="27" t="s">
        <v>55</v>
      </c>
      <c r="AS66" s="27" t="s">
        <v>55</v>
      </c>
      <c r="AT66" s="2" t="s">
        <v>52</v>
      </c>
      <c r="AU66" s="2">
        <v>1</v>
      </c>
      <c r="AV66" s="2">
        <v>4.32</v>
      </c>
      <c r="AW66" s="2">
        <v>0</v>
      </c>
      <c r="AX66" s="2" t="s">
        <v>89</v>
      </c>
      <c r="AZ66" s="2">
        <v>28.6</v>
      </c>
      <c r="BA66" s="2">
        <v>6.57</v>
      </c>
      <c r="BB66" s="2">
        <v>4.4000000000000004</v>
      </c>
      <c r="BC66" s="2">
        <v>0.66500000000000004</v>
      </c>
      <c r="BD66" s="2">
        <v>0.33</v>
      </c>
      <c r="BE66" s="2">
        <v>0</v>
      </c>
      <c r="BF66" s="2">
        <v>0.02</v>
      </c>
      <c r="BG66" s="2">
        <v>46</v>
      </c>
      <c r="BH66" s="2">
        <v>82</v>
      </c>
    </row>
    <row r="67" spans="1:61" s="2" customFormat="1" ht="60" customHeight="1" x14ac:dyDescent="0.35">
      <c r="A67" s="32"/>
      <c r="B67" s="20"/>
      <c r="D67" s="3"/>
      <c r="E67" s="44"/>
      <c r="F67" s="44"/>
      <c r="G67" s="44"/>
      <c r="H67" s="44"/>
      <c r="P67" s="2">
        <v>2.75</v>
      </c>
      <c r="R67" s="3">
        <v>45925</v>
      </c>
      <c r="S67" s="58">
        <v>0.83611111111111114</v>
      </c>
      <c r="T67" s="58"/>
      <c r="U67" s="36">
        <f t="shared" si="8"/>
        <v>32</v>
      </c>
      <c r="V67" s="36"/>
      <c r="W67" s="27">
        <v>16.190000000000001</v>
      </c>
      <c r="X67" s="27">
        <v>8.33</v>
      </c>
      <c r="Y67" s="27">
        <v>2.71</v>
      </c>
      <c r="Z67" s="27">
        <v>6.56</v>
      </c>
      <c r="AA67" s="27">
        <v>4.67</v>
      </c>
      <c r="AB67" s="27" t="s">
        <v>237</v>
      </c>
      <c r="AC67" s="27" t="s">
        <v>236</v>
      </c>
      <c r="AD67" s="27">
        <v>8</v>
      </c>
      <c r="AE67" s="62">
        <f t="shared" si="10"/>
        <v>45911.538194444445</v>
      </c>
      <c r="AF67" s="27">
        <f t="shared" si="11"/>
        <v>17.861111111109494</v>
      </c>
      <c r="AG67" s="27">
        <v>106.88</v>
      </c>
      <c r="AH67" s="27">
        <v>106.88</v>
      </c>
      <c r="AI67" s="27">
        <v>0</v>
      </c>
      <c r="AJ67" s="27">
        <f t="shared" si="9"/>
        <v>106.88</v>
      </c>
      <c r="AK67" s="27" t="s">
        <v>55</v>
      </c>
      <c r="AL67" s="27" t="s">
        <v>55</v>
      </c>
      <c r="AM67" s="27" t="s">
        <v>55</v>
      </c>
      <c r="AN67" s="27" t="s">
        <v>55</v>
      </c>
      <c r="AO67" s="27" t="s">
        <v>55</v>
      </c>
      <c r="AP67" s="27" t="s">
        <v>55</v>
      </c>
      <c r="AQ67" s="27" t="s">
        <v>55</v>
      </c>
      <c r="AR67" s="27" t="s">
        <v>55</v>
      </c>
      <c r="AS67" s="27" t="s">
        <v>55</v>
      </c>
      <c r="AT67" s="2" t="s">
        <v>52</v>
      </c>
      <c r="AU67" s="2">
        <v>1</v>
      </c>
      <c r="AV67" s="2">
        <v>3.41</v>
      </c>
      <c r="AW67" s="2">
        <v>0</v>
      </c>
      <c r="AX67" s="2" t="s">
        <v>89</v>
      </c>
      <c r="AZ67" s="2">
        <v>28.12</v>
      </c>
      <c r="BA67" s="2">
        <v>8.18</v>
      </c>
      <c r="BB67" s="2">
        <v>5.85</v>
      </c>
      <c r="BC67" s="2">
        <v>0.71</v>
      </c>
      <c r="BD67" s="2">
        <v>0.32</v>
      </c>
      <c r="BE67" s="2">
        <v>0</v>
      </c>
      <c r="BF67" s="2">
        <v>0.03</v>
      </c>
      <c r="BG67" s="2">
        <v>58</v>
      </c>
      <c r="BH67" s="2">
        <v>80</v>
      </c>
    </row>
    <row r="68" spans="1:61" s="2" customFormat="1" ht="60" customHeight="1" x14ac:dyDescent="0.35">
      <c r="A68" s="32"/>
      <c r="B68" s="20"/>
      <c r="D68" s="3"/>
      <c r="E68" s="44"/>
      <c r="F68" s="44"/>
      <c r="G68" s="44"/>
      <c r="H68" s="44"/>
      <c r="P68" s="2">
        <v>2.75</v>
      </c>
      <c r="R68" s="3">
        <v>45930</v>
      </c>
      <c r="S68" s="58">
        <v>0.71597222222222223</v>
      </c>
      <c r="T68" s="58"/>
      <c r="U68" s="36">
        <f t="shared" si="8"/>
        <v>37</v>
      </c>
      <c r="V68" s="36"/>
      <c r="W68" s="27">
        <v>18.059999999999999</v>
      </c>
      <c r="X68" s="27">
        <v>9.7799999999999994</v>
      </c>
      <c r="Y68" s="27">
        <v>2.8</v>
      </c>
      <c r="Z68" s="27">
        <v>7.47</v>
      </c>
      <c r="AA68" s="27">
        <v>5.98</v>
      </c>
      <c r="AB68" s="27" t="s">
        <v>286</v>
      </c>
      <c r="AC68" s="27" t="s">
        <v>124</v>
      </c>
      <c r="AD68" s="27">
        <v>8</v>
      </c>
      <c r="AE68" s="62">
        <f t="shared" si="10"/>
        <v>45911.538194444445</v>
      </c>
      <c r="AF68" s="27">
        <f t="shared" si="11"/>
        <v>17.861111111109494</v>
      </c>
      <c r="AG68" s="27">
        <v>110.56</v>
      </c>
      <c r="AH68" s="27">
        <v>110.56</v>
      </c>
      <c r="AI68" s="27">
        <v>0</v>
      </c>
      <c r="AJ68" s="27">
        <f t="shared" si="9"/>
        <v>110.56</v>
      </c>
      <c r="AK68" s="27" t="s">
        <v>55</v>
      </c>
      <c r="AL68" s="27" t="s">
        <v>55</v>
      </c>
      <c r="AM68" s="27" t="s">
        <v>55</v>
      </c>
      <c r="AN68" s="27" t="s">
        <v>55</v>
      </c>
      <c r="AO68" s="27" t="s">
        <v>55</v>
      </c>
      <c r="AP68" s="27" t="s">
        <v>55</v>
      </c>
      <c r="AQ68" s="27" t="s">
        <v>55</v>
      </c>
      <c r="AR68" s="27" t="s">
        <v>55</v>
      </c>
      <c r="AS68" s="27" t="s">
        <v>55</v>
      </c>
      <c r="AT68" s="2" t="s">
        <v>52</v>
      </c>
      <c r="AU68" s="2">
        <v>1</v>
      </c>
      <c r="AV68" s="2">
        <v>4.16</v>
      </c>
      <c r="AW68" s="2">
        <v>0</v>
      </c>
      <c r="AX68" s="2" t="s">
        <v>89</v>
      </c>
      <c r="AZ68" s="2">
        <v>21.97</v>
      </c>
      <c r="BA68" s="2">
        <v>5.25</v>
      </c>
      <c r="BB68" s="2">
        <v>3.99</v>
      </c>
      <c r="BC68" s="2">
        <v>0.755</v>
      </c>
      <c r="BD68" s="2">
        <v>0.19</v>
      </c>
      <c r="BE68" s="2">
        <v>0</v>
      </c>
      <c r="BF68" s="2">
        <v>0.01</v>
      </c>
      <c r="BG68" s="2">
        <v>56</v>
      </c>
      <c r="BH68" s="2">
        <v>75</v>
      </c>
    </row>
    <row r="69" spans="1:61" s="2" customFormat="1" ht="60" customHeight="1" x14ac:dyDescent="0.35">
      <c r="A69" s="32"/>
      <c r="B69" s="20"/>
      <c r="D69" s="3"/>
      <c r="E69" s="44"/>
      <c r="F69" s="44"/>
      <c r="G69" s="44"/>
      <c r="H69" s="44"/>
      <c r="P69" s="2">
        <v>3</v>
      </c>
      <c r="R69" s="3">
        <v>45936</v>
      </c>
      <c r="S69" s="58">
        <v>0.74513888888888891</v>
      </c>
      <c r="T69" s="58"/>
      <c r="U69" s="36">
        <f t="shared" si="8"/>
        <v>43</v>
      </c>
      <c r="V69" s="36"/>
      <c r="W69" s="27">
        <v>17.920000000000002</v>
      </c>
      <c r="X69" s="27">
        <v>9.06</v>
      </c>
      <c r="Y69" s="27">
        <v>2.1</v>
      </c>
      <c r="Z69" s="27">
        <v>6.9</v>
      </c>
      <c r="AA69" s="27">
        <v>2.61</v>
      </c>
      <c r="AB69" s="27" t="s">
        <v>287</v>
      </c>
      <c r="AC69" s="27" t="s">
        <v>124</v>
      </c>
      <c r="AD69" s="27">
        <v>8</v>
      </c>
      <c r="AE69" s="62">
        <f t="shared" si="10"/>
        <v>45911.538194444445</v>
      </c>
      <c r="AF69" s="27">
        <f t="shared" si="11"/>
        <v>17.861111111109494</v>
      </c>
      <c r="AG69" s="27">
        <v>89.72</v>
      </c>
      <c r="AH69" s="27">
        <v>89.72</v>
      </c>
      <c r="AI69" s="27">
        <v>0</v>
      </c>
      <c r="AJ69" s="27">
        <f t="shared" si="9"/>
        <v>89.72</v>
      </c>
      <c r="AK69" s="27" t="s">
        <v>55</v>
      </c>
      <c r="AL69" s="27" t="s">
        <v>55</v>
      </c>
      <c r="AM69" s="27" t="s">
        <v>55</v>
      </c>
      <c r="AN69" s="27" t="s">
        <v>55</v>
      </c>
      <c r="AO69" s="27" t="s">
        <v>55</v>
      </c>
      <c r="AP69" s="27" t="s">
        <v>55</v>
      </c>
      <c r="AQ69" s="27" t="s">
        <v>55</v>
      </c>
      <c r="AR69" s="27" t="s">
        <v>55</v>
      </c>
      <c r="AS69" s="27" t="s">
        <v>55</v>
      </c>
      <c r="AT69" s="2" t="s">
        <v>52</v>
      </c>
      <c r="AU69" s="2">
        <v>0.8</v>
      </c>
      <c r="AV69" s="2">
        <v>2.19</v>
      </c>
      <c r="AW69" s="2">
        <v>5.78</v>
      </c>
      <c r="AX69" s="2">
        <v>5.08</v>
      </c>
      <c r="AZ69" s="2">
        <v>29.35</v>
      </c>
      <c r="BA69" s="2">
        <v>10.67</v>
      </c>
      <c r="BB69" s="2">
        <v>6.72</v>
      </c>
      <c r="BC69" s="2">
        <v>0.625</v>
      </c>
      <c r="BD69" s="2">
        <v>0.34</v>
      </c>
      <c r="BE69" s="2">
        <v>0.01</v>
      </c>
      <c r="BF69" s="2">
        <v>0.05</v>
      </c>
      <c r="BG69" s="2">
        <v>54</v>
      </c>
      <c r="BH69" s="2">
        <v>89</v>
      </c>
      <c r="BI69" s="2" t="s">
        <v>306</v>
      </c>
    </row>
    <row r="70" spans="1:61" s="2" customFormat="1" ht="60" customHeight="1" x14ac:dyDescent="0.35">
      <c r="A70" s="32"/>
      <c r="B70" s="20"/>
      <c r="D70" s="3"/>
      <c r="E70" s="44"/>
      <c r="F70" s="44"/>
      <c r="G70" s="44"/>
      <c r="H70" s="44"/>
      <c r="R70" s="3"/>
      <c r="S70" s="3"/>
      <c r="T70" s="3"/>
      <c r="U70" s="36"/>
      <c r="V70" s="36"/>
      <c r="W70" s="27"/>
      <c r="X70" s="27"/>
      <c r="Y70" s="27"/>
      <c r="Z70" s="27"/>
      <c r="AA70" s="27"/>
      <c r="AB70" s="27"/>
      <c r="AC70" s="27"/>
      <c r="AD70" s="27"/>
      <c r="AE70" s="45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 t="s">
        <v>491</v>
      </c>
    </row>
    <row r="71" spans="1:61" s="2" customFormat="1" ht="60" customHeight="1" x14ac:dyDescent="0.35">
      <c r="A71" s="33">
        <v>5</v>
      </c>
      <c r="B71" s="57" t="s">
        <v>38</v>
      </c>
      <c r="C71" s="3">
        <v>45283</v>
      </c>
      <c r="D71" s="3">
        <v>45894</v>
      </c>
      <c r="E71" s="44">
        <f t="shared" si="1"/>
        <v>611</v>
      </c>
      <c r="F71" s="44">
        <f>E71/30</f>
        <v>20.366666666666667</v>
      </c>
      <c r="G71" s="44">
        <f t="shared" si="2"/>
        <v>1.6739726027397259</v>
      </c>
      <c r="H71" s="44">
        <f t="shared" si="3"/>
        <v>1.7958333333333334</v>
      </c>
      <c r="I71" s="2" t="s">
        <v>11</v>
      </c>
      <c r="J71" s="2">
        <v>2.84</v>
      </c>
      <c r="K71" s="2">
        <v>4114</v>
      </c>
      <c r="R71" s="3">
        <v>45894</v>
      </c>
      <c r="S71" s="58">
        <v>0.7680555555555556</v>
      </c>
      <c r="T71" s="58"/>
      <c r="U71" s="36">
        <f>R71-$D$71</f>
        <v>0</v>
      </c>
      <c r="V71" s="133">
        <f>R85-D71</f>
        <v>42</v>
      </c>
      <c r="W71" s="27">
        <v>34.94</v>
      </c>
      <c r="X71" s="27" t="s">
        <v>55</v>
      </c>
      <c r="Y71" s="27">
        <v>6.96</v>
      </c>
      <c r="Z71" s="27">
        <v>2.4700000000000002</v>
      </c>
      <c r="AA71" s="27" t="s">
        <v>55</v>
      </c>
      <c r="AB71" s="27" t="s">
        <v>55</v>
      </c>
      <c r="AC71" s="27" t="s">
        <v>55</v>
      </c>
      <c r="AD71" s="27" t="s">
        <v>55</v>
      </c>
      <c r="AE71" s="27" t="s">
        <v>55</v>
      </c>
      <c r="AF71" s="27" t="s">
        <v>55</v>
      </c>
      <c r="AG71" s="27" t="s">
        <v>55</v>
      </c>
      <c r="AH71" s="27" t="s">
        <v>55</v>
      </c>
      <c r="AI71" s="27" t="s">
        <v>55</v>
      </c>
      <c r="AJ71" s="27" t="s">
        <v>55</v>
      </c>
      <c r="AK71" s="27" t="s">
        <v>55</v>
      </c>
      <c r="AL71" s="27" t="s">
        <v>55</v>
      </c>
      <c r="AM71" s="27" t="s">
        <v>55</v>
      </c>
      <c r="AN71" s="27" t="s">
        <v>55</v>
      </c>
      <c r="AO71" s="27" t="s">
        <v>55</v>
      </c>
      <c r="AP71" s="27" t="s">
        <v>55</v>
      </c>
      <c r="AQ71" s="27" t="s">
        <v>55</v>
      </c>
      <c r="AR71" s="27" t="s">
        <v>55</v>
      </c>
      <c r="AS71" s="27" t="s">
        <v>55</v>
      </c>
      <c r="AT71" s="2" t="s">
        <v>50</v>
      </c>
    </row>
    <row r="72" spans="1:61" s="2" customFormat="1" ht="60" customHeight="1" x14ac:dyDescent="0.35">
      <c r="A72" s="32"/>
      <c r="B72" s="20"/>
      <c r="E72" s="44"/>
      <c r="F72" s="44"/>
      <c r="G72" s="44"/>
      <c r="H72" s="44"/>
      <c r="R72" s="3">
        <v>45896</v>
      </c>
      <c r="S72" s="58">
        <v>0.69513888888888886</v>
      </c>
      <c r="T72" s="58"/>
      <c r="U72" s="36">
        <f>R72-$D$71</f>
        <v>2</v>
      </c>
      <c r="V72" s="36"/>
      <c r="W72" s="27">
        <v>41.32</v>
      </c>
      <c r="X72" s="27">
        <v>25.56</v>
      </c>
      <c r="Y72" s="27">
        <v>4.16</v>
      </c>
      <c r="Z72" s="27">
        <v>20.350000000000001</v>
      </c>
      <c r="AA72" s="27">
        <v>3.77</v>
      </c>
      <c r="AB72" s="27" t="s">
        <v>55</v>
      </c>
      <c r="AC72" s="27" t="s">
        <v>55</v>
      </c>
      <c r="AD72" s="27" t="s">
        <v>55</v>
      </c>
      <c r="AE72" s="27" t="s">
        <v>55</v>
      </c>
      <c r="AF72" s="27" t="s">
        <v>55</v>
      </c>
      <c r="AG72" s="27" t="s">
        <v>55</v>
      </c>
      <c r="AH72" s="27" t="s">
        <v>55</v>
      </c>
      <c r="AI72" s="27" t="s">
        <v>55</v>
      </c>
      <c r="AJ72" s="27" t="s">
        <v>55</v>
      </c>
      <c r="AK72" s="27" t="s">
        <v>55</v>
      </c>
      <c r="AL72" s="27" t="s">
        <v>55</v>
      </c>
      <c r="AM72" s="27" t="s">
        <v>55</v>
      </c>
      <c r="AN72" s="27" t="s">
        <v>55</v>
      </c>
      <c r="AO72" s="27" t="s">
        <v>55</v>
      </c>
      <c r="AP72" s="27" t="s">
        <v>55</v>
      </c>
      <c r="AQ72" s="27" t="s">
        <v>55</v>
      </c>
      <c r="AR72" s="27" t="s">
        <v>55</v>
      </c>
      <c r="AS72" s="27" t="s">
        <v>55</v>
      </c>
      <c r="AT72" s="2" t="s">
        <v>50</v>
      </c>
      <c r="BI72" s="2" t="s">
        <v>51</v>
      </c>
    </row>
    <row r="73" spans="1:61" s="2" customFormat="1" ht="60" customHeight="1" x14ac:dyDescent="0.35">
      <c r="A73" s="32"/>
      <c r="B73" s="20"/>
      <c r="E73" s="44"/>
      <c r="F73" s="44"/>
      <c r="G73" s="44"/>
      <c r="H73" s="44"/>
      <c r="R73" s="3">
        <v>45898</v>
      </c>
      <c r="S73" s="58">
        <v>0.34652777777777777</v>
      </c>
      <c r="T73" s="58"/>
      <c r="U73" s="36">
        <f t="shared" ref="U73:U86" si="12">R73-$D$71</f>
        <v>4</v>
      </c>
      <c r="V73" s="36"/>
      <c r="W73" s="27">
        <v>37.229999999999997</v>
      </c>
      <c r="X73" s="27">
        <v>15.31</v>
      </c>
      <c r="Y73" s="27">
        <v>4.72</v>
      </c>
      <c r="Z73" s="27">
        <v>10.96</v>
      </c>
      <c r="AA73" s="27">
        <v>3.59</v>
      </c>
      <c r="AB73" s="27" t="s">
        <v>55</v>
      </c>
      <c r="AC73" s="27" t="s">
        <v>55</v>
      </c>
      <c r="AD73" s="27" t="s">
        <v>55</v>
      </c>
      <c r="AE73" s="27" t="s">
        <v>55</v>
      </c>
      <c r="AF73" s="27" t="s">
        <v>55</v>
      </c>
      <c r="AG73" s="27" t="s">
        <v>55</v>
      </c>
      <c r="AH73" s="27" t="s">
        <v>55</v>
      </c>
      <c r="AI73" s="27" t="s">
        <v>55</v>
      </c>
      <c r="AJ73" s="27" t="s">
        <v>55</v>
      </c>
      <c r="AK73" s="27" t="s">
        <v>55</v>
      </c>
      <c r="AL73" s="27" t="s">
        <v>55</v>
      </c>
      <c r="AM73" s="27" t="s">
        <v>55</v>
      </c>
      <c r="AN73" s="27" t="s">
        <v>55</v>
      </c>
      <c r="AO73" s="27" t="s">
        <v>55</v>
      </c>
      <c r="AP73" s="27" t="s">
        <v>55</v>
      </c>
      <c r="AQ73" s="27" t="s">
        <v>55</v>
      </c>
      <c r="AR73" s="27" t="s">
        <v>55</v>
      </c>
      <c r="AS73" s="27" t="s">
        <v>55</v>
      </c>
      <c r="AT73" s="2" t="s">
        <v>50</v>
      </c>
    </row>
    <row r="74" spans="1:61" s="2" customFormat="1" ht="60" customHeight="1" x14ac:dyDescent="0.35">
      <c r="A74" s="32"/>
      <c r="B74" s="20"/>
      <c r="E74" s="44"/>
      <c r="F74" s="44"/>
      <c r="G74" s="44"/>
      <c r="H74" s="44"/>
      <c r="R74" s="3">
        <v>45901</v>
      </c>
      <c r="S74" s="58">
        <v>0.34097222222222223</v>
      </c>
      <c r="T74" s="58"/>
      <c r="U74" s="36">
        <f t="shared" si="12"/>
        <v>7</v>
      </c>
      <c r="V74" s="36"/>
      <c r="W74" s="27">
        <v>23.71</v>
      </c>
      <c r="X74" s="27">
        <v>12.43</v>
      </c>
      <c r="Y74" s="27">
        <v>3.06</v>
      </c>
      <c r="Z74" s="27">
        <v>10.94</v>
      </c>
      <c r="AA74" s="27">
        <v>15.52</v>
      </c>
      <c r="AB74" s="27" t="s">
        <v>81</v>
      </c>
      <c r="AC74" s="27" t="s">
        <v>82</v>
      </c>
      <c r="AD74" s="27">
        <v>7</v>
      </c>
      <c r="AE74" s="27" t="s">
        <v>55</v>
      </c>
      <c r="AF74" s="27" t="s">
        <v>55</v>
      </c>
      <c r="AG74" s="27" t="s">
        <v>55</v>
      </c>
      <c r="AH74" s="27" t="s">
        <v>55</v>
      </c>
      <c r="AI74" s="27" t="s">
        <v>55</v>
      </c>
      <c r="AJ74" s="27" t="s">
        <v>55</v>
      </c>
      <c r="AK74" s="27" t="s">
        <v>55</v>
      </c>
      <c r="AL74" s="27" t="s">
        <v>55</v>
      </c>
      <c r="AM74" s="27" t="s">
        <v>55</v>
      </c>
      <c r="AN74" s="27" t="s">
        <v>55</v>
      </c>
      <c r="AO74" s="27" t="s">
        <v>55</v>
      </c>
      <c r="AP74" s="27" t="s">
        <v>55</v>
      </c>
      <c r="AQ74" s="27" t="s">
        <v>55</v>
      </c>
      <c r="AR74" s="27" t="s">
        <v>55</v>
      </c>
      <c r="AS74" s="27" t="s">
        <v>55</v>
      </c>
      <c r="AT74" s="2" t="s">
        <v>52</v>
      </c>
      <c r="AU74" s="2">
        <v>1</v>
      </c>
      <c r="AV74" s="2">
        <v>3.87</v>
      </c>
      <c r="AW74" s="2">
        <v>0</v>
      </c>
      <c r="AX74" s="2">
        <v>1.15471821655779E+19</v>
      </c>
      <c r="AZ74" s="2">
        <v>40.06</v>
      </c>
      <c r="BA74" s="2">
        <v>10.29</v>
      </c>
      <c r="BB74" s="2">
        <v>9.2100000000000009</v>
      </c>
      <c r="BC74" s="2">
        <v>0.89</v>
      </c>
      <c r="BD74" s="2">
        <v>0.64</v>
      </c>
      <c r="BE74" s="2">
        <v>0</v>
      </c>
      <c r="BF74" s="2">
        <v>0.04</v>
      </c>
      <c r="BG74" s="2">
        <v>24</v>
      </c>
      <c r="BH74" s="2">
        <v>65</v>
      </c>
    </row>
    <row r="75" spans="1:61" s="2" customFormat="1" ht="60" customHeight="1" x14ac:dyDescent="0.35">
      <c r="A75" s="32"/>
      <c r="B75" s="20"/>
      <c r="E75" s="44"/>
      <c r="F75" s="44"/>
      <c r="G75" s="44"/>
      <c r="H75" s="44"/>
      <c r="R75" s="3">
        <v>45903</v>
      </c>
      <c r="S75" s="58">
        <v>0.69097222222222221</v>
      </c>
      <c r="T75" s="58"/>
      <c r="U75" s="36">
        <f t="shared" si="12"/>
        <v>9</v>
      </c>
      <c r="V75" s="36"/>
      <c r="W75" s="27">
        <v>22.54</v>
      </c>
      <c r="X75" s="27">
        <v>10.85</v>
      </c>
      <c r="Y75" s="27">
        <v>3.04</v>
      </c>
      <c r="Z75" s="27">
        <v>10.72</v>
      </c>
      <c r="AA75" s="27">
        <v>6.47</v>
      </c>
      <c r="AB75" s="27" t="s">
        <v>93</v>
      </c>
      <c r="AC75" s="27" t="s">
        <v>92</v>
      </c>
      <c r="AD75" s="27">
        <v>7</v>
      </c>
      <c r="AE75" s="27" t="s">
        <v>55</v>
      </c>
      <c r="AF75" s="27" t="s">
        <v>55</v>
      </c>
      <c r="AG75" s="27" t="s">
        <v>55</v>
      </c>
      <c r="AH75" s="27" t="s">
        <v>55</v>
      </c>
      <c r="AI75" s="27" t="s">
        <v>55</v>
      </c>
      <c r="AJ75" s="27" t="s">
        <v>55</v>
      </c>
      <c r="AK75" s="27" t="s">
        <v>55</v>
      </c>
      <c r="AL75" s="27" t="s">
        <v>55</v>
      </c>
      <c r="AM75" s="27" t="s">
        <v>55</v>
      </c>
      <c r="AN75" s="27" t="s">
        <v>55</v>
      </c>
      <c r="AO75" s="27" t="s">
        <v>55</v>
      </c>
      <c r="AP75" s="27" t="s">
        <v>55</v>
      </c>
      <c r="AQ75" s="27" t="s">
        <v>55</v>
      </c>
      <c r="AR75" s="27" t="s">
        <v>55</v>
      </c>
      <c r="AS75" s="27" t="s">
        <v>55</v>
      </c>
      <c r="AT75" s="2" t="s">
        <v>52</v>
      </c>
      <c r="AU75" s="2">
        <v>1</v>
      </c>
      <c r="AV75" s="2">
        <v>3.52</v>
      </c>
      <c r="AW75" s="2">
        <v>0</v>
      </c>
      <c r="AX75" s="2">
        <v>1.6932503257006201E+19</v>
      </c>
      <c r="AZ75" s="2">
        <v>58.75</v>
      </c>
      <c r="BA75" s="2">
        <v>16.64</v>
      </c>
      <c r="BB75" s="2">
        <v>23.62</v>
      </c>
      <c r="BC75" s="2">
        <v>1.415</v>
      </c>
      <c r="BD75" s="2">
        <v>1.38</v>
      </c>
      <c r="BE75" s="2">
        <v>0</v>
      </c>
      <c r="BF75" s="2">
        <v>0.11</v>
      </c>
      <c r="BG75" s="2">
        <v>42</v>
      </c>
      <c r="BH75" s="2">
        <v>41</v>
      </c>
      <c r="BI75" s="2" t="s">
        <v>118</v>
      </c>
    </row>
    <row r="76" spans="1:61" s="2" customFormat="1" ht="60" customHeight="1" x14ac:dyDescent="0.35">
      <c r="A76" s="32"/>
      <c r="B76" s="20"/>
      <c r="E76" s="44"/>
      <c r="F76" s="44"/>
      <c r="G76" s="44"/>
      <c r="H76" s="44"/>
      <c r="R76" s="3">
        <v>45905</v>
      </c>
      <c r="S76" s="58">
        <v>0.36527777777777776</v>
      </c>
      <c r="T76" s="58"/>
      <c r="U76" s="36">
        <f t="shared" si="12"/>
        <v>11</v>
      </c>
      <c r="V76" s="36"/>
      <c r="W76" s="27">
        <v>25.78</v>
      </c>
      <c r="X76" s="27">
        <v>14.2</v>
      </c>
      <c r="Y76" s="27">
        <v>3.81</v>
      </c>
      <c r="Z76" s="27">
        <v>11.6</v>
      </c>
      <c r="AA76" s="27">
        <v>14.87</v>
      </c>
      <c r="AB76" s="27" t="s">
        <v>55</v>
      </c>
      <c r="AC76" s="27" t="s">
        <v>117</v>
      </c>
      <c r="AD76" s="27">
        <v>7</v>
      </c>
      <c r="AE76" s="27" t="s">
        <v>55</v>
      </c>
      <c r="AF76" s="27" t="s">
        <v>55</v>
      </c>
      <c r="AG76" s="27" t="s">
        <v>55</v>
      </c>
      <c r="AH76" s="27" t="s">
        <v>55</v>
      </c>
      <c r="AI76" s="27" t="s">
        <v>55</v>
      </c>
      <c r="AJ76" s="27" t="s">
        <v>55</v>
      </c>
      <c r="AK76" s="27" t="s">
        <v>55</v>
      </c>
      <c r="AL76" s="27" t="s">
        <v>55</v>
      </c>
      <c r="AM76" s="27" t="s">
        <v>55</v>
      </c>
      <c r="AN76" s="27" t="s">
        <v>55</v>
      </c>
      <c r="AO76" s="27" t="s">
        <v>55</v>
      </c>
      <c r="AP76" s="27" t="s">
        <v>55</v>
      </c>
      <c r="AQ76" s="27" t="s">
        <v>55</v>
      </c>
      <c r="AR76" s="27" t="s">
        <v>55</v>
      </c>
      <c r="AS76" s="27" t="s">
        <v>55</v>
      </c>
      <c r="AT76" s="2" t="s">
        <v>52</v>
      </c>
      <c r="AU76" s="2">
        <v>1</v>
      </c>
      <c r="AV76" s="2">
        <v>3.08</v>
      </c>
      <c r="AW76" s="2">
        <v>0</v>
      </c>
      <c r="AX76" s="2" t="s">
        <v>89</v>
      </c>
      <c r="AZ76" s="2">
        <v>32.06</v>
      </c>
      <c r="BA76" s="2">
        <v>10.35</v>
      </c>
      <c r="BB76" s="2">
        <v>7.35</v>
      </c>
      <c r="BC76" s="2">
        <v>0.70499999999999996</v>
      </c>
      <c r="BD76" s="2">
        <v>0.41</v>
      </c>
      <c r="BE76" s="2">
        <v>0</v>
      </c>
      <c r="BF76" s="2">
        <v>0.04</v>
      </c>
      <c r="BG76" s="2">
        <v>32</v>
      </c>
      <c r="BH76" s="2">
        <v>80</v>
      </c>
      <c r="BI76" s="2" t="s">
        <v>118</v>
      </c>
    </row>
    <row r="77" spans="1:61" s="2" customFormat="1" ht="60" customHeight="1" x14ac:dyDescent="0.35">
      <c r="B77" s="20"/>
      <c r="E77" s="44"/>
      <c r="F77" s="44"/>
      <c r="G77" s="44"/>
      <c r="H77" s="44"/>
      <c r="R77" s="3">
        <v>45908</v>
      </c>
      <c r="S77" s="58">
        <v>0.35208333333333336</v>
      </c>
      <c r="T77" s="58"/>
      <c r="U77" s="36">
        <f t="shared" si="12"/>
        <v>14</v>
      </c>
      <c r="V77" s="36"/>
      <c r="W77" s="27">
        <v>22.71</v>
      </c>
      <c r="X77" s="27">
        <v>12.42</v>
      </c>
      <c r="Y77" s="27">
        <v>2.93</v>
      </c>
      <c r="Z77" s="27">
        <v>11.01</v>
      </c>
      <c r="AA77" s="27">
        <v>15.09</v>
      </c>
      <c r="AB77" s="27" t="s">
        <v>131</v>
      </c>
      <c r="AC77" s="27" t="s">
        <v>130</v>
      </c>
      <c r="AD77" s="27">
        <v>7</v>
      </c>
      <c r="AE77" s="27" t="s">
        <v>55</v>
      </c>
      <c r="AF77" s="27" t="s">
        <v>55</v>
      </c>
      <c r="AG77" s="27" t="s">
        <v>55</v>
      </c>
      <c r="AH77" s="27" t="s">
        <v>55</v>
      </c>
      <c r="AI77" s="27" t="s">
        <v>55</v>
      </c>
      <c r="AJ77" s="27" t="s">
        <v>55</v>
      </c>
      <c r="AK77" s="27" t="s">
        <v>55</v>
      </c>
      <c r="AL77" s="27" t="s">
        <v>55</v>
      </c>
      <c r="AM77" s="27" t="s">
        <v>55</v>
      </c>
      <c r="AN77" s="27" t="s">
        <v>55</v>
      </c>
      <c r="AO77" s="27" t="s">
        <v>55</v>
      </c>
      <c r="AP77" s="27" t="s">
        <v>55</v>
      </c>
      <c r="AQ77" s="27" t="s">
        <v>55</v>
      </c>
      <c r="AR77" s="27" t="s">
        <v>55</v>
      </c>
      <c r="AS77" s="27" t="s">
        <v>55</v>
      </c>
      <c r="AT77" s="2" t="s">
        <v>52</v>
      </c>
      <c r="AU77" s="2">
        <v>1</v>
      </c>
      <c r="AV77" s="2">
        <v>3.34</v>
      </c>
      <c r="AW77" s="2">
        <v>0</v>
      </c>
      <c r="AX77" s="2" t="s">
        <v>89</v>
      </c>
      <c r="AZ77" s="2">
        <v>36.130000000000003</v>
      </c>
      <c r="BA77" s="2">
        <v>10.74</v>
      </c>
      <c r="BB77" s="2">
        <v>9.1300000000000008</v>
      </c>
      <c r="BC77" s="2">
        <v>0.84499999999999997</v>
      </c>
      <c r="BD77" s="2">
        <v>0.52</v>
      </c>
      <c r="BE77" s="2">
        <v>0</v>
      </c>
      <c r="BF77" s="2">
        <v>0.05</v>
      </c>
      <c r="BG77" s="2">
        <v>46</v>
      </c>
      <c r="BH77" s="2">
        <v>68</v>
      </c>
      <c r="BI77" s="2" t="s">
        <v>118</v>
      </c>
    </row>
    <row r="78" spans="1:61" s="2" customFormat="1" ht="60" customHeight="1" x14ac:dyDescent="0.35">
      <c r="A78" s="32"/>
      <c r="B78" s="20"/>
      <c r="E78" s="44"/>
      <c r="F78" s="44"/>
      <c r="G78" s="44"/>
      <c r="H78" s="44"/>
      <c r="R78" s="3">
        <v>45910</v>
      </c>
      <c r="S78" s="58">
        <v>0.68125000000000002</v>
      </c>
      <c r="T78" s="58"/>
      <c r="U78" s="36">
        <f t="shared" si="12"/>
        <v>16</v>
      </c>
      <c r="V78" s="36"/>
      <c r="W78" s="27">
        <v>15.8</v>
      </c>
      <c r="X78" s="27">
        <v>8.35</v>
      </c>
      <c r="Y78" s="27">
        <v>1.92</v>
      </c>
      <c r="Z78" s="27">
        <v>7.99</v>
      </c>
      <c r="AA78" s="27">
        <v>10.07</v>
      </c>
      <c r="AB78" s="27" t="s">
        <v>134</v>
      </c>
      <c r="AC78" s="27" t="s">
        <v>135</v>
      </c>
      <c r="AD78" s="27">
        <v>7</v>
      </c>
      <c r="AE78" s="27" t="s">
        <v>55</v>
      </c>
      <c r="AF78" s="27" t="s">
        <v>55</v>
      </c>
      <c r="AG78" s="27" t="s">
        <v>55</v>
      </c>
      <c r="AH78" s="27" t="s">
        <v>55</v>
      </c>
      <c r="AI78" s="27" t="s">
        <v>55</v>
      </c>
      <c r="AJ78" s="27" t="s">
        <v>55</v>
      </c>
      <c r="AK78" s="27" t="s">
        <v>55</v>
      </c>
      <c r="AL78" s="27" t="s">
        <v>55</v>
      </c>
      <c r="AM78" s="27" t="s">
        <v>55</v>
      </c>
      <c r="AN78" s="27" t="s">
        <v>55</v>
      </c>
      <c r="AO78" s="27" t="s">
        <v>55</v>
      </c>
      <c r="AP78" s="27" t="s">
        <v>55</v>
      </c>
      <c r="AQ78" s="27" t="s">
        <v>55</v>
      </c>
      <c r="AR78" s="27" t="s">
        <v>55</v>
      </c>
      <c r="AS78" s="27" t="s">
        <v>55</v>
      </c>
      <c r="AT78" s="2" t="s">
        <v>52</v>
      </c>
      <c r="AU78" s="2">
        <v>1</v>
      </c>
      <c r="AV78" s="2">
        <v>6.71</v>
      </c>
      <c r="AW78" s="2">
        <v>0</v>
      </c>
      <c r="AX78" s="2" t="s">
        <v>89</v>
      </c>
      <c r="AZ78" s="2">
        <v>29.45</v>
      </c>
      <c r="BA78" s="2">
        <v>4.3600000000000003</v>
      </c>
      <c r="BB78" s="2">
        <v>3.64</v>
      </c>
      <c r="BC78" s="2">
        <v>0.83</v>
      </c>
      <c r="BD78" s="2">
        <v>0.35</v>
      </c>
      <c r="BE78" s="2">
        <v>0</v>
      </c>
      <c r="BF78" s="2">
        <v>0.01</v>
      </c>
      <c r="BG78" s="2">
        <v>56</v>
      </c>
      <c r="BH78" s="2">
        <v>69</v>
      </c>
      <c r="BI78" s="2" t="s">
        <v>118</v>
      </c>
    </row>
    <row r="79" spans="1:61" s="2" customFormat="1" ht="60" customHeight="1" x14ac:dyDescent="0.35">
      <c r="A79" s="32"/>
      <c r="B79" s="20"/>
      <c r="E79" s="44"/>
      <c r="F79" s="44"/>
      <c r="G79" s="44"/>
      <c r="H79" s="44"/>
      <c r="R79" s="3">
        <v>45912</v>
      </c>
      <c r="S79" s="58">
        <v>0.37847222222222221</v>
      </c>
      <c r="T79" s="58"/>
      <c r="U79" s="36">
        <f t="shared" si="12"/>
        <v>18</v>
      </c>
      <c r="V79" s="36"/>
      <c r="W79" s="27">
        <v>18.23</v>
      </c>
      <c r="X79" s="27">
        <v>11.63</v>
      </c>
      <c r="Y79" s="27">
        <v>2.14</v>
      </c>
      <c r="Z79" s="27">
        <v>8.75</v>
      </c>
      <c r="AA79" s="27">
        <v>5.46</v>
      </c>
      <c r="AB79" s="27" t="s">
        <v>153</v>
      </c>
      <c r="AC79" s="27" t="s">
        <v>154</v>
      </c>
      <c r="AD79" s="27">
        <v>7</v>
      </c>
      <c r="AE79" s="27" t="s">
        <v>55</v>
      </c>
      <c r="AF79" s="27" t="s">
        <v>55</v>
      </c>
      <c r="AG79" s="27" t="s">
        <v>55</v>
      </c>
      <c r="AH79" s="27" t="s">
        <v>55</v>
      </c>
      <c r="AI79" s="27" t="s">
        <v>55</v>
      </c>
      <c r="AJ79" s="27" t="s">
        <v>55</v>
      </c>
      <c r="AK79" s="27" t="s">
        <v>55</v>
      </c>
      <c r="AL79" s="27" t="s">
        <v>55</v>
      </c>
      <c r="AM79" s="27" t="s">
        <v>55</v>
      </c>
      <c r="AN79" s="27" t="s">
        <v>55</v>
      </c>
      <c r="AO79" s="27" t="s">
        <v>55</v>
      </c>
      <c r="AP79" s="27" t="s">
        <v>55</v>
      </c>
      <c r="AQ79" s="27" t="s">
        <v>55</v>
      </c>
      <c r="AR79" s="27" t="s">
        <v>55</v>
      </c>
      <c r="AS79" s="27" t="s">
        <v>55</v>
      </c>
      <c r="AT79" s="2" t="s">
        <v>52</v>
      </c>
      <c r="AU79" s="2">
        <v>1.1499999999999999</v>
      </c>
      <c r="AV79" s="2">
        <v>0.76</v>
      </c>
      <c r="AW79" s="2">
        <v>15.59</v>
      </c>
      <c r="AX79" s="2">
        <v>0.15</v>
      </c>
      <c r="AZ79" s="2">
        <v>-2.3199999999999998</v>
      </c>
      <c r="BA79" s="2">
        <v>21.13</v>
      </c>
      <c r="BB79" s="2">
        <v>1.06</v>
      </c>
      <c r="BC79" s="2">
        <v>4.4999999999999998E-2</v>
      </c>
      <c r="BD79" s="2">
        <v>0</v>
      </c>
      <c r="BE79" s="2">
        <v>0.1</v>
      </c>
      <c r="BF79" s="2">
        <v>0.18</v>
      </c>
      <c r="BG79" s="2">
        <v>38</v>
      </c>
      <c r="BH79" s="2" t="s">
        <v>158</v>
      </c>
      <c r="BI79" s="2" t="s">
        <v>152</v>
      </c>
    </row>
    <row r="80" spans="1:61" s="2" customFormat="1" ht="60" customHeight="1" x14ac:dyDescent="0.35">
      <c r="A80" s="32"/>
      <c r="B80" s="20"/>
      <c r="E80" s="44"/>
      <c r="F80" s="44"/>
      <c r="G80" s="44"/>
      <c r="H80" s="44"/>
      <c r="R80" s="3">
        <v>45915</v>
      </c>
      <c r="S80" s="58">
        <v>0.65416666666666667</v>
      </c>
      <c r="T80" s="58"/>
      <c r="U80" s="36">
        <f t="shared" si="12"/>
        <v>21</v>
      </c>
      <c r="V80" s="36"/>
      <c r="W80" s="27">
        <v>17.89</v>
      </c>
      <c r="X80" s="27">
        <v>10.87</v>
      </c>
      <c r="Y80" s="27">
        <v>16.82</v>
      </c>
      <c r="Z80" s="27">
        <v>1.33</v>
      </c>
      <c r="AA80" s="27">
        <v>9.2200000000000006</v>
      </c>
      <c r="AB80" s="27" t="s">
        <v>163</v>
      </c>
      <c r="AC80" s="27" t="s">
        <v>276</v>
      </c>
      <c r="AD80" s="27">
        <v>7</v>
      </c>
      <c r="AE80" s="27" t="s">
        <v>55</v>
      </c>
      <c r="AF80" s="27" t="s">
        <v>55</v>
      </c>
      <c r="AG80" s="27" t="s">
        <v>55</v>
      </c>
      <c r="AH80" s="27" t="s">
        <v>55</v>
      </c>
      <c r="AI80" s="27" t="s">
        <v>55</v>
      </c>
      <c r="AJ80" s="27" t="s">
        <v>55</v>
      </c>
      <c r="AK80" s="27" t="s">
        <v>55</v>
      </c>
      <c r="AL80" s="27" t="s">
        <v>55</v>
      </c>
      <c r="AM80" s="27" t="s">
        <v>55</v>
      </c>
      <c r="AN80" s="27" t="s">
        <v>55</v>
      </c>
      <c r="AO80" s="27" t="s">
        <v>55</v>
      </c>
      <c r="AP80" s="27" t="s">
        <v>55</v>
      </c>
      <c r="AQ80" s="27" t="s">
        <v>55</v>
      </c>
      <c r="AR80" s="27" t="s">
        <v>55</v>
      </c>
      <c r="AS80" s="27" t="s">
        <v>55</v>
      </c>
      <c r="AT80" s="2" t="s">
        <v>52</v>
      </c>
      <c r="AU80" s="2">
        <v>1</v>
      </c>
      <c r="AV80" s="2">
        <v>3.65</v>
      </c>
      <c r="AW80" s="2">
        <v>0</v>
      </c>
      <c r="AX80" s="2" t="s">
        <v>89</v>
      </c>
      <c r="AZ80" s="2">
        <v>26.21</v>
      </c>
      <c r="BA80" s="2">
        <v>7.11</v>
      </c>
      <c r="BB80" s="2">
        <v>3.84</v>
      </c>
      <c r="BC80" s="2">
        <v>0.53500000000000003</v>
      </c>
      <c r="BD80" s="2">
        <v>0.27</v>
      </c>
      <c r="BE80" s="2">
        <v>0</v>
      </c>
      <c r="BF80" s="2">
        <v>0.02</v>
      </c>
      <c r="BG80" s="2">
        <v>38</v>
      </c>
      <c r="BH80" s="2">
        <v>104</v>
      </c>
      <c r="BI80" s="2" t="s">
        <v>210</v>
      </c>
    </row>
    <row r="81" spans="1:61" s="2" customFormat="1" ht="60" customHeight="1" x14ac:dyDescent="0.35">
      <c r="A81" s="32"/>
      <c r="B81" s="20"/>
      <c r="E81" s="44"/>
      <c r="F81" s="44"/>
      <c r="G81" s="44"/>
      <c r="H81" s="44"/>
      <c r="R81" s="3">
        <v>45918</v>
      </c>
      <c r="S81" s="58">
        <v>0.83680555555555558</v>
      </c>
      <c r="T81" s="58"/>
      <c r="U81" s="36">
        <f t="shared" si="12"/>
        <v>24</v>
      </c>
      <c r="V81" s="36"/>
      <c r="W81" s="27">
        <v>12.84</v>
      </c>
      <c r="X81" s="27">
        <v>8.8699999999999992</v>
      </c>
      <c r="Y81" s="27">
        <v>0.96</v>
      </c>
      <c r="Z81" s="27">
        <v>6.07</v>
      </c>
      <c r="AA81" s="27">
        <v>1.43</v>
      </c>
      <c r="AB81" s="27" t="s">
        <v>492</v>
      </c>
      <c r="AC81" s="27" t="s">
        <v>82</v>
      </c>
      <c r="AD81" s="27">
        <v>7</v>
      </c>
      <c r="AE81" s="27" t="s">
        <v>55</v>
      </c>
      <c r="AF81" s="27" t="s">
        <v>55</v>
      </c>
      <c r="AG81" s="27" t="s">
        <v>55</v>
      </c>
      <c r="AH81" s="27" t="s">
        <v>55</v>
      </c>
      <c r="AI81" s="27" t="s">
        <v>55</v>
      </c>
      <c r="AJ81" s="27" t="s">
        <v>55</v>
      </c>
      <c r="AK81" s="27" t="s">
        <v>55</v>
      </c>
      <c r="AL81" s="27" t="s">
        <v>55</v>
      </c>
      <c r="AM81" s="27" t="s">
        <v>55</v>
      </c>
      <c r="AN81" s="27" t="s">
        <v>55</v>
      </c>
      <c r="AO81" s="27" t="s">
        <v>55</v>
      </c>
      <c r="AP81" s="27" t="s">
        <v>55</v>
      </c>
      <c r="AQ81" s="27" t="s">
        <v>55</v>
      </c>
      <c r="AR81" s="27" t="s">
        <v>55</v>
      </c>
      <c r="AS81" s="27" t="s">
        <v>55</v>
      </c>
      <c r="AT81" s="2" t="s">
        <v>52</v>
      </c>
      <c r="AU81" s="2">
        <v>1</v>
      </c>
      <c r="AV81" s="2">
        <v>3.2</v>
      </c>
      <c r="AW81" s="2">
        <v>0</v>
      </c>
      <c r="AX81" s="2" t="s">
        <v>89</v>
      </c>
      <c r="AZ81" s="2">
        <v>25.39</v>
      </c>
      <c r="BA81" s="2">
        <v>7.87</v>
      </c>
      <c r="BB81" s="2">
        <v>4.17</v>
      </c>
      <c r="BC81" s="2">
        <v>0.52500000000000002</v>
      </c>
      <c r="BD81" s="2">
        <v>0.26</v>
      </c>
      <c r="BE81" s="2">
        <v>0</v>
      </c>
      <c r="BF81" s="2">
        <v>0.02</v>
      </c>
      <c r="BG81" s="2">
        <v>48</v>
      </c>
      <c r="BH81" s="2">
        <v>103</v>
      </c>
    </row>
    <row r="82" spans="1:61" s="2" customFormat="1" ht="60" customHeight="1" x14ac:dyDescent="0.35">
      <c r="A82" s="32"/>
      <c r="B82" s="20"/>
      <c r="E82" s="44"/>
      <c r="F82" s="44"/>
      <c r="G82" s="44"/>
      <c r="H82" s="44"/>
      <c r="P82" s="2">
        <v>2.5</v>
      </c>
      <c r="R82" s="3">
        <v>45922</v>
      </c>
      <c r="S82" s="58">
        <v>0.3840277777777778</v>
      </c>
      <c r="T82" s="58"/>
      <c r="U82" s="36">
        <f t="shared" si="12"/>
        <v>28</v>
      </c>
      <c r="V82" s="36"/>
      <c r="W82" s="27">
        <v>9.34</v>
      </c>
      <c r="X82" s="27">
        <v>5.43</v>
      </c>
      <c r="Y82" s="27">
        <v>2.4700000000000002</v>
      </c>
      <c r="Z82" s="27">
        <v>2.94</v>
      </c>
      <c r="AA82" s="27">
        <v>1.62</v>
      </c>
      <c r="AB82" s="27" t="s">
        <v>111</v>
      </c>
      <c r="AC82" s="27" t="s">
        <v>206</v>
      </c>
      <c r="AD82" s="27">
        <v>7</v>
      </c>
      <c r="AE82" s="27" t="s">
        <v>55</v>
      </c>
      <c r="AF82" s="27" t="s">
        <v>55</v>
      </c>
      <c r="AG82" s="27" t="s">
        <v>55</v>
      </c>
      <c r="AH82" s="27" t="s">
        <v>55</v>
      </c>
      <c r="AI82" s="27" t="s">
        <v>55</v>
      </c>
      <c r="AJ82" s="27" t="s">
        <v>55</v>
      </c>
      <c r="AK82" s="27" t="s">
        <v>55</v>
      </c>
      <c r="AL82" s="27" t="s">
        <v>55</v>
      </c>
      <c r="AM82" s="27" t="s">
        <v>55</v>
      </c>
      <c r="AN82" s="27" t="s">
        <v>55</v>
      </c>
      <c r="AO82" s="27" t="s">
        <v>55</v>
      </c>
      <c r="AP82" s="27" t="s">
        <v>55</v>
      </c>
      <c r="AQ82" s="27" t="s">
        <v>55</v>
      </c>
      <c r="AR82" s="27" t="s">
        <v>55</v>
      </c>
      <c r="AS82" s="27" t="s">
        <v>55</v>
      </c>
      <c r="AT82" s="2" t="s">
        <v>52</v>
      </c>
      <c r="AU82" s="2">
        <v>1</v>
      </c>
      <c r="AV82" s="2">
        <v>3.5</v>
      </c>
      <c r="AW82" s="2">
        <v>0</v>
      </c>
      <c r="AX82" s="2">
        <v>7.30024098772339E+18</v>
      </c>
      <c r="AZ82" s="2">
        <v>25.33</v>
      </c>
      <c r="BA82" s="2">
        <v>7.17</v>
      </c>
      <c r="BB82" s="2">
        <v>4.2699999999999996</v>
      </c>
      <c r="BC82" s="2">
        <v>0.59</v>
      </c>
      <c r="BD82" s="2">
        <v>0.26</v>
      </c>
      <c r="BE82" s="2">
        <v>0</v>
      </c>
      <c r="BF82" s="2">
        <v>0.02</v>
      </c>
      <c r="BG82" s="2">
        <v>42</v>
      </c>
      <c r="BH82" s="2">
        <v>95</v>
      </c>
    </row>
    <row r="83" spans="1:61" s="2" customFormat="1" ht="60" customHeight="1" x14ac:dyDescent="0.35">
      <c r="A83" s="32"/>
      <c r="B83" s="20"/>
      <c r="E83" s="44"/>
      <c r="F83" s="44"/>
      <c r="G83" s="44"/>
      <c r="H83" s="44"/>
      <c r="P83" s="2">
        <v>2.5</v>
      </c>
      <c r="R83" s="3">
        <v>45925</v>
      </c>
      <c r="S83" s="58">
        <v>0.79236111111111107</v>
      </c>
      <c r="T83" s="58"/>
      <c r="U83" s="36">
        <f t="shared" si="12"/>
        <v>31</v>
      </c>
      <c r="V83" s="36"/>
      <c r="W83" s="27">
        <v>14.96</v>
      </c>
      <c r="X83" s="27">
        <v>9.39</v>
      </c>
      <c r="Y83" s="27">
        <v>2.74</v>
      </c>
      <c r="Z83" s="27">
        <v>6.39</v>
      </c>
      <c r="AA83" s="27">
        <v>3.5</v>
      </c>
      <c r="AB83" s="27" t="s">
        <v>184</v>
      </c>
      <c r="AC83" s="27" t="s">
        <v>137</v>
      </c>
      <c r="AD83" s="27">
        <v>7</v>
      </c>
      <c r="AE83" s="27" t="s">
        <v>55</v>
      </c>
      <c r="AF83" s="27" t="s">
        <v>55</v>
      </c>
      <c r="AG83" s="27" t="s">
        <v>55</v>
      </c>
      <c r="AH83" s="27" t="s">
        <v>55</v>
      </c>
      <c r="AI83" s="27" t="s">
        <v>55</v>
      </c>
      <c r="AJ83" s="27" t="s">
        <v>55</v>
      </c>
      <c r="AK83" s="27" t="s">
        <v>55</v>
      </c>
      <c r="AL83" s="27" t="s">
        <v>55</v>
      </c>
      <c r="AM83" s="27" t="s">
        <v>55</v>
      </c>
      <c r="AN83" s="27" t="s">
        <v>55</v>
      </c>
      <c r="AO83" s="27" t="s">
        <v>55</v>
      </c>
      <c r="AP83" s="27" t="s">
        <v>55</v>
      </c>
      <c r="AQ83" s="27" t="s">
        <v>55</v>
      </c>
      <c r="AR83" s="27" t="s">
        <v>55</v>
      </c>
      <c r="AS83" s="27" t="s">
        <v>55</v>
      </c>
      <c r="AT83" s="2" t="s">
        <v>50</v>
      </c>
    </row>
    <row r="84" spans="1:61" s="2" customFormat="1" ht="60" customHeight="1" x14ac:dyDescent="0.35">
      <c r="A84" s="32"/>
      <c r="B84" s="20"/>
      <c r="E84" s="44"/>
      <c r="F84" s="44"/>
      <c r="G84" s="44"/>
      <c r="H84" s="44"/>
      <c r="P84" s="2">
        <v>2.5</v>
      </c>
      <c r="R84" s="3">
        <v>45930</v>
      </c>
      <c r="S84" s="61">
        <v>45930.740277777775</v>
      </c>
      <c r="T84" s="58"/>
      <c r="U84" s="36">
        <f t="shared" si="12"/>
        <v>36</v>
      </c>
      <c r="V84" s="36"/>
      <c r="W84" s="27">
        <v>14.39</v>
      </c>
      <c r="X84" s="27">
        <v>10.18</v>
      </c>
      <c r="Y84" s="27">
        <v>1.33</v>
      </c>
      <c r="Z84" s="27">
        <v>9.0299999999999994</v>
      </c>
      <c r="AA84" s="27">
        <v>2.88</v>
      </c>
      <c r="AB84" s="27" t="s">
        <v>186</v>
      </c>
      <c r="AC84" s="27" t="s">
        <v>253</v>
      </c>
      <c r="AD84" s="27">
        <v>7</v>
      </c>
      <c r="AE84" s="27" t="s">
        <v>55</v>
      </c>
      <c r="AF84" s="27" t="s">
        <v>55</v>
      </c>
      <c r="AG84" s="27" t="s">
        <v>55</v>
      </c>
      <c r="AH84" s="27" t="s">
        <v>55</v>
      </c>
      <c r="AI84" s="27" t="s">
        <v>55</v>
      </c>
      <c r="AJ84" s="27" t="s">
        <v>55</v>
      </c>
      <c r="AK84" s="27" t="s">
        <v>55</v>
      </c>
      <c r="AL84" s="27" t="s">
        <v>55</v>
      </c>
      <c r="AM84" s="27" t="s">
        <v>55</v>
      </c>
      <c r="AN84" s="27" t="s">
        <v>55</v>
      </c>
      <c r="AO84" s="27" t="s">
        <v>55</v>
      </c>
      <c r="AP84" s="27" t="s">
        <v>55</v>
      </c>
      <c r="AQ84" s="27" t="s">
        <v>55</v>
      </c>
      <c r="AR84" s="27" t="s">
        <v>55</v>
      </c>
      <c r="AS84" s="27" t="s">
        <v>55</v>
      </c>
      <c r="AT84" s="2" t="s">
        <v>50</v>
      </c>
    </row>
    <row r="85" spans="1:61" s="2" customFormat="1" ht="60" customHeight="1" x14ac:dyDescent="0.35">
      <c r="A85" s="32"/>
      <c r="B85" s="20"/>
      <c r="E85" s="44"/>
      <c r="F85" s="44"/>
      <c r="G85" s="44"/>
      <c r="H85" s="44"/>
      <c r="P85" s="2">
        <v>2.5</v>
      </c>
      <c r="R85" s="3">
        <v>45936</v>
      </c>
      <c r="S85" s="61">
        <v>45936.700694444444</v>
      </c>
      <c r="T85" s="2">
        <f>S85-S84</f>
        <v>5.9604166666686069</v>
      </c>
      <c r="U85" s="36">
        <f t="shared" si="12"/>
        <v>42</v>
      </c>
      <c r="V85" s="36"/>
      <c r="W85" s="27">
        <v>12.4</v>
      </c>
      <c r="X85" s="27">
        <v>5.22</v>
      </c>
      <c r="Y85" s="27">
        <v>1.47</v>
      </c>
      <c r="Z85" s="27">
        <v>3.62</v>
      </c>
      <c r="AA85" s="27">
        <v>0.53</v>
      </c>
      <c r="AB85" s="37" t="s">
        <v>273</v>
      </c>
      <c r="AC85" s="37" t="s">
        <v>493</v>
      </c>
      <c r="AD85" s="27">
        <v>7</v>
      </c>
      <c r="AE85" s="62">
        <f>$S$84+($T$85/2)</f>
        <v>45933.720486111109</v>
      </c>
      <c r="AF85" s="27">
        <f>$U$84+($T$85/2)</f>
        <v>38.980208333334303</v>
      </c>
      <c r="AG85" s="37" t="s">
        <v>291</v>
      </c>
      <c r="AH85" s="37">
        <v>113.53</v>
      </c>
      <c r="AI85" s="37">
        <v>27.95</v>
      </c>
      <c r="AJ85" s="37">
        <f>AH85-AI85</f>
        <v>85.58</v>
      </c>
      <c r="AK85" s="27" t="s">
        <v>55</v>
      </c>
      <c r="AL85" s="27" t="s">
        <v>55</v>
      </c>
      <c r="AM85" s="27" t="s">
        <v>55</v>
      </c>
      <c r="AN85" s="37">
        <v>60.43</v>
      </c>
      <c r="AO85" s="37">
        <v>6.37</v>
      </c>
      <c r="AP85" s="37">
        <f>AN85-AO85</f>
        <v>54.06</v>
      </c>
      <c r="AQ85" s="27" t="s">
        <v>55</v>
      </c>
      <c r="AR85" s="27" t="s">
        <v>55</v>
      </c>
      <c r="AS85" s="27" t="s">
        <v>55</v>
      </c>
      <c r="AT85" s="2" t="s">
        <v>52</v>
      </c>
      <c r="AU85" s="2">
        <v>1</v>
      </c>
      <c r="AV85" s="2">
        <v>3.59</v>
      </c>
      <c r="AW85" s="2">
        <v>0</v>
      </c>
      <c r="AX85" s="2" t="s">
        <v>89</v>
      </c>
      <c r="AZ85" s="2">
        <v>34.39</v>
      </c>
      <c r="BA85" s="2">
        <v>9.5299999999999994</v>
      </c>
      <c r="BB85" s="2">
        <v>7.43</v>
      </c>
      <c r="BC85" s="2">
        <v>0.77500000000000002</v>
      </c>
      <c r="BD85" s="2">
        <v>0.47</v>
      </c>
      <c r="BE85" s="2">
        <v>0</v>
      </c>
      <c r="BF85" s="2">
        <v>0.04</v>
      </c>
      <c r="BG85" s="2">
        <v>52</v>
      </c>
      <c r="BH85" s="2">
        <v>74</v>
      </c>
    </row>
    <row r="86" spans="1:61" s="2" customFormat="1" ht="60" customHeight="1" x14ac:dyDescent="0.35">
      <c r="A86" s="32"/>
      <c r="B86" s="20"/>
      <c r="E86" s="44"/>
      <c r="F86" s="44"/>
      <c r="G86" s="44"/>
      <c r="H86" s="44"/>
      <c r="P86" s="2">
        <v>2.25</v>
      </c>
      <c r="R86" s="3">
        <v>45939</v>
      </c>
      <c r="S86" s="58">
        <v>0.35138888888888886</v>
      </c>
      <c r="T86" s="58"/>
      <c r="U86" s="36">
        <f t="shared" si="12"/>
        <v>45</v>
      </c>
      <c r="V86" s="36"/>
      <c r="W86" s="27">
        <v>13.82</v>
      </c>
      <c r="X86" s="27">
        <v>7.1</v>
      </c>
      <c r="Y86" s="27">
        <v>0.99</v>
      </c>
      <c r="Z86" s="27">
        <v>4.71</v>
      </c>
      <c r="AA86" s="27">
        <v>1.18</v>
      </c>
      <c r="AB86" s="37" t="s">
        <v>494</v>
      </c>
      <c r="AC86" s="27" t="s">
        <v>302</v>
      </c>
      <c r="AD86" s="27">
        <v>7</v>
      </c>
      <c r="AE86" s="62">
        <f>$S$84+($T$85/2)</f>
        <v>45933.720486111109</v>
      </c>
      <c r="AF86" s="27">
        <f>$U$84+($T$85/2)</f>
        <v>38.980208333334303</v>
      </c>
      <c r="AG86" s="37" t="s">
        <v>303</v>
      </c>
      <c r="AH86" s="37">
        <v>86.21</v>
      </c>
      <c r="AI86" s="37">
        <v>16.11</v>
      </c>
      <c r="AJ86" s="37">
        <f>AH86-AI86</f>
        <v>70.099999999999994</v>
      </c>
      <c r="AK86" s="27" t="s">
        <v>55</v>
      </c>
      <c r="AL86" s="27" t="s">
        <v>55</v>
      </c>
      <c r="AM86" s="27" t="s">
        <v>55</v>
      </c>
      <c r="AN86" s="37">
        <v>56.03</v>
      </c>
      <c r="AO86" s="37">
        <v>0</v>
      </c>
      <c r="AP86" s="37">
        <f>AN86-AO86</f>
        <v>56.03</v>
      </c>
      <c r="AQ86" s="27" t="s">
        <v>55</v>
      </c>
      <c r="AR86" s="27" t="s">
        <v>55</v>
      </c>
      <c r="AS86" s="27" t="s">
        <v>55</v>
      </c>
      <c r="AT86" s="2" t="s">
        <v>50</v>
      </c>
    </row>
    <row r="87" spans="1:61" s="2" customFormat="1" ht="60" customHeight="1" x14ac:dyDescent="0.35">
      <c r="A87" s="32"/>
      <c r="B87" s="20"/>
      <c r="E87" s="44"/>
      <c r="F87" s="44"/>
      <c r="G87" s="44"/>
      <c r="H87" s="44"/>
      <c r="R87" s="3"/>
      <c r="S87" s="3"/>
      <c r="T87" s="3"/>
      <c r="U87" s="36"/>
      <c r="V87" s="36"/>
      <c r="W87" s="27"/>
      <c r="X87" s="27"/>
      <c r="Y87" s="27"/>
      <c r="Z87" s="27"/>
      <c r="AA87" s="27"/>
      <c r="AB87" s="27"/>
      <c r="AC87" s="27"/>
      <c r="AD87" s="27"/>
      <c r="AE87" s="45"/>
      <c r="AF87" s="2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</row>
    <row r="88" spans="1:61" s="2" customFormat="1" ht="60" customHeight="1" x14ac:dyDescent="0.35">
      <c r="A88" s="32"/>
      <c r="B88" s="20"/>
      <c r="E88" s="44"/>
      <c r="F88" s="44"/>
      <c r="G88" s="44"/>
      <c r="H88" s="44"/>
      <c r="R88" s="3"/>
      <c r="S88" s="3"/>
      <c r="T88" s="3"/>
      <c r="U88" s="36"/>
      <c r="V88" s="36"/>
      <c r="W88" s="27"/>
      <c r="X88" s="27"/>
      <c r="Y88" s="27"/>
      <c r="Z88" s="27"/>
      <c r="AA88" s="27"/>
      <c r="AB88" s="27"/>
      <c r="AC88" s="27"/>
      <c r="AD88" s="27"/>
      <c r="AE88" s="45"/>
      <c r="AF88" s="2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</row>
    <row r="89" spans="1:61" s="2" customFormat="1" ht="60" customHeight="1" x14ac:dyDescent="0.35">
      <c r="A89" s="32">
        <v>6</v>
      </c>
      <c r="B89" s="57" t="s">
        <v>77</v>
      </c>
      <c r="C89" s="3">
        <v>43435</v>
      </c>
      <c r="D89" s="3">
        <v>45898</v>
      </c>
      <c r="E89" s="44">
        <f t="shared" si="1"/>
        <v>2463</v>
      </c>
      <c r="F89" s="44">
        <f>E89/30</f>
        <v>82.1</v>
      </c>
      <c r="G89" s="44">
        <f t="shared" si="2"/>
        <v>6.7479452054794518</v>
      </c>
      <c r="H89" s="44">
        <f t="shared" si="3"/>
        <v>9.5124999999999993</v>
      </c>
      <c r="I89" s="2" t="s">
        <v>10</v>
      </c>
      <c r="J89" s="2">
        <v>3.43</v>
      </c>
      <c r="K89" s="2">
        <v>4115</v>
      </c>
      <c r="L89" s="2" t="s">
        <v>11</v>
      </c>
      <c r="M89" s="2">
        <v>3.54</v>
      </c>
      <c r="N89" s="2">
        <v>4116</v>
      </c>
      <c r="O89" s="41" t="s">
        <v>76</v>
      </c>
      <c r="P89" s="41"/>
      <c r="Q89" s="41" t="s">
        <v>147</v>
      </c>
      <c r="R89" s="3">
        <v>45901</v>
      </c>
      <c r="S89" s="58">
        <v>0.33541666666666664</v>
      </c>
      <c r="T89" s="58"/>
      <c r="U89" s="2">
        <f t="shared" ref="U89:U102" si="13">R89-$D$89</f>
        <v>3</v>
      </c>
      <c r="V89" s="17">
        <f>R100-D89</f>
        <v>38</v>
      </c>
      <c r="W89" s="27" t="s">
        <v>80</v>
      </c>
      <c r="X89" s="27">
        <v>26.23</v>
      </c>
      <c r="Y89" s="27">
        <v>4.8499999999999996</v>
      </c>
      <c r="Z89" s="27">
        <v>23.55</v>
      </c>
      <c r="AA89" s="27">
        <v>19.260000000000002</v>
      </c>
      <c r="AB89" s="27" t="s">
        <v>55</v>
      </c>
      <c r="AC89" s="27" t="s">
        <v>55</v>
      </c>
      <c r="AD89" s="27" t="s">
        <v>55</v>
      </c>
      <c r="AE89" s="27" t="s">
        <v>55</v>
      </c>
      <c r="AF89" s="27" t="s">
        <v>55</v>
      </c>
      <c r="AG89" s="27" t="s">
        <v>55</v>
      </c>
      <c r="AH89" s="27" t="s">
        <v>55</v>
      </c>
      <c r="AI89" s="27" t="s">
        <v>55</v>
      </c>
      <c r="AJ89" s="27" t="s">
        <v>55</v>
      </c>
      <c r="AK89" s="27" t="s">
        <v>55</v>
      </c>
      <c r="AL89" s="27" t="s">
        <v>55</v>
      </c>
      <c r="AM89" s="27" t="s">
        <v>55</v>
      </c>
      <c r="AN89" s="27" t="s">
        <v>55</v>
      </c>
      <c r="AO89" s="27" t="s">
        <v>55</v>
      </c>
      <c r="AP89" s="27" t="s">
        <v>55</v>
      </c>
      <c r="AQ89" s="27" t="s">
        <v>55</v>
      </c>
      <c r="AR89" s="27" t="s">
        <v>55</v>
      </c>
      <c r="AS89" s="27" t="s">
        <v>55</v>
      </c>
      <c r="AT89" s="2" t="s">
        <v>52</v>
      </c>
      <c r="AU89" s="2">
        <v>0.72</v>
      </c>
      <c r="AV89" s="2">
        <v>1.1299999999999999</v>
      </c>
      <c r="AW89" s="2">
        <v>10.82</v>
      </c>
      <c r="AX89" s="2">
        <v>3.59</v>
      </c>
      <c r="AZ89" s="2">
        <v>38.81</v>
      </c>
      <c r="BA89" s="2">
        <v>24.34</v>
      </c>
      <c r="BB89" s="2">
        <v>5.96</v>
      </c>
      <c r="BC89" s="2">
        <v>0.24</v>
      </c>
      <c r="BD89" s="2">
        <v>0.6</v>
      </c>
      <c r="BE89" s="2">
        <v>0.05</v>
      </c>
      <c r="BF89" s="2">
        <v>0.24</v>
      </c>
      <c r="BG89" s="2">
        <v>8</v>
      </c>
      <c r="BH89" s="2">
        <v>135</v>
      </c>
    </row>
    <row r="90" spans="1:61" s="2" customFormat="1" ht="60" customHeight="1" x14ac:dyDescent="0.35">
      <c r="A90" s="32"/>
      <c r="B90" s="59"/>
      <c r="E90" s="44"/>
      <c r="F90" s="44"/>
      <c r="G90" s="44"/>
      <c r="H90" s="44"/>
      <c r="R90" s="3">
        <v>45903</v>
      </c>
      <c r="S90" s="58">
        <v>0.70347222222222228</v>
      </c>
      <c r="T90" s="58"/>
      <c r="U90" s="2">
        <f t="shared" si="13"/>
        <v>5</v>
      </c>
      <c r="W90" s="27" t="s">
        <v>94</v>
      </c>
      <c r="X90" s="27" t="s">
        <v>95</v>
      </c>
      <c r="Y90" s="27" t="s">
        <v>96</v>
      </c>
      <c r="Z90" s="27" t="s">
        <v>97</v>
      </c>
      <c r="AA90" s="37" t="s">
        <v>120</v>
      </c>
      <c r="AB90" s="27" t="s">
        <v>55</v>
      </c>
      <c r="AC90" s="27" t="s">
        <v>55</v>
      </c>
      <c r="AD90" s="27" t="s">
        <v>55</v>
      </c>
      <c r="AE90" s="27" t="s">
        <v>55</v>
      </c>
      <c r="AF90" s="27" t="s">
        <v>55</v>
      </c>
      <c r="AG90" s="27" t="s">
        <v>55</v>
      </c>
      <c r="AH90" s="27" t="s">
        <v>55</v>
      </c>
      <c r="AI90" s="27" t="s">
        <v>55</v>
      </c>
      <c r="AJ90" s="27" t="s">
        <v>55</v>
      </c>
      <c r="AK90" s="27" t="s">
        <v>55</v>
      </c>
      <c r="AL90" s="27" t="s">
        <v>55</v>
      </c>
      <c r="AM90" s="27" t="s">
        <v>55</v>
      </c>
      <c r="AN90" s="27" t="s">
        <v>55</v>
      </c>
      <c r="AO90" s="27" t="s">
        <v>55</v>
      </c>
      <c r="AP90" s="27" t="s">
        <v>55</v>
      </c>
      <c r="AQ90" s="27" t="s">
        <v>55</v>
      </c>
      <c r="AR90" s="27" t="s">
        <v>55</v>
      </c>
      <c r="AS90" s="27" t="s">
        <v>55</v>
      </c>
      <c r="AT90" s="2" t="s">
        <v>52</v>
      </c>
      <c r="AU90" s="2">
        <v>0.66</v>
      </c>
      <c r="AV90" s="2">
        <v>1.6</v>
      </c>
      <c r="AW90" s="2">
        <v>15.12</v>
      </c>
      <c r="AX90" s="2">
        <v>2.98</v>
      </c>
      <c r="AZ90" s="2">
        <v>45.08</v>
      </c>
      <c r="BA90" s="2">
        <v>18.54</v>
      </c>
      <c r="BB90" s="2">
        <v>8.5299999999999994</v>
      </c>
      <c r="BC90" s="2">
        <v>0.45500000000000002</v>
      </c>
      <c r="BD90" s="2">
        <v>0.81</v>
      </c>
      <c r="BE90" s="2">
        <v>0.09</v>
      </c>
      <c r="BF90" s="2">
        <v>0.14000000000000001</v>
      </c>
      <c r="BG90" s="2">
        <v>18</v>
      </c>
      <c r="BH90" s="2">
        <v>108</v>
      </c>
      <c r="BI90" s="2" t="s">
        <v>119</v>
      </c>
    </row>
    <row r="91" spans="1:61" s="2" customFormat="1" ht="60" customHeight="1" x14ac:dyDescent="0.35">
      <c r="A91" s="32"/>
      <c r="B91" s="20"/>
      <c r="E91" s="44"/>
      <c r="F91" s="44"/>
      <c r="G91" s="44"/>
      <c r="H91" s="44"/>
      <c r="R91" s="3">
        <v>45905</v>
      </c>
      <c r="S91" s="58">
        <v>0.3263888888888889</v>
      </c>
      <c r="T91" s="58"/>
      <c r="U91" s="2">
        <f t="shared" si="13"/>
        <v>7</v>
      </c>
      <c r="W91" s="27">
        <v>37.44</v>
      </c>
      <c r="X91" s="27">
        <v>19.149999999999999</v>
      </c>
      <c r="Y91" s="27">
        <v>6.32</v>
      </c>
      <c r="Z91" s="27">
        <v>13.07</v>
      </c>
      <c r="AA91" s="27">
        <v>4.55</v>
      </c>
      <c r="AB91" s="27" t="s">
        <v>110</v>
      </c>
      <c r="AC91" s="27" t="s">
        <v>109</v>
      </c>
      <c r="AD91" s="27">
        <v>7</v>
      </c>
      <c r="AE91" s="27" t="s">
        <v>55</v>
      </c>
      <c r="AF91" s="27" t="s">
        <v>55</v>
      </c>
      <c r="AG91" s="27" t="s">
        <v>55</v>
      </c>
      <c r="AH91" s="27" t="s">
        <v>55</v>
      </c>
      <c r="AI91" s="27" t="s">
        <v>55</v>
      </c>
      <c r="AJ91" s="27" t="s">
        <v>55</v>
      </c>
      <c r="AK91" s="27" t="s">
        <v>55</v>
      </c>
      <c r="AL91" s="27" t="s">
        <v>55</v>
      </c>
      <c r="AM91" s="27" t="s">
        <v>55</v>
      </c>
      <c r="AN91" s="27" t="s">
        <v>55</v>
      </c>
      <c r="AO91" s="27" t="s">
        <v>55</v>
      </c>
      <c r="AP91" s="27" t="s">
        <v>55</v>
      </c>
      <c r="AQ91" s="27" t="s">
        <v>55</v>
      </c>
      <c r="AR91" s="27" t="s">
        <v>55</v>
      </c>
      <c r="AS91" s="27" t="s">
        <v>55</v>
      </c>
      <c r="AT91" s="2" t="s">
        <v>52</v>
      </c>
      <c r="AU91" s="2">
        <v>0.75</v>
      </c>
      <c r="AV91" s="2">
        <v>2.2400000000000002</v>
      </c>
      <c r="AW91" s="2">
        <v>7.34</v>
      </c>
      <c r="AX91" s="2">
        <v>3.93</v>
      </c>
      <c r="AZ91" s="2">
        <v>28.83</v>
      </c>
      <c r="BA91" s="2">
        <v>9.5</v>
      </c>
      <c r="BB91" s="2">
        <v>4.75</v>
      </c>
      <c r="BC91" s="2">
        <v>0.495</v>
      </c>
      <c r="BD91" s="2">
        <v>0.33</v>
      </c>
      <c r="BE91" s="2">
        <v>0.02</v>
      </c>
      <c r="BF91" s="2">
        <v>0.04</v>
      </c>
      <c r="BG91" s="2">
        <v>16</v>
      </c>
      <c r="BH91" s="2">
        <v>107</v>
      </c>
    </row>
    <row r="92" spans="1:61" s="2" customFormat="1" ht="60" customHeight="1" x14ac:dyDescent="0.35">
      <c r="A92" s="32"/>
      <c r="B92" s="20"/>
      <c r="E92" s="44"/>
      <c r="F92" s="44"/>
      <c r="G92" s="44"/>
      <c r="H92" s="44"/>
      <c r="R92" s="3">
        <v>45908</v>
      </c>
      <c r="S92" s="58">
        <v>0.33124999999999999</v>
      </c>
      <c r="T92" s="58"/>
      <c r="U92" s="2">
        <f t="shared" si="13"/>
        <v>10</v>
      </c>
      <c r="W92" s="27">
        <v>26.67</v>
      </c>
      <c r="X92" s="27">
        <v>12.56</v>
      </c>
      <c r="Y92" s="27">
        <v>2.38</v>
      </c>
      <c r="Z92" s="27">
        <v>9.51</v>
      </c>
      <c r="AA92" s="27">
        <v>5.74</v>
      </c>
      <c r="AB92" s="27" t="s">
        <v>55</v>
      </c>
      <c r="AC92" s="27" t="s">
        <v>85</v>
      </c>
      <c r="AD92" s="27">
        <v>7</v>
      </c>
      <c r="AE92" s="27" t="s">
        <v>55</v>
      </c>
      <c r="AF92" s="27" t="s">
        <v>55</v>
      </c>
      <c r="AG92" s="27" t="s">
        <v>55</v>
      </c>
      <c r="AH92" s="27" t="s">
        <v>55</v>
      </c>
      <c r="AI92" s="27" t="s">
        <v>55</v>
      </c>
      <c r="AJ92" s="27" t="s">
        <v>55</v>
      </c>
      <c r="AK92" s="27" t="s">
        <v>55</v>
      </c>
      <c r="AL92" s="27" t="s">
        <v>55</v>
      </c>
      <c r="AM92" s="27" t="s">
        <v>55</v>
      </c>
      <c r="AN92" s="27" t="s">
        <v>55</v>
      </c>
      <c r="AO92" s="27" t="s">
        <v>55</v>
      </c>
      <c r="AP92" s="27" t="s">
        <v>55</v>
      </c>
      <c r="AQ92" s="27" t="s">
        <v>55</v>
      </c>
      <c r="AR92" s="27" t="s">
        <v>55</v>
      </c>
      <c r="AS92" s="27" t="s">
        <v>55</v>
      </c>
      <c r="AT92" s="2" t="s">
        <v>52</v>
      </c>
      <c r="AU92" s="2">
        <v>0.67</v>
      </c>
      <c r="AV92" s="2">
        <v>1.85</v>
      </c>
      <c r="AW92" s="2">
        <v>16.05</v>
      </c>
      <c r="AX92" s="2">
        <v>3</v>
      </c>
      <c r="AZ92" s="2">
        <v>48.15</v>
      </c>
      <c r="BA92" s="2">
        <v>17.149999999999999</v>
      </c>
      <c r="BB92" s="2">
        <v>8.75</v>
      </c>
      <c r="BC92" s="2">
        <v>0.505</v>
      </c>
      <c r="BD92" s="2">
        <v>0.93</v>
      </c>
      <c r="BE92" s="2">
        <v>0.1</v>
      </c>
      <c r="BF92" s="2">
        <v>0.12</v>
      </c>
      <c r="BG92" s="2">
        <v>70</v>
      </c>
      <c r="BH92" s="2">
        <v>109</v>
      </c>
    </row>
    <row r="93" spans="1:61" s="2" customFormat="1" ht="60" customHeight="1" x14ac:dyDescent="0.35">
      <c r="A93" s="32"/>
      <c r="B93" s="20"/>
      <c r="E93" s="44"/>
      <c r="F93" s="44"/>
      <c r="G93" s="44"/>
      <c r="H93" s="44"/>
      <c r="R93" s="3">
        <v>45910</v>
      </c>
      <c r="S93" s="58">
        <v>0.7104166666666667</v>
      </c>
      <c r="T93" s="58"/>
      <c r="U93" s="2">
        <f t="shared" si="13"/>
        <v>12</v>
      </c>
      <c r="W93" s="27">
        <v>25.16</v>
      </c>
      <c r="X93" s="27">
        <v>13.15</v>
      </c>
      <c r="Y93" s="27">
        <v>4.55</v>
      </c>
      <c r="Z93" s="27">
        <v>11.66</v>
      </c>
      <c r="AA93" s="27">
        <v>0</v>
      </c>
      <c r="AB93" s="27" t="s">
        <v>100</v>
      </c>
      <c r="AC93" s="27" t="s">
        <v>109</v>
      </c>
      <c r="AD93" s="27">
        <v>7</v>
      </c>
      <c r="AE93" s="27" t="s">
        <v>55</v>
      </c>
      <c r="AF93" s="27" t="s">
        <v>55</v>
      </c>
      <c r="AG93" s="27" t="s">
        <v>55</v>
      </c>
      <c r="AH93" s="27" t="s">
        <v>55</v>
      </c>
      <c r="AI93" s="27" t="s">
        <v>55</v>
      </c>
      <c r="AJ93" s="27" t="s">
        <v>55</v>
      </c>
      <c r="AK93" s="27" t="s">
        <v>55</v>
      </c>
      <c r="AL93" s="27" t="s">
        <v>55</v>
      </c>
      <c r="AM93" s="27" t="s">
        <v>55</v>
      </c>
      <c r="AN93" s="27" t="s">
        <v>55</v>
      </c>
      <c r="AO93" s="27" t="s">
        <v>55</v>
      </c>
      <c r="AP93" s="27" t="s">
        <v>55</v>
      </c>
      <c r="AQ93" s="27" t="s">
        <v>55</v>
      </c>
      <c r="AR93" s="27" t="s">
        <v>55</v>
      </c>
      <c r="AS93" s="27" t="s">
        <v>55</v>
      </c>
      <c r="AT93" s="2" t="s">
        <v>52</v>
      </c>
      <c r="AU93" s="2">
        <v>1</v>
      </c>
      <c r="AV93" s="2">
        <v>3.97</v>
      </c>
      <c r="AW93" s="2">
        <v>0</v>
      </c>
      <c r="AX93" s="2" t="s">
        <v>89</v>
      </c>
      <c r="AZ93" s="2">
        <v>46.88</v>
      </c>
      <c r="BA93" s="2">
        <v>11.73</v>
      </c>
      <c r="BB93" s="2">
        <v>8.1</v>
      </c>
      <c r="BC93" s="2">
        <v>0.68500000000000005</v>
      </c>
      <c r="BD93" s="2">
        <v>0.88</v>
      </c>
      <c r="BE93" s="2">
        <v>0</v>
      </c>
      <c r="BF93" s="2">
        <v>0.06</v>
      </c>
      <c r="BG93" s="2">
        <v>48</v>
      </c>
      <c r="BH93" s="2">
        <v>76</v>
      </c>
    </row>
    <row r="94" spans="1:61" s="2" customFormat="1" ht="60" customHeight="1" x14ac:dyDescent="0.35">
      <c r="A94" s="32"/>
      <c r="B94" s="20"/>
      <c r="E94" s="44"/>
      <c r="F94" s="44"/>
      <c r="G94" s="44"/>
      <c r="H94" s="44"/>
      <c r="R94" s="3">
        <v>45912</v>
      </c>
      <c r="S94" s="58">
        <v>0.35902777777777778</v>
      </c>
      <c r="T94" s="58"/>
      <c r="U94" s="2">
        <f t="shared" si="13"/>
        <v>14</v>
      </c>
      <c r="W94" s="27">
        <v>19.34</v>
      </c>
      <c r="X94" s="27">
        <v>12.47</v>
      </c>
      <c r="Y94" s="27">
        <v>2.4500000000000002</v>
      </c>
      <c r="Z94" s="27">
        <v>10.199999999999999</v>
      </c>
      <c r="AA94" s="27">
        <v>3.63</v>
      </c>
      <c r="AB94" s="27" t="s">
        <v>121</v>
      </c>
      <c r="AC94" s="27" t="s">
        <v>148</v>
      </c>
      <c r="AD94" s="27">
        <v>7</v>
      </c>
      <c r="AE94" s="27" t="s">
        <v>55</v>
      </c>
      <c r="AF94" s="27" t="s">
        <v>55</v>
      </c>
      <c r="AG94" s="27" t="s">
        <v>55</v>
      </c>
      <c r="AH94" s="27" t="s">
        <v>55</v>
      </c>
      <c r="AI94" s="27" t="s">
        <v>55</v>
      </c>
      <c r="AJ94" s="27" t="s">
        <v>55</v>
      </c>
      <c r="AK94" s="27" t="s">
        <v>55</v>
      </c>
      <c r="AL94" s="27" t="s">
        <v>55</v>
      </c>
      <c r="AM94" s="27" t="s">
        <v>55</v>
      </c>
      <c r="AN94" s="27" t="s">
        <v>55</v>
      </c>
      <c r="AO94" s="27" t="s">
        <v>55</v>
      </c>
      <c r="AP94" s="27" t="s">
        <v>55</v>
      </c>
      <c r="AQ94" s="27" t="s">
        <v>55</v>
      </c>
      <c r="AR94" s="27" t="s">
        <v>55</v>
      </c>
      <c r="AS94" s="27" t="s">
        <v>55</v>
      </c>
      <c r="AT94" s="2" t="s">
        <v>52</v>
      </c>
      <c r="AU94" s="2">
        <v>1</v>
      </c>
      <c r="AV94" s="2">
        <v>4.3899999999999997</v>
      </c>
      <c r="AW94" s="2">
        <v>0</v>
      </c>
      <c r="AX94" s="2" t="s">
        <v>89</v>
      </c>
      <c r="AZ94" s="2">
        <v>22.62</v>
      </c>
      <c r="BA94" s="2">
        <v>5.1100000000000003</v>
      </c>
      <c r="BB94" s="2">
        <v>3.37</v>
      </c>
      <c r="BC94" s="2">
        <v>0.65500000000000003</v>
      </c>
      <c r="BD94" s="2">
        <v>0.2</v>
      </c>
      <c r="BE94" s="2">
        <v>0</v>
      </c>
      <c r="BF94" s="2">
        <v>0.01</v>
      </c>
      <c r="BG94" s="2">
        <v>36</v>
      </c>
      <c r="BH94" s="2">
        <v>86</v>
      </c>
    </row>
    <row r="95" spans="1:61" s="2" customFormat="1" ht="60" customHeight="1" x14ac:dyDescent="0.35">
      <c r="A95" s="32"/>
      <c r="B95" s="20"/>
      <c r="E95" s="44"/>
      <c r="F95" s="44"/>
      <c r="G95" s="44"/>
      <c r="H95" s="44"/>
      <c r="R95" s="3">
        <v>45915</v>
      </c>
      <c r="S95" s="58">
        <v>0.6479166666666667</v>
      </c>
      <c r="T95" s="58"/>
      <c r="U95" s="2">
        <f t="shared" si="13"/>
        <v>17</v>
      </c>
      <c r="W95" s="27">
        <v>16.07</v>
      </c>
      <c r="X95" s="27">
        <v>10.39</v>
      </c>
      <c r="Y95" s="27">
        <v>3.08</v>
      </c>
      <c r="Z95" s="27">
        <v>6.73</v>
      </c>
      <c r="AA95" s="27">
        <v>4.53</v>
      </c>
      <c r="AB95" s="27" t="s">
        <v>495</v>
      </c>
      <c r="AC95" s="37" t="s">
        <v>161</v>
      </c>
      <c r="AD95" s="27">
        <v>7</v>
      </c>
      <c r="AE95" s="27" t="s">
        <v>55</v>
      </c>
      <c r="AF95" s="27" t="s">
        <v>55</v>
      </c>
      <c r="AG95" s="27" t="s">
        <v>55</v>
      </c>
      <c r="AH95" s="27" t="s">
        <v>55</v>
      </c>
      <c r="AI95" s="27" t="s">
        <v>55</v>
      </c>
      <c r="AJ95" s="27" t="s">
        <v>55</v>
      </c>
      <c r="AK95" s="27" t="s">
        <v>55</v>
      </c>
      <c r="AL95" s="27" t="s">
        <v>55</v>
      </c>
      <c r="AM95" s="27" t="s">
        <v>55</v>
      </c>
      <c r="AN95" s="27" t="s">
        <v>55</v>
      </c>
      <c r="AO95" s="27" t="s">
        <v>55</v>
      </c>
      <c r="AP95" s="27" t="s">
        <v>55</v>
      </c>
      <c r="AQ95" s="27" t="s">
        <v>55</v>
      </c>
      <c r="AR95" s="27" t="s">
        <v>55</v>
      </c>
      <c r="AS95" s="27" t="s">
        <v>55</v>
      </c>
      <c r="AT95" s="2" t="s">
        <v>52</v>
      </c>
      <c r="AU95" s="2">
        <v>0.72</v>
      </c>
      <c r="AV95" s="2">
        <v>2.25</v>
      </c>
      <c r="AW95" s="2">
        <v>11.26</v>
      </c>
      <c r="AX95" s="2">
        <v>3.59</v>
      </c>
      <c r="AZ95" s="2">
        <v>40.450000000000003</v>
      </c>
      <c r="BA95" s="2">
        <v>12.85</v>
      </c>
      <c r="BB95" s="2">
        <v>5.59</v>
      </c>
      <c r="BC95" s="2">
        <v>0.43</v>
      </c>
      <c r="BD95" s="2">
        <v>0.65</v>
      </c>
      <c r="BE95" s="2">
        <v>0.05</v>
      </c>
      <c r="BF95" s="2">
        <v>7.0000000000000007E-2</v>
      </c>
      <c r="BG95" s="2">
        <v>42</v>
      </c>
      <c r="BH95" s="2">
        <v>115</v>
      </c>
    </row>
    <row r="96" spans="1:61" s="2" customFormat="1" ht="60" customHeight="1" x14ac:dyDescent="0.35">
      <c r="A96" s="32"/>
      <c r="B96" s="20"/>
      <c r="E96" s="44"/>
      <c r="F96" s="44"/>
      <c r="G96" s="44"/>
      <c r="H96" s="44"/>
      <c r="R96" s="3">
        <v>45918</v>
      </c>
      <c r="S96" s="58">
        <v>0.80833333333333335</v>
      </c>
      <c r="T96" s="58"/>
      <c r="U96" s="2">
        <f t="shared" si="13"/>
        <v>20</v>
      </c>
      <c r="W96" s="27">
        <v>17.489999999999998</v>
      </c>
      <c r="X96" s="27">
        <v>9.56</v>
      </c>
      <c r="Y96" s="27">
        <v>2.08</v>
      </c>
      <c r="Z96" s="27">
        <v>6.59</v>
      </c>
      <c r="AA96" s="27">
        <v>3.57</v>
      </c>
      <c r="AB96" s="27" t="s">
        <v>179</v>
      </c>
      <c r="AC96" s="27" t="s">
        <v>178</v>
      </c>
      <c r="AD96" s="27">
        <v>7</v>
      </c>
      <c r="AE96" s="27" t="s">
        <v>55</v>
      </c>
      <c r="AF96" s="27" t="s">
        <v>55</v>
      </c>
      <c r="AG96" s="27" t="s">
        <v>55</v>
      </c>
      <c r="AH96" s="27" t="s">
        <v>55</v>
      </c>
      <c r="AI96" s="27" t="s">
        <v>55</v>
      </c>
      <c r="AJ96" s="27" t="s">
        <v>55</v>
      </c>
      <c r="AK96" s="27" t="s">
        <v>55</v>
      </c>
      <c r="AL96" s="27" t="s">
        <v>55</v>
      </c>
      <c r="AM96" s="27" t="s">
        <v>55</v>
      </c>
      <c r="AN96" s="27" t="s">
        <v>55</v>
      </c>
      <c r="AO96" s="27" t="s">
        <v>55</v>
      </c>
      <c r="AP96" s="27" t="s">
        <v>55</v>
      </c>
      <c r="AQ96" s="27" t="s">
        <v>55</v>
      </c>
      <c r="AR96" s="27" t="s">
        <v>55</v>
      </c>
      <c r="AS96" s="27" t="s">
        <v>55</v>
      </c>
      <c r="AT96" s="2" t="s">
        <v>52</v>
      </c>
      <c r="AU96" s="2">
        <v>1</v>
      </c>
      <c r="AV96" s="2">
        <v>5.18</v>
      </c>
      <c r="AW96" s="2">
        <v>0</v>
      </c>
      <c r="AX96" s="2" t="s">
        <v>89</v>
      </c>
      <c r="AZ96" s="2">
        <v>40.630000000000003</v>
      </c>
      <c r="BA96" s="2">
        <v>7.76</v>
      </c>
      <c r="BB96" s="2">
        <v>3.73</v>
      </c>
      <c r="BC96" s="2">
        <v>0.47499999999999998</v>
      </c>
      <c r="BD96" s="2">
        <v>0.66</v>
      </c>
      <c r="BE96" s="2">
        <v>0</v>
      </c>
      <c r="BF96" s="2">
        <v>0.02</v>
      </c>
      <c r="BG96" s="2">
        <v>48</v>
      </c>
      <c r="BH96" s="2">
        <v>111</v>
      </c>
      <c r="BI96" s="2" t="s">
        <v>152</v>
      </c>
    </row>
    <row r="97" spans="1:61" s="2" customFormat="1" ht="60" customHeight="1" x14ac:dyDescent="0.35">
      <c r="A97" s="32"/>
      <c r="B97" s="20"/>
      <c r="E97" s="44"/>
      <c r="F97" s="44"/>
      <c r="G97" s="44"/>
      <c r="H97" s="44"/>
      <c r="R97" s="3">
        <v>45922</v>
      </c>
      <c r="S97" s="58">
        <v>0.36180555555555555</v>
      </c>
      <c r="T97" s="58"/>
      <c r="U97" s="2">
        <f t="shared" si="13"/>
        <v>24</v>
      </c>
      <c r="W97" s="27">
        <v>15.31</v>
      </c>
      <c r="X97" s="27">
        <v>10.97</v>
      </c>
      <c r="Y97" s="27">
        <v>0.96</v>
      </c>
      <c r="Z97" s="27">
        <v>9.67</v>
      </c>
      <c r="AA97" s="27">
        <v>5.48</v>
      </c>
      <c r="AB97" s="27" t="s">
        <v>201</v>
      </c>
      <c r="AC97" s="27" t="s">
        <v>202</v>
      </c>
      <c r="AD97" s="27">
        <v>7</v>
      </c>
      <c r="AE97" s="27" t="s">
        <v>55</v>
      </c>
      <c r="AF97" s="27" t="s">
        <v>55</v>
      </c>
      <c r="AG97" s="27" t="s">
        <v>55</v>
      </c>
      <c r="AH97" s="27" t="s">
        <v>55</v>
      </c>
      <c r="AI97" s="27" t="s">
        <v>55</v>
      </c>
      <c r="AJ97" s="27" t="s">
        <v>55</v>
      </c>
      <c r="AK97" s="27" t="s">
        <v>55</v>
      </c>
      <c r="AL97" s="27" t="s">
        <v>55</v>
      </c>
      <c r="AM97" s="27" t="s">
        <v>55</v>
      </c>
      <c r="AN97" s="27" t="s">
        <v>55</v>
      </c>
      <c r="AO97" s="27" t="s">
        <v>55</v>
      </c>
      <c r="AP97" s="27" t="s">
        <v>55</v>
      </c>
      <c r="AQ97" s="27" t="s">
        <v>55</v>
      </c>
      <c r="AR97" s="27" t="s">
        <v>55</v>
      </c>
      <c r="AS97" s="27" t="s">
        <v>55</v>
      </c>
      <c r="AT97" s="2" t="s">
        <v>52</v>
      </c>
      <c r="AU97" s="2">
        <v>1</v>
      </c>
      <c r="AV97" s="2">
        <v>7.35</v>
      </c>
      <c r="AW97" s="2">
        <v>0</v>
      </c>
      <c r="AX97" s="2" t="s">
        <v>89</v>
      </c>
      <c r="AZ97" s="2">
        <v>24</v>
      </c>
      <c r="BA97" s="2">
        <v>3.24</v>
      </c>
      <c r="BB97" s="2">
        <v>1.94</v>
      </c>
      <c r="BC97" s="2">
        <v>0.59499999999999997</v>
      </c>
      <c r="BD97" s="2">
        <v>0.23</v>
      </c>
      <c r="BE97" s="2">
        <v>0</v>
      </c>
      <c r="BF97" s="2">
        <v>0</v>
      </c>
      <c r="BG97" s="2">
        <v>50</v>
      </c>
      <c r="BH97" s="2">
        <v>96</v>
      </c>
    </row>
    <row r="98" spans="1:61" s="2" customFormat="1" ht="60" customHeight="1" x14ac:dyDescent="0.35">
      <c r="A98" s="32"/>
      <c r="B98" s="20"/>
      <c r="E98" s="44"/>
      <c r="F98" s="44"/>
      <c r="G98" s="44"/>
      <c r="H98" s="44"/>
      <c r="P98" s="2">
        <v>2.75</v>
      </c>
      <c r="R98" s="3">
        <v>45925</v>
      </c>
      <c r="S98" s="58">
        <v>0.81736111111111109</v>
      </c>
      <c r="T98" s="58"/>
      <c r="U98" s="2">
        <f t="shared" si="13"/>
        <v>27</v>
      </c>
      <c r="W98" s="27">
        <v>15.95</v>
      </c>
      <c r="X98" s="27">
        <v>8.6300000000000008</v>
      </c>
      <c r="Y98" s="27">
        <v>2.13</v>
      </c>
      <c r="Z98" s="27">
        <v>5.47</v>
      </c>
      <c r="AA98" s="27">
        <v>6.97</v>
      </c>
      <c r="AB98" s="27" t="s">
        <v>229</v>
      </c>
      <c r="AC98" s="27" t="s">
        <v>230</v>
      </c>
      <c r="AD98" s="27">
        <v>7</v>
      </c>
      <c r="AE98" s="27" t="s">
        <v>55</v>
      </c>
      <c r="AF98" s="27" t="s">
        <v>55</v>
      </c>
      <c r="AG98" s="27" t="s">
        <v>55</v>
      </c>
      <c r="AH98" s="27" t="s">
        <v>55</v>
      </c>
      <c r="AI98" s="27" t="s">
        <v>55</v>
      </c>
      <c r="AJ98" s="27" t="s">
        <v>55</v>
      </c>
      <c r="AK98" s="27" t="s">
        <v>55</v>
      </c>
      <c r="AL98" s="27" t="s">
        <v>55</v>
      </c>
      <c r="AM98" s="27" t="s">
        <v>55</v>
      </c>
      <c r="AN98" s="27" t="s">
        <v>55</v>
      </c>
      <c r="AO98" s="27" t="s">
        <v>55</v>
      </c>
      <c r="AP98" s="27" t="s">
        <v>55</v>
      </c>
      <c r="AQ98" s="27" t="s">
        <v>55</v>
      </c>
      <c r="AR98" s="27" t="s">
        <v>55</v>
      </c>
      <c r="AS98" s="27" t="s">
        <v>55</v>
      </c>
      <c r="AT98" s="2" t="s">
        <v>84</v>
      </c>
      <c r="AU98" s="2">
        <v>1</v>
      </c>
      <c r="AV98" s="2">
        <v>4.78</v>
      </c>
      <c r="AW98" s="2">
        <v>0</v>
      </c>
      <c r="AX98" s="2" t="s">
        <v>89</v>
      </c>
      <c r="AZ98" s="2">
        <v>26.65</v>
      </c>
      <c r="BA98" s="2">
        <v>5.53</v>
      </c>
      <c r="BB98" s="2">
        <v>2.9</v>
      </c>
      <c r="BC98" s="2">
        <v>0.52</v>
      </c>
      <c r="BD98" s="2">
        <v>0.28000000000000003</v>
      </c>
      <c r="BE98" s="2">
        <v>0</v>
      </c>
      <c r="BF98" s="2">
        <v>0.01</v>
      </c>
      <c r="BG98" s="2">
        <v>56</v>
      </c>
      <c r="BH98" s="2">
        <v>108</v>
      </c>
    </row>
    <row r="99" spans="1:61" s="2" customFormat="1" ht="60" customHeight="1" x14ac:dyDescent="0.35">
      <c r="A99" s="32"/>
      <c r="B99" s="20"/>
      <c r="E99" s="44"/>
      <c r="F99" s="44"/>
      <c r="G99" s="44"/>
      <c r="H99" s="44"/>
      <c r="P99" s="2">
        <v>2.75</v>
      </c>
      <c r="R99" s="3">
        <v>45930</v>
      </c>
      <c r="S99" s="61">
        <v>45930.73333333333</v>
      </c>
      <c r="T99" s="58"/>
      <c r="U99" s="2">
        <f t="shared" si="13"/>
        <v>32</v>
      </c>
      <c r="W99" s="27">
        <v>18.78</v>
      </c>
      <c r="X99" s="27">
        <v>8.4499999999999993</v>
      </c>
      <c r="Y99" s="27">
        <v>2.4500000000000002</v>
      </c>
      <c r="Z99" s="27">
        <v>8.75</v>
      </c>
      <c r="AA99" s="27">
        <v>5.83</v>
      </c>
      <c r="AB99" s="27" t="s">
        <v>252</v>
      </c>
      <c r="AC99" s="27" t="s">
        <v>99</v>
      </c>
      <c r="AD99" s="27">
        <v>7</v>
      </c>
      <c r="AE99" s="27" t="s">
        <v>55</v>
      </c>
      <c r="AF99" s="27" t="s">
        <v>55</v>
      </c>
      <c r="AG99" s="27" t="s">
        <v>55</v>
      </c>
      <c r="AH99" s="27" t="s">
        <v>55</v>
      </c>
      <c r="AI99" s="27" t="s">
        <v>55</v>
      </c>
      <c r="AJ99" s="27" t="s">
        <v>55</v>
      </c>
      <c r="AK99" s="27" t="s">
        <v>55</v>
      </c>
      <c r="AL99" s="27" t="s">
        <v>55</v>
      </c>
      <c r="AM99" s="27" t="s">
        <v>55</v>
      </c>
      <c r="AN99" s="27" t="s">
        <v>55</v>
      </c>
      <c r="AO99" s="27" t="s">
        <v>55</v>
      </c>
      <c r="AP99" s="27" t="s">
        <v>55</v>
      </c>
      <c r="AQ99" s="27" t="s">
        <v>55</v>
      </c>
      <c r="AR99" s="27" t="s">
        <v>55</v>
      </c>
      <c r="AS99" s="27" t="s">
        <v>55</v>
      </c>
      <c r="AT99" s="2" t="s">
        <v>52</v>
      </c>
      <c r="AU99" s="2">
        <v>1</v>
      </c>
      <c r="AV99" s="2">
        <v>3.44</v>
      </c>
      <c r="AW99" s="2">
        <v>0</v>
      </c>
      <c r="AX99" s="2" t="s">
        <v>89</v>
      </c>
      <c r="AZ99" s="2">
        <v>28.98</v>
      </c>
      <c r="BA99" s="2">
        <v>8.36</v>
      </c>
      <c r="BB99" s="2">
        <v>5.18</v>
      </c>
      <c r="BC99" s="2">
        <v>0.61499999999999999</v>
      </c>
      <c r="BD99" s="2">
        <v>0.34</v>
      </c>
      <c r="BE99" s="2">
        <v>0</v>
      </c>
      <c r="BF99" s="2">
        <v>0.03</v>
      </c>
      <c r="BG99" s="2">
        <v>56</v>
      </c>
      <c r="BH99" s="2">
        <v>92</v>
      </c>
    </row>
    <row r="100" spans="1:61" s="2" customFormat="1" ht="60" customHeight="1" x14ac:dyDescent="0.35">
      <c r="A100" s="32"/>
      <c r="B100" s="20"/>
      <c r="E100" s="44"/>
      <c r="F100" s="44"/>
      <c r="G100" s="44"/>
      <c r="H100" s="44"/>
      <c r="P100" s="2">
        <v>2.75</v>
      </c>
      <c r="R100" s="3">
        <v>45936</v>
      </c>
      <c r="S100" s="61">
        <v>45936.690972222219</v>
      </c>
      <c r="T100" s="2">
        <f>S100-S99</f>
        <v>5.9576388888890506</v>
      </c>
      <c r="U100" s="2">
        <f t="shared" si="13"/>
        <v>38</v>
      </c>
      <c r="W100" s="27">
        <v>21.93</v>
      </c>
      <c r="X100" s="27">
        <v>10.77</v>
      </c>
      <c r="Y100" s="27">
        <v>3.71</v>
      </c>
      <c r="Z100" s="27">
        <v>9.67</v>
      </c>
      <c r="AA100" s="27">
        <v>5.15</v>
      </c>
      <c r="AB100" s="27" t="s">
        <v>246</v>
      </c>
      <c r="AC100" s="37" t="s">
        <v>270</v>
      </c>
      <c r="AD100" s="27">
        <v>7</v>
      </c>
      <c r="AE100" s="62">
        <f>$S$99+($T$100/2)</f>
        <v>45933.712152777778</v>
      </c>
      <c r="AF100" s="27">
        <f>$U$99+($T$100/2)</f>
        <v>34.978819444444525</v>
      </c>
      <c r="AG100" s="27" t="s">
        <v>55</v>
      </c>
      <c r="AH100" s="27" t="s">
        <v>55</v>
      </c>
      <c r="AI100" s="27" t="s">
        <v>55</v>
      </c>
      <c r="AJ100" s="27" t="s">
        <v>55</v>
      </c>
      <c r="AK100" s="27" t="s">
        <v>55</v>
      </c>
      <c r="AL100" s="27" t="s">
        <v>55</v>
      </c>
      <c r="AM100" s="27" t="s">
        <v>55</v>
      </c>
      <c r="AN100" s="27" t="s">
        <v>55</v>
      </c>
      <c r="AO100" s="27" t="s">
        <v>55</v>
      </c>
      <c r="AP100" s="27" t="s">
        <v>55</v>
      </c>
      <c r="AQ100" s="27" t="s">
        <v>55</v>
      </c>
      <c r="AR100" s="27" t="s">
        <v>55</v>
      </c>
      <c r="AS100" s="27" t="s">
        <v>55</v>
      </c>
      <c r="AT100" s="2" t="s">
        <v>52</v>
      </c>
      <c r="AU100" s="2">
        <v>0.73</v>
      </c>
      <c r="AV100" s="2">
        <v>2.13</v>
      </c>
      <c r="AW100" s="2">
        <v>10.67</v>
      </c>
      <c r="AX100" s="2">
        <v>3.71</v>
      </c>
      <c r="AZ100" s="2">
        <v>39.58</v>
      </c>
      <c r="BA100" s="2">
        <v>13.45</v>
      </c>
      <c r="BB100" s="2">
        <v>6.46</v>
      </c>
      <c r="BC100" s="2">
        <v>0.47499999999999998</v>
      </c>
      <c r="BD100" s="2">
        <v>0.63</v>
      </c>
      <c r="BE100" s="2">
        <v>0.05</v>
      </c>
      <c r="BF100" s="2">
        <v>7.0000000000000007E-2</v>
      </c>
      <c r="BG100" s="2">
        <v>54</v>
      </c>
      <c r="BH100" s="2">
        <v>118</v>
      </c>
      <c r="BI100" s="2" t="s">
        <v>271</v>
      </c>
    </row>
    <row r="101" spans="1:61" s="2" customFormat="1" ht="60" customHeight="1" x14ac:dyDescent="0.35">
      <c r="A101" s="32"/>
      <c r="B101" s="20"/>
      <c r="E101" s="44"/>
      <c r="F101" s="44"/>
      <c r="G101" s="44"/>
      <c r="H101" s="44"/>
      <c r="P101" s="2">
        <v>2.75</v>
      </c>
      <c r="R101" s="3">
        <v>45939</v>
      </c>
      <c r="S101" s="58">
        <v>0.51111111111111107</v>
      </c>
      <c r="T101" s="58"/>
      <c r="U101" s="2">
        <f t="shared" si="13"/>
        <v>41</v>
      </c>
      <c r="W101" s="27">
        <v>19.010000000000002</v>
      </c>
      <c r="X101" s="27">
        <v>6.38</v>
      </c>
      <c r="Y101" s="27">
        <v>1.01</v>
      </c>
      <c r="Z101" s="27">
        <v>5.16</v>
      </c>
      <c r="AA101" s="27">
        <v>3.81</v>
      </c>
      <c r="AB101" s="27" t="s">
        <v>324</v>
      </c>
      <c r="AC101" s="37" t="s">
        <v>325</v>
      </c>
      <c r="AD101" s="27">
        <v>7</v>
      </c>
      <c r="AE101" s="62">
        <f t="shared" ref="AE101:AE102" si="14">$S$99+($T$100/2)</f>
        <v>45933.712152777778</v>
      </c>
      <c r="AF101" s="27">
        <f t="shared" ref="AF101:AF102" si="15">$U$99+($T$100/2)</f>
        <v>34.978819444444525</v>
      </c>
      <c r="AG101" s="37" t="s">
        <v>323</v>
      </c>
      <c r="AH101" s="27" t="s">
        <v>55</v>
      </c>
      <c r="AI101" s="27" t="s">
        <v>55</v>
      </c>
      <c r="AJ101" s="27" t="s">
        <v>55</v>
      </c>
      <c r="AK101" s="27" t="s">
        <v>55</v>
      </c>
      <c r="AL101" s="27" t="s">
        <v>55</v>
      </c>
      <c r="AM101" s="27" t="s">
        <v>55</v>
      </c>
      <c r="AN101" s="37">
        <v>30.5</v>
      </c>
      <c r="AO101" s="37">
        <v>10.33</v>
      </c>
      <c r="AP101" s="37">
        <f>AN101-AO101</f>
        <v>20.170000000000002</v>
      </c>
      <c r="AQ101" s="27" t="s">
        <v>55</v>
      </c>
      <c r="AR101" s="27" t="s">
        <v>55</v>
      </c>
      <c r="AS101" s="27" t="s">
        <v>55</v>
      </c>
      <c r="AT101" s="2" t="s">
        <v>52</v>
      </c>
      <c r="AU101" s="2">
        <v>1</v>
      </c>
      <c r="AV101" s="2">
        <v>2.79</v>
      </c>
      <c r="AW101" s="2">
        <v>0</v>
      </c>
      <c r="AX101" s="2" t="s">
        <v>89</v>
      </c>
      <c r="AZ101" s="2">
        <v>22.78</v>
      </c>
      <c r="BA101" s="2">
        <v>8.1</v>
      </c>
      <c r="BB101" s="2">
        <v>4.33</v>
      </c>
      <c r="BC101" s="2">
        <v>0.53</v>
      </c>
      <c r="BD101" s="2">
        <v>0.21</v>
      </c>
      <c r="BE101" s="2">
        <v>0</v>
      </c>
      <c r="BF101" s="2">
        <v>0.03</v>
      </c>
      <c r="BG101" s="2">
        <v>50</v>
      </c>
      <c r="BH101" s="2">
        <v>103</v>
      </c>
      <c r="BI101" s="2" t="s">
        <v>370</v>
      </c>
    </row>
    <row r="102" spans="1:61" s="2" customFormat="1" ht="60" customHeight="1" x14ac:dyDescent="0.35">
      <c r="A102" s="32"/>
      <c r="B102" s="20"/>
      <c r="E102" s="44"/>
      <c r="F102" s="44"/>
      <c r="G102" s="44"/>
      <c r="H102" s="44"/>
      <c r="P102" s="2">
        <v>2.75</v>
      </c>
      <c r="R102" s="3">
        <v>45944</v>
      </c>
      <c r="S102" s="3" t="s">
        <v>369</v>
      </c>
      <c r="T102" s="3"/>
      <c r="U102" s="2">
        <f t="shared" si="13"/>
        <v>46</v>
      </c>
      <c r="W102" s="27">
        <v>14.36</v>
      </c>
      <c r="X102" s="27">
        <v>5.91</v>
      </c>
      <c r="Y102" s="27">
        <v>1.89</v>
      </c>
      <c r="Z102" s="27">
        <v>3.93</v>
      </c>
      <c r="AA102" s="27">
        <v>2.1</v>
      </c>
      <c r="AB102" s="27" t="s">
        <v>350</v>
      </c>
      <c r="AC102" s="37" t="s">
        <v>348</v>
      </c>
      <c r="AD102" s="27">
        <v>7</v>
      </c>
      <c r="AE102" s="62">
        <f t="shared" si="14"/>
        <v>45933.712152777778</v>
      </c>
      <c r="AF102" s="27">
        <f t="shared" si="15"/>
        <v>34.978819444444525</v>
      </c>
      <c r="AG102" s="37" t="s">
        <v>349</v>
      </c>
      <c r="AH102" s="37">
        <v>134.86000000000001</v>
      </c>
      <c r="AI102" s="37">
        <v>52.18</v>
      </c>
      <c r="AJ102" s="37">
        <f>AH102-AI102</f>
        <v>82.68</v>
      </c>
      <c r="AK102" s="27" t="s">
        <v>55</v>
      </c>
      <c r="AL102" s="27" t="s">
        <v>55</v>
      </c>
      <c r="AM102" s="27" t="s">
        <v>55</v>
      </c>
      <c r="AN102" s="37">
        <v>184.68</v>
      </c>
      <c r="AO102" s="37">
        <v>26.36</v>
      </c>
      <c r="AP102" s="37">
        <f>AN102-AO102</f>
        <v>158.32</v>
      </c>
      <c r="AQ102" s="27" t="s">
        <v>55</v>
      </c>
      <c r="AR102" s="27" t="s">
        <v>55</v>
      </c>
      <c r="AS102" s="27" t="s">
        <v>55</v>
      </c>
      <c r="AT102" s="2" t="s">
        <v>52</v>
      </c>
      <c r="AU102" s="2">
        <v>1</v>
      </c>
      <c r="AV102" s="2">
        <v>4.22</v>
      </c>
      <c r="AW102" s="2">
        <v>0</v>
      </c>
      <c r="AX102" s="2" t="s">
        <v>89</v>
      </c>
      <c r="AZ102" s="2">
        <v>28.52</v>
      </c>
      <c r="BA102" s="2">
        <v>6.69</v>
      </c>
      <c r="BB102" s="2">
        <v>3.65</v>
      </c>
      <c r="BC102" s="2">
        <v>0.54</v>
      </c>
      <c r="BD102" s="2">
        <v>0.33</v>
      </c>
      <c r="BE102" s="2">
        <v>0</v>
      </c>
      <c r="BF102" s="2">
        <v>0.02</v>
      </c>
      <c r="BG102" s="2">
        <v>56</v>
      </c>
      <c r="BH102" s="2">
        <v>97</v>
      </c>
      <c r="BI102" s="2" t="s">
        <v>351</v>
      </c>
    </row>
    <row r="103" spans="1:61" s="2" customFormat="1" ht="60" customHeight="1" x14ac:dyDescent="0.35">
      <c r="A103" s="32"/>
      <c r="B103" s="20"/>
      <c r="E103" s="44"/>
      <c r="F103" s="44"/>
      <c r="G103" s="44"/>
      <c r="H103" s="44"/>
      <c r="R103" s="3"/>
      <c r="S103" s="3"/>
      <c r="T103" s="3"/>
      <c r="W103" s="27"/>
      <c r="X103" s="27"/>
      <c r="Y103" s="27"/>
      <c r="Z103" s="27"/>
      <c r="AA103" s="27"/>
      <c r="AB103" s="27"/>
      <c r="AC103" s="27"/>
      <c r="AD103" s="27"/>
      <c r="AE103" s="45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</row>
    <row r="104" spans="1:61" s="2" customFormat="1" ht="60" customHeight="1" x14ac:dyDescent="0.35">
      <c r="A104" s="32">
        <v>7</v>
      </c>
      <c r="B104" s="57" t="s">
        <v>91</v>
      </c>
      <c r="C104" s="3">
        <v>45231</v>
      </c>
      <c r="D104" s="3">
        <v>45903</v>
      </c>
      <c r="E104" s="44">
        <f t="shared" si="1"/>
        <v>672</v>
      </c>
      <c r="F104" s="44">
        <f>E104/30</f>
        <v>22.4</v>
      </c>
      <c r="G104" s="44">
        <f>E104/365</f>
        <v>1.8410958904109589</v>
      </c>
      <c r="H104" s="44">
        <f t="shared" si="3"/>
        <v>2.0499999999999998</v>
      </c>
      <c r="I104" s="2" t="s">
        <v>10</v>
      </c>
      <c r="J104" s="2">
        <v>3.93</v>
      </c>
      <c r="K104" s="2">
        <v>4117</v>
      </c>
      <c r="R104" s="3">
        <v>45903</v>
      </c>
      <c r="S104" s="58">
        <v>0.73541666666666672</v>
      </c>
      <c r="T104" s="58"/>
      <c r="U104" s="2">
        <f>R104-$D$104</f>
        <v>0</v>
      </c>
      <c r="V104" s="17">
        <f>R116-D104</f>
        <v>41</v>
      </c>
      <c r="W104" s="27" t="s">
        <v>102</v>
      </c>
      <c r="X104" s="27" t="s">
        <v>103</v>
      </c>
      <c r="Y104" s="27" t="s">
        <v>104</v>
      </c>
      <c r="Z104" s="27" t="s">
        <v>105</v>
      </c>
      <c r="AA104" s="27" t="s">
        <v>106</v>
      </c>
      <c r="AB104" s="27" t="s">
        <v>55</v>
      </c>
      <c r="AC104" s="27" t="s">
        <v>55</v>
      </c>
      <c r="AD104" s="27" t="s">
        <v>55</v>
      </c>
      <c r="AE104" s="27" t="s">
        <v>55</v>
      </c>
      <c r="AF104" s="27" t="s">
        <v>55</v>
      </c>
      <c r="AG104" s="27" t="s">
        <v>55</v>
      </c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" t="s">
        <v>50</v>
      </c>
    </row>
    <row r="105" spans="1:61" s="2" customFormat="1" ht="60" customHeight="1" x14ac:dyDescent="0.35">
      <c r="A105" s="32"/>
      <c r="B105" s="20"/>
      <c r="E105" s="44"/>
      <c r="F105" s="44"/>
      <c r="G105" s="44"/>
      <c r="H105" s="44"/>
      <c r="R105" s="3">
        <v>45905</v>
      </c>
      <c r="S105" s="58">
        <v>0.35486111111111113</v>
      </c>
      <c r="T105" s="58"/>
      <c r="U105" s="2">
        <f>R105-$D$104</f>
        <v>2</v>
      </c>
      <c r="W105" s="27">
        <v>38.44</v>
      </c>
      <c r="X105" s="27">
        <v>25.86</v>
      </c>
      <c r="Y105" s="27">
        <v>3.58</v>
      </c>
      <c r="Z105" s="27" t="s">
        <v>114</v>
      </c>
      <c r="AA105" s="27">
        <v>3.08</v>
      </c>
      <c r="AB105" s="27" t="s">
        <v>55</v>
      </c>
      <c r="AC105" s="27" t="s">
        <v>55</v>
      </c>
      <c r="AD105" s="27" t="s">
        <v>55</v>
      </c>
      <c r="AE105" s="27" t="s">
        <v>55</v>
      </c>
      <c r="AF105" s="27" t="s">
        <v>55</v>
      </c>
      <c r="AG105" s="27" t="s">
        <v>55</v>
      </c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" t="s">
        <v>52</v>
      </c>
      <c r="AU105" s="2">
        <v>0.89</v>
      </c>
      <c r="AV105" s="2">
        <v>2.36</v>
      </c>
      <c r="AW105" s="2">
        <v>8.4499999999999993</v>
      </c>
      <c r="AX105" s="2">
        <v>9.2100000000000009</v>
      </c>
      <c r="AZ105" s="2">
        <v>77.83</v>
      </c>
      <c r="BA105" s="2">
        <v>29.17</v>
      </c>
      <c r="BB105" s="2">
        <v>23.77</v>
      </c>
      <c r="BC105" s="2">
        <v>0.81</v>
      </c>
      <c r="BD105" s="2">
        <v>2.42</v>
      </c>
      <c r="BE105" s="2">
        <v>0.03</v>
      </c>
      <c r="BF105" s="2">
        <v>0.34</v>
      </c>
      <c r="BG105" s="2">
        <v>54</v>
      </c>
      <c r="BH105" s="2">
        <v>63</v>
      </c>
    </row>
    <row r="106" spans="1:61" s="2" customFormat="1" ht="60" customHeight="1" x14ac:dyDescent="0.35">
      <c r="A106" s="32"/>
      <c r="B106" s="20"/>
      <c r="E106" s="44"/>
      <c r="F106" s="44"/>
      <c r="G106" s="44"/>
      <c r="H106" s="44"/>
      <c r="R106" s="3">
        <v>45908</v>
      </c>
      <c r="S106" s="58">
        <v>0.35</v>
      </c>
      <c r="T106" s="58"/>
      <c r="U106" s="2">
        <f t="shared" ref="U106:U117" si="16">R106-$D$104</f>
        <v>5</v>
      </c>
      <c r="W106" s="27">
        <v>31.16</v>
      </c>
      <c r="X106" s="27">
        <v>16.100000000000001</v>
      </c>
      <c r="Y106" s="27">
        <v>4.34</v>
      </c>
      <c r="Z106" s="27">
        <v>15.86</v>
      </c>
      <c r="AA106" s="27">
        <v>1.86</v>
      </c>
      <c r="AB106" s="27" t="s">
        <v>55</v>
      </c>
      <c r="AC106" s="27" t="s">
        <v>55</v>
      </c>
      <c r="AD106" s="27" t="s">
        <v>55</v>
      </c>
      <c r="AE106" s="27" t="s">
        <v>55</v>
      </c>
      <c r="AF106" s="27" t="s">
        <v>55</v>
      </c>
      <c r="AG106" s="27" t="s">
        <v>55</v>
      </c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" t="s">
        <v>52</v>
      </c>
      <c r="AU106" s="2">
        <v>0.87</v>
      </c>
      <c r="AV106" s="2">
        <v>2.33</v>
      </c>
      <c r="AW106" s="2">
        <v>5.29</v>
      </c>
      <c r="AX106" s="2">
        <v>7.62</v>
      </c>
      <c r="AZ106" s="2">
        <v>40.26</v>
      </c>
      <c r="BA106" s="2">
        <v>14.93</v>
      </c>
      <c r="BB106" s="2">
        <v>9.93</v>
      </c>
      <c r="BC106" s="2">
        <v>0.66</v>
      </c>
      <c r="BD106" s="2">
        <v>0.65</v>
      </c>
      <c r="BE106" s="2">
        <v>0.01</v>
      </c>
      <c r="BF106" s="2">
        <v>0.09</v>
      </c>
      <c r="BG106" s="2">
        <v>50</v>
      </c>
      <c r="BH106" s="2">
        <v>81</v>
      </c>
    </row>
    <row r="107" spans="1:61" s="2" customFormat="1" ht="60" customHeight="1" x14ac:dyDescent="0.35">
      <c r="A107" s="32"/>
      <c r="B107" s="20"/>
      <c r="E107" s="44"/>
      <c r="F107" s="44"/>
      <c r="G107" s="44"/>
      <c r="H107" s="44"/>
      <c r="R107" s="3">
        <v>45910</v>
      </c>
      <c r="S107" s="58">
        <v>0.68680555555555556</v>
      </c>
      <c r="T107" s="58"/>
      <c r="U107" s="2">
        <f t="shared" si="16"/>
        <v>7</v>
      </c>
      <c r="W107" s="27">
        <v>29</v>
      </c>
      <c r="X107" s="27">
        <v>18.100000000000001</v>
      </c>
      <c r="Y107" s="27">
        <v>3.03</v>
      </c>
      <c r="Z107" s="27">
        <v>17.3</v>
      </c>
      <c r="AA107" s="27">
        <v>10.9</v>
      </c>
      <c r="AB107" s="27" t="s">
        <v>55</v>
      </c>
      <c r="AC107" s="27" t="s">
        <v>137</v>
      </c>
      <c r="AD107" s="27">
        <v>7</v>
      </c>
      <c r="AE107" s="27" t="s">
        <v>55</v>
      </c>
      <c r="AF107" s="27" t="s">
        <v>55</v>
      </c>
      <c r="AG107" s="27" t="s">
        <v>55</v>
      </c>
      <c r="AH107" s="27" t="s">
        <v>55</v>
      </c>
      <c r="AI107" s="27" t="s">
        <v>55</v>
      </c>
      <c r="AJ107" s="27" t="s">
        <v>55</v>
      </c>
      <c r="AK107" s="27" t="s">
        <v>55</v>
      </c>
      <c r="AL107" s="27" t="s">
        <v>55</v>
      </c>
      <c r="AM107" s="27" t="s">
        <v>55</v>
      </c>
      <c r="AN107" s="27" t="s">
        <v>55</v>
      </c>
      <c r="AO107" s="27" t="s">
        <v>55</v>
      </c>
      <c r="AP107" s="27" t="s">
        <v>55</v>
      </c>
      <c r="AQ107" s="27" t="s">
        <v>55</v>
      </c>
      <c r="AR107" s="27" t="s">
        <v>55</v>
      </c>
      <c r="AS107" s="27" t="s">
        <v>55</v>
      </c>
      <c r="AT107" s="2" t="s">
        <v>52</v>
      </c>
      <c r="AU107" s="2">
        <v>0.82</v>
      </c>
      <c r="AV107" s="2">
        <v>2.25</v>
      </c>
      <c r="AW107" s="2">
        <v>8.99</v>
      </c>
      <c r="AX107" s="2">
        <v>5.48</v>
      </c>
      <c r="AZ107" s="2">
        <v>49.23</v>
      </c>
      <c r="BA107" s="2">
        <v>17.690000000000001</v>
      </c>
      <c r="BB107" s="2">
        <v>10</v>
      </c>
      <c r="BC107" s="2">
        <v>0.56000000000000005</v>
      </c>
      <c r="BD107" s="2">
        <v>0.97</v>
      </c>
      <c r="BE107" s="2">
        <v>0.03</v>
      </c>
      <c r="BF107" s="2">
        <v>0.13</v>
      </c>
      <c r="BG107" s="2">
        <v>48</v>
      </c>
      <c r="BH107" s="2">
        <v>91</v>
      </c>
    </row>
    <row r="108" spans="1:61" s="2" customFormat="1" ht="60" customHeight="1" x14ac:dyDescent="0.35">
      <c r="A108" s="32"/>
      <c r="B108" s="20"/>
      <c r="E108" s="44"/>
      <c r="F108" s="44"/>
      <c r="G108" s="44"/>
      <c r="H108" s="44"/>
      <c r="R108" s="3">
        <v>45912</v>
      </c>
      <c r="S108" s="58">
        <v>0.35208333333333336</v>
      </c>
      <c r="T108" s="58"/>
      <c r="U108" s="2">
        <f t="shared" si="16"/>
        <v>9</v>
      </c>
      <c r="W108" s="27">
        <v>23.41</v>
      </c>
      <c r="X108" s="27">
        <v>15.68</v>
      </c>
      <c r="Y108" s="27">
        <v>1.77</v>
      </c>
      <c r="Z108" s="27">
        <v>11.14</v>
      </c>
      <c r="AA108" s="27">
        <v>9.31</v>
      </c>
      <c r="AB108" s="27" t="s">
        <v>134</v>
      </c>
      <c r="AC108" s="27" t="s">
        <v>146</v>
      </c>
      <c r="AD108" s="27">
        <v>7</v>
      </c>
      <c r="AE108" s="27" t="s">
        <v>55</v>
      </c>
      <c r="AF108" s="27" t="s">
        <v>55</v>
      </c>
      <c r="AG108" s="27" t="s">
        <v>55</v>
      </c>
      <c r="AH108" s="27" t="s">
        <v>55</v>
      </c>
      <c r="AI108" s="27" t="s">
        <v>55</v>
      </c>
      <c r="AJ108" s="27" t="s">
        <v>55</v>
      </c>
      <c r="AK108" s="27" t="s">
        <v>55</v>
      </c>
      <c r="AL108" s="27" t="s">
        <v>55</v>
      </c>
      <c r="AM108" s="27" t="s">
        <v>55</v>
      </c>
      <c r="AN108" s="27" t="s">
        <v>55</v>
      </c>
      <c r="AO108" s="27" t="s">
        <v>55</v>
      </c>
      <c r="AP108" s="27" t="s">
        <v>55</v>
      </c>
      <c r="AQ108" s="27" t="s">
        <v>55</v>
      </c>
      <c r="AR108" s="27" t="s">
        <v>55</v>
      </c>
      <c r="AS108" s="27" t="s">
        <v>55</v>
      </c>
      <c r="AT108" s="2" t="s">
        <v>52</v>
      </c>
      <c r="AU108" s="2">
        <v>0.67</v>
      </c>
      <c r="AV108" s="2">
        <v>1.35</v>
      </c>
      <c r="AW108" s="2">
        <v>13.65</v>
      </c>
      <c r="AX108" s="2">
        <v>3.05</v>
      </c>
      <c r="AZ108" s="2">
        <v>41.63</v>
      </c>
      <c r="BA108" s="2">
        <v>20.58</v>
      </c>
      <c r="BB108" s="2">
        <v>13.07</v>
      </c>
      <c r="BC108" s="2">
        <v>0.63</v>
      </c>
      <c r="BD108" s="2">
        <v>0.69</v>
      </c>
      <c r="BE108" s="2">
        <v>7.0000000000000007E-2</v>
      </c>
      <c r="BF108" s="2">
        <v>0.17</v>
      </c>
      <c r="BG108" s="2">
        <v>40</v>
      </c>
      <c r="BH108" s="2">
        <v>90</v>
      </c>
      <c r="BI108" s="2" t="s">
        <v>145</v>
      </c>
    </row>
    <row r="109" spans="1:61" s="2" customFormat="1" ht="60" customHeight="1" x14ac:dyDescent="0.35">
      <c r="A109" s="32"/>
      <c r="B109" s="20"/>
      <c r="E109" s="44"/>
      <c r="F109" s="44"/>
      <c r="G109" s="44"/>
      <c r="H109" s="44"/>
      <c r="R109" s="3">
        <v>45915</v>
      </c>
      <c r="S109" s="58">
        <v>0.69861111111111107</v>
      </c>
      <c r="T109" s="58"/>
      <c r="U109" s="2">
        <f t="shared" si="16"/>
        <v>12</v>
      </c>
      <c r="W109" s="27">
        <v>20.82</v>
      </c>
      <c r="X109" s="27">
        <v>10.67</v>
      </c>
      <c r="Y109" s="27">
        <v>1.96</v>
      </c>
      <c r="Z109" s="27">
        <v>9.49</v>
      </c>
      <c r="AA109" s="27">
        <v>6.97</v>
      </c>
      <c r="AB109" s="27" t="s">
        <v>171</v>
      </c>
      <c r="AC109" s="27" t="s">
        <v>170</v>
      </c>
      <c r="AD109" s="27">
        <v>7</v>
      </c>
      <c r="AE109" s="27" t="s">
        <v>55</v>
      </c>
      <c r="AF109" s="27" t="s">
        <v>55</v>
      </c>
      <c r="AG109" s="27" t="s">
        <v>55</v>
      </c>
      <c r="AH109" s="27" t="s">
        <v>55</v>
      </c>
      <c r="AI109" s="27" t="s">
        <v>55</v>
      </c>
      <c r="AJ109" s="27" t="s">
        <v>55</v>
      </c>
      <c r="AK109" s="27" t="s">
        <v>55</v>
      </c>
      <c r="AL109" s="27" t="s">
        <v>55</v>
      </c>
      <c r="AM109" s="27" t="s">
        <v>55</v>
      </c>
      <c r="AN109" s="27" t="s">
        <v>55</v>
      </c>
      <c r="AO109" s="27" t="s">
        <v>55</v>
      </c>
      <c r="AP109" s="27" t="s">
        <v>55</v>
      </c>
      <c r="AQ109" s="27" t="s">
        <v>55</v>
      </c>
      <c r="AR109" s="27" t="s">
        <v>55</v>
      </c>
      <c r="AS109" s="27" t="s">
        <v>55</v>
      </c>
      <c r="AT109" s="2" t="s">
        <v>52</v>
      </c>
      <c r="AU109" s="2">
        <v>0.78</v>
      </c>
      <c r="AV109" s="2">
        <v>1.3</v>
      </c>
      <c r="AW109" s="2">
        <v>11.79</v>
      </c>
      <c r="AX109" s="2">
        <v>4.59</v>
      </c>
      <c r="AZ109" s="2">
        <v>54.09</v>
      </c>
      <c r="BA109" s="2">
        <v>32.06</v>
      </c>
      <c r="BB109" s="2">
        <v>8.82</v>
      </c>
      <c r="BC109" s="2">
        <v>0.27</v>
      </c>
      <c r="BD109" s="2">
        <v>1.17</v>
      </c>
      <c r="BE109" s="2">
        <v>0.06</v>
      </c>
      <c r="BF109" s="2">
        <v>0.41</v>
      </c>
      <c r="BG109" s="2">
        <v>50</v>
      </c>
      <c r="BH109" s="2">
        <v>112</v>
      </c>
      <c r="BI109" s="2" t="s">
        <v>172</v>
      </c>
    </row>
    <row r="110" spans="1:61" s="2" customFormat="1" ht="60" customHeight="1" x14ac:dyDescent="0.35">
      <c r="A110" s="32"/>
      <c r="B110" s="20"/>
      <c r="E110" s="44"/>
      <c r="F110" s="44"/>
      <c r="G110" s="44"/>
      <c r="H110" s="44"/>
      <c r="R110" s="3">
        <v>45918</v>
      </c>
      <c r="S110" s="58">
        <v>0.80486111111111114</v>
      </c>
      <c r="T110" s="58"/>
      <c r="U110" s="2">
        <f t="shared" si="16"/>
        <v>15</v>
      </c>
      <c r="W110" s="27">
        <v>22.49</v>
      </c>
      <c r="X110" s="27">
        <v>10.96</v>
      </c>
      <c r="Y110" s="27">
        <v>1.47</v>
      </c>
      <c r="Z110" s="27">
        <v>5.43</v>
      </c>
      <c r="AA110" s="27">
        <v>0</v>
      </c>
      <c r="AB110" s="27" t="s">
        <v>496</v>
      </c>
      <c r="AC110" s="27" t="s">
        <v>497</v>
      </c>
      <c r="AD110" s="27">
        <v>7</v>
      </c>
      <c r="AE110" s="27" t="s">
        <v>55</v>
      </c>
      <c r="AF110" s="27" t="s">
        <v>55</v>
      </c>
      <c r="AG110" s="27" t="s">
        <v>55</v>
      </c>
      <c r="AH110" s="27" t="s">
        <v>55</v>
      </c>
      <c r="AI110" s="27" t="s">
        <v>55</v>
      </c>
      <c r="AJ110" s="27" t="s">
        <v>55</v>
      </c>
      <c r="AK110" s="27" t="s">
        <v>55</v>
      </c>
      <c r="AL110" s="27" t="s">
        <v>55</v>
      </c>
      <c r="AM110" s="27" t="s">
        <v>55</v>
      </c>
      <c r="AN110" s="27" t="s">
        <v>55</v>
      </c>
      <c r="AO110" s="27" t="s">
        <v>55</v>
      </c>
      <c r="AP110" s="27" t="s">
        <v>55</v>
      </c>
      <c r="AQ110" s="27" t="s">
        <v>55</v>
      </c>
      <c r="AR110" s="27" t="s">
        <v>55</v>
      </c>
      <c r="AS110" s="27" t="s">
        <v>55</v>
      </c>
      <c r="AT110" s="2" t="s">
        <v>52</v>
      </c>
      <c r="AU110" s="2">
        <v>0.27</v>
      </c>
      <c r="AV110" s="2">
        <v>0.77</v>
      </c>
      <c r="AW110" s="2">
        <v>23.78</v>
      </c>
      <c r="AX110" s="2">
        <v>1.38</v>
      </c>
      <c r="AZ110" s="2">
        <v>32.700000000000003</v>
      </c>
      <c r="BA110" s="2">
        <v>11.43</v>
      </c>
      <c r="BB110" s="2">
        <v>6.97</v>
      </c>
      <c r="BC110" s="2">
        <v>0.60499999999999998</v>
      </c>
      <c r="BD110" s="2">
        <v>0.43</v>
      </c>
      <c r="BE110" s="2">
        <v>0.23</v>
      </c>
      <c r="BF110" s="2">
        <v>0.05</v>
      </c>
      <c r="BG110" s="2">
        <v>52</v>
      </c>
      <c r="BH110" s="2">
        <v>97</v>
      </c>
    </row>
    <row r="111" spans="1:61" s="2" customFormat="1" ht="60" customHeight="1" x14ac:dyDescent="0.35">
      <c r="A111" s="32"/>
      <c r="B111" s="20"/>
      <c r="E111" s="44"/>
      <c r="F111" s="44"/>
      <c r="G111" s="44"/>
      <c r="H111" s="44"/>
      <c r="P111" s="2">
        <v>2</v>
      </c>
      <c r="R111" s="3">
        <v>45922</v>
      </c>
      <c r="S111" s="58">
        <v>0.39444444444444443</v>
      </c>
      <c r="T111" s="58"/>
      <c r="U111" s="2">
        <f t="shared" si="16"/>
        <v>19</v>
      </c>
      <c r="W111" s="27">
        <v>17.329999999999998</v>
      </c>
      <c r="X111" s="27">
        <v>8.4</v>
      </c>
      <c r="Y111" s="27">
        <v>1.77</v>
      </c>
      <c r="Z111" s="27">
        <v>6.07</v>
      </c>
      <c r="AA111" s="27">
        <v>6.6</v>
      </c>
      <c r="AB111" s="27" t="s">
        <v>208</v>
      </c>
      <c r="AC111" s="27" t="s">
        <v>207</v>
      </c>
      <c r="AD111" s="27">
        <v>7</v>
      </c>
      <c r="AE111" s="27" t="s">
        <v>55</v>
      </c>
      <c r="AF111" s="27" t="s">
        <v>55</v>
      </c>
      <c r="AG111" s="27" t="s">
        <v>55</v>
      </c>
      <c r="AH111" s="27" t="s">
        <v>55</v>
      </c>
      <c r="AI111" s="27" t="s">
        <v>55</v>
      </c>
      <c r="AJ111" s="27" t="s">
        <v>55</v>
      </c>
      <c r="AK111" s="27" t="s">
        <v>55</v>
      </c>
      <c r="AL111" s="27" t="s">
        <v>55</v>
      </c>
      <c r="AM111" s="27" t="s">
        <v>55</v>
      </c>
      <c r="AN111" s="27" t="s">
        <v>55</v>
      </c>
      <c r="AO111" s="27" t="s">
        <v>55</v>
      </c>
      <c r="AP111" s="27" t="s">
        <v>55</v>
      </c>
      <c r="AQ111" s="27" t="s">
        <v>55</v>
      </c>
      <c r="AR111" s="27" t="s">
        <v>55</v>
      </c>
      <c r="AS111" s="27" t="s">
        <v>55</v>
      </c>
      <c r="AT111" s="2" t="s">
        <v>50</v>
      </c>
    </row>
    <row r="112" spans="1:61" s="2" customFormat="1" ht="60" customHeight="1" x14ac:dyDescent="0.35">
      <c r="A112" s="32"/>
      <c r="B112" s="20"/>
      <c r="E112" s="44"/>
      <c r="F112" s="44"/>
      <c r="G112" s="44"/>
      <c r="H112" s="44"/>
      <c r="P112" s="2">
        <v>2</v>
      </c>
      <c r="R112" s="3">
        <v>45925</v>
      </c>
      <c r="S112" s="58">
        <v>0.78541666666666665</v>
      </c>
      <c r="T112" s="58"/>
      <c r="U112" s="2">
        <f t="shared" si="16"/>
        <v>22</v>
      </c>
      <c r="W112" s="27">
        <v>16.600000000000001</v>
      </c>
      <c r="X112" s="27">
        <v>8.5</v>
      </c>
      <c r="Y112" s="27">
        <v>1.52</v>
      </c>
      <c r="Z112" s="27">
        <v>5.71</v>
      </c>
      <c r="AA112" s="27">
        <v>2.78</v>
      </c>
      <c r="AB112" s="27" t="s">
        <v>220</v>
      </c>
      <c r="AC112" s="27" t="s">
        <v>219</v>
      </c>
      <c r="AD112" s="27">
        <v>7</v>
      </c>
      <c r="AE112" s="27" t="s">
        <v>55</v>
      </c>
      <c r="AF112" s="27" t="s">
        <v>55</v>
      </c>
      <c r="AG112" s="27" t="s">
        <v>55</v>
      </c>
      <c r="AH112" s="27" t="s">
        <v>55</v>
      </c>
      <c r="AI112" s="27" t="s">
        <v>55</v>
      </c>
      <c r="AJ112" s="27" t="s">
        <v>55</v>
      </c>
      <c r="AK112" s="27" t="s">
        <v>55</v>
      </c>
      <c r="AL112" s="27" t="s">
        <v>55</v>
      </c>
      <c r="AM112" s="27" t="s">
        <v>55</v>
      </c>
      <c r="AN112" s="27" t="s">
        <v>55</v>
      </c>
      <c r="AO112" s="27" t="s">
        <v>55</v>
      </c>
      <c r="AP112" s="27" t="s">
        <v>55</v>
      </c>
      <c r="AQ112" s="27" t="s">
        <v>55</v>
      </c>
      <c r="AR112" s="27" t="s">
        <v>55</v>
      </c>
      <c r="AS112" s="27" t="s">
        <v>55</v>
      </c>
      <c r="AT112" s="2" t="s">
        <v>52</v>
      </c>
      <c r="AU112" s="2">
        <v>1</v>
      </c>
      <c r="AV112" s="2">
        <v>5.64</v>
      </c>
      <c r="AW112" s="2">
        <v>0</v>
      </c>
      <c r="AX112" s="2" t="s">
        <v>89</v>
      </c>
      <c r="AZ112" s="2">
        <v>21.5</v>
      </c>
      <c r="BA112" s="2">
        <v>3.79</v>
      </c>
      <c r="BB112" s="2">
        <v>3.07</v>
      </c>
      <c r="BC112" s="2">
        <v>0.80500000000000005</v>
      </c>
      <c r="BD112" s="2">
        <v>0.18</v>
      </c>
      <c r="BE112" s="2">
        <v>0</v>
      </c>
      <c r="BF112" s="2">
        <v>0.01</v>
      </c>
      <c r="BG112" s="2">
        <v>56</v>
      </c>
      <c r="BH112" s="2">
        <v>73</v>
      </c>
    </row>
    <row r="113" spans="1:61" s="2" customFormat="1" ht="60" customHeight="1" x14ac:dyDescent="0.35">
      <c r="A113" s="32"/>
      <c r="B113" s="20"/>
      <c r="E113" s="44"/>
      <c r="F113" s="44"/>
      <c r="G113" s="44"/>
      <c r="H113" s="44"/>
      <c r="P113" s="2">
        <v>2.25</v>
      </c>
      <c r="R113" s="3">
        <v>45930</v>
      </c>
      <c r="S113" s="58">
        <v>0.7104166666666667</v>
      </c>
      <c r="T113" s="58"/>
      <c r="U113" s="2">
        <f t="shared" si="16"/>
        <v>27</v>
      </c>
      <c r="W113" s="27">
        <v>15.15</v>
      </c>
      <c r="X113" s="27">
        <v>8</v>
      </c>
      <c r="Y113" s="27">
        <v>1.19</v>
      </c>
      <c r="Z113" s="27">
        <v>4.58</v>
      </c>
      <c r="AA113" s="27">
        <v>2.1</v>
      </c>
      <c r="AB113" s="27" t="s">
        <v>247</v>
      </c>
      <c r="AC113" s="27" t="s">
        <v>246</v>
      </c>
      <c r="AD113" s="27">
        <v>7</v>
      </c>
      <c r="AE113" s="27" t="s">
        <v>55</v>
      </c>
      <c r="AF113" s="27" t="s">
        <v>55</v>
      </c>
      <c r="AG113" s="27" t="s">
        <v>55</v>
      </c>
      <c r="AH113" s="27" t="s">
        <v>55</v>
      </c>
      <c r="AI113" s="27" t="s">
        <v>55</v>
      </c>
      <c r="AJ113" s="27" t="s">
        <v>55</v>
      </c>
      <c r="AK113" s="27" t="s">
        <v>55</v>
      </c>
      <c r="AL113" s="27" t="s">
        <v>55</v>
      </c>
      <c r="AM113" s="27" t="s">
        <v>55</v>
      </c>
      <c r="AN113" s="27" t="s">
        <v>55</v>
      </c>
      <c r="AO113" s="27" t="s">
        <v>55</v>
      </c>
      <c r="AP113" s="27" t="s">
        <v>55</v>
      </c>
      <c r="AQ113" s="27" t="s">
        <v>55</v>
      </c>
      <c r="AR113" s="27" t="s">
        <v>55</v>
      </c>
      <c r="AS113" s="27" t="s">
        <v>55</v>
      </c>
      <c r="AT113" s="2" t="s">
        <v>52</v>
      </c>
      <c r="AU113" s="2">
        <v>0.7</v>
      </c>
      <c r="AV113" s="2">
        <v>1.85</v>
      </c>
      <c r="AW113" s="2">
        <v>10.57</v>
      </c>
      <c r="AX113" s="2">
        <v>3.35</v>
      </c>
      <c r="AZ113" s="2">
        <v>35.380000000000003</v>
      </c>
      <c r="BA113" s="2">
        <v>13.24</v>
      </c>
      <c r="BB113" s="2">
        <v>5.56</v>
      </c>
      <c r="BC113" s="2">
        <v>0.41499999999999998</v>
      </c>
      <c r="BD113" s="2">
        <v>0.5</v>
      </c>
      <c r="BE113" s="2">
        <v>0.04</v>
      </c>
      <c r="BF113" s="2">
        <v>7.0000000000000007E-2</v>
      </c>
      <c r="BG113" s="2">
        <v>50</v>
      </c>
      <c r="BH113" s="2">
        <v>112</v>
      </c>
    </row>
    <row r="114" spans="1:61" s="2" customFormat="1" ht="60" customHeight="1" x14ac:dyDescent="0.35">
      <c r="A114" s="32"/>
      <c r="B114" s="20"/>
      <c r="E114" s="44"/>
      <c r="F114" s="44"/>
      <c r="G114" s="44"/>
      <c r="H114" s="44"/>
      <c r="P114" s="2">
        <v>2.25</v>
      </c>
      <c r="R114" s="3">
        <v>45936</v>
      </c>
      <c r="S114" s="58">
        <v>0.71875</v>
      </c>
      <c r="T114" s="58"/>
      <c r="U114" s="2">
        <f t="shared" si="16"/>
        <v>33</v>
      </c>
      <c r="W114" s="27">
        <v>14.99</v>
      </c>
      <c r="X114" s="27">
        <v>7.51</v>
      </c>
      <c r="Y114" s="27">
        <v>1.33</v>
      </c>
      <c r="Z114" s="27">
        <v>4.7</v>
      </c>
      <c r="AA114" s="27">
        <v>2.4500000000000002</v>
      </c>
      <c r="AB114" s="27" t="s">
        <v>220</v>
      </c>
      <c r="AC114" s="27" t="s">
        <v>277</v>
      </c>
      <c r="AD114" s="27">
        <v>7</v>
      </c>
      <c r="AE114" s="27" t="s">
        <v>55</v>
      </c>
      <c r="AF114" s="27" t="s">
        <v>55</v>
      </c>
      <c r="AG114" s="27" t="s">
        <v>55</v>
      </c>
      <c r="AH114" s="27" t="s">
        <v>55</v>
      </c>
      <c r="AI114" s="27" t="s">
        <v>55</v>
      </c>
      <c r="AJ114" s="27" t="s">
        <v>55</v>
      </c>
      <c r="AK114" s="27" t="s">
        <v>55</v>
      </c>
      <c r="AL114" s="27" t="s">
        <v>55</v>
      </c>
      <c r="AM114" s="27" t="s">
        <v>55</v>
      </c>
      <c r="AN114" s="27" t="s">
        <v>55</v>
      </c>
      <c r="AO114" s="27" t="s">
        <v>55</v>
      </c>
      <c r="AP114" s="27" t="s">
        <v>55</v>
      </c>
      <c r="AQ114" s="27" t="s">
        <v>55</v>
      </c>
      <c r="AR114" s="27" t="s">
        <v>55</v>
      </c>
      <c r="AS114" s="27" t="s">
        <v>55</v>
      </c>
      <c r="AT114" s="2" t="s">
        <v>52</v>
      </c>
      <c r="AU114" s="2">
        <v>1</v>
      </c>
      <c r="AV114" s="2">
        <v>2.27</v>
      </c>
      <c r="AW114" s="2">
        <v>0</v>
      </c>
      <c r="AX114" s="2" t="s">
        <v>89</v>
      </c>
      <c r="AZ114" s="2">
        <v>23.44</v>
      </c>
      <c r="BA114" s="2">
        <v>10.220000000000001</v>
      </c>
      <c r="BB114" s="2">
        <v>5.21</v>
      </c>
      <c r="BC114" s="2">
        <v>0.505</v>
      </c>
      <c r="BD114" s="2">
        <v>0.22</v>
      </c>
      <c r="BE114" s="2">
        <v>0</v>
      </c>
      <c r="BF114" s="2">
        <v>0.04</v>
      </c>
      <c r="BG114" s="2">
        <v>48</v>
      </c>
      <c r="BH114" s="2">
        <v>103</v>
      </c>
      <c r="BI114" s="2" t="s">
        <v>278</v>
      </c>
    </row>
    <row r="115" spans="1:61" s="2" customFormat="1" ht="60" customHeight="1" x14ac:dyDescent="0.35">
      <c r="A115" s="32"/>
      <c r="B115" s="20"/>
      <c r="E115" s="44"/>
      <c r="F115" s="44"/>
      <c r="G115" s="44"/>
      <c r="H115" s="44"/>
      <c r="P115" s="2">
        <v>2.25</v>
      </c>
      <c r="R115" s="3">
        <v>45939</v>
      </c>
      <c r="S115" s="61">
        <v>45939.339583333334</v>
      </c>
      <c r="T115" s="58"/>
      <c r="U115" s="2">
        <f t="shared" si="16"/>
        <v>36</v>
      </c>
      <c r="W115" s="27">
        <v>20.239999999999998</v>
      </c>
      <c r="X115" s="27">
        <v>7.91</v>
      </c>
      <c r="Y115" s="27">
        <v>1.37</v>
      </c>
      <c r="Z115" s="27">
        <v>5.48</v>
      </c>
      <c r="AA115" s="27">
        <v>0.96</v>
      </c>
      <c r="AB115" s="27" t="s">
        <v>250</v>
      </c>
      <c r="AC115" s="27" t="s">
        <v>226</v>
      </c>
      <c r="AD115" s="27">
        <v>7</v>
      </c>
      <c r="AE115" s="27" t="s">
        <v>55</v>
      </c>
      <c r="AF115" s="27" t="s">
        <v>55</v>
      </c>
      <c r="AG115" s="27" t="s">
        <v>55</v>
      </c>
      <c r="AH115" s="27" t="s">
        <v>55</v>
      </c>
      <c r="AI115" s="27" t="s">
        <v>55</v>
      </c>
      <c r="AJ115" s="27" t="s">
        <v>55</v>
      </c>
      <c r="AK115" s="27" t="s">
        <v>55</v>
      </c>
      <c r="AL115" s="27" t="s">
        <v>55</v>
      </c>
      <c r="AM115" s="27" t="s">
        <v>55</v>
      </c>
      <c r="AN115" s="27" t="s">
        <v>55</v>
      </c>
      <c r="AO115" s="27" t="s">
        <v>55</v>
      </c>
      <c r="AP115" s="27" t="s">
        <v>55</v>
      </c>
      <c r="AQ115" s="27" t="s">
        <v>55</v>
      </c>
      <c r="AR115" s="27" t="s">
        <v>55</v>
      </c>
      <c r="AS115" s="27" t="s">
        <v>55</v>
      </c>
      <c r="AT115" s="2" t="s">
        <v>52</v>
      </c>
      <c r="AU115" s="2">
        <v>0.4</v>
      </c>
      <c r="AV115" s="2">
        <v>1.21</v>
      </c>
      <c r="AW115" s="2">
        <v>16.02</v>
      </c>
      <c r="AX115" s="2">
        <v>1.66</v>
      </c>
      <c r="AZ115" s="2">
        <v>26.57</v>
      </c>
      <c r="BA115" s="2">
        <v>8.68</v>
      </c>
      <c r="BB115" s="2">
        <v>6.68</v>
      </c>
      <c r="BC115" s="2">
        <v>0.76500000000000001</v>
      </c>
      <c r="BD115" s="2">
        <v>0.28000000000000003</v>
      </c>
      <c r="BE115" s="2">
        <v>0.1</v>
      </c>
      <c r="BF115" s="2">
        <v>0.03</v>
      </c>
      <c r="BG115" s="2">
        <v>48</v>
      </c>
      <c r="BH115" s="2">
        <v>77</v>
      </c>
    </row>
    <row r="116" spans="1:61" s="2" customFormat="1" ht="60" customHeight="1" x14ac:dyDescent="0.35">
      <c r="A116" s="32"/>
      <c r="B116" s="20"/>
      <c r="E116" s="44"/>
      <c r="F116" s="44"/>
      <c r="G116" s="44"/>
      <c r="H116" s="44"/>
      <c r="P116" s="2">
        <v>2.25</v>
      </c>
      <c r="R116" s="3">
        <v>45944</v>
      </c>
      <c r="S116" s="61">
        <v>45944.674305555556</v>
      </c>
      <c r="T116" s="2">
        <f>S116-S115</f>
        <v>5.3347222222218988</v>
      </c>
      <c r="U116" s="2">
        <f t="shared" si="16"/>
        <v>41</v>
      </c>
      <c r="W116" s="27">
        <v>12.77</v>
      </c>
      <c r="X116" s="27">
        <v>6.29</v>
      </c>
      <c r="Y116" s="27">
        <v>1.62</v>
      </c>
      <c r="Z116" s="27">
        <v>3.87</v>
      </c>
      <c r="AA116" s="27">
        <v>2.8</v>
      </c>
      <c r="AB116" s="27" t="s">
        <v>242</v>
      </c>
      <c r="AC116" s="37" t="s">
        <v>337</v>
      </c>
      <c r="AD116" s="27">
        <v>7</v>
      </c>
      <c r="AE116" s="62">
        <f>$S$115+($T$116/2)</f>
        <v>45942.006944444445</v>
      </c>
      <c r="AF116" s="27">
        <f>$U$115+($T$116/2)</f>
        <v>38.667361111110949</v>
      </c>
      <c r="AG116" s="37" t="s">
        <v>498</v>
      </c>
      <c r="AH116" s="27" t="s">
        <v>55</v>
      </c>
      <c r="AI116" s="27" t="s">
        <v>55</v>
      </c>
      <c r="AJ116" s="27" t="s">
        <v>55</v>
      </c>
      <c r="AK116" s="27" t="s">
        <v>55</v>
      </c>
      <c r="AL116" s="27" t="s">
        <v>55</v>
      </c>
      <c r="AM116" s="27" t="s">
        <v>55</v>
      </c>
      <c r="AN116" s="37">
        <v>142.86000000000001</v>
      </c>
      <c r="AO116" s="37">
        <v>101.08</v>
      </c>
      <c r="AP116" s="37">
        <f>AN116-AO116</f>
        <v>41.780000000000015</v>
      </c>
      <c r="AQ116" s="84">
        <v>231.48</v>
      </c>
      <c r="AR116" s="84">
        <v>0</v>
      </c>
      <c r="AS116" s="84">
        <f>AQ116-AR116</f>
        <v>231.48</v>
      </c>
      <c r="AT116" s="2" t="s">
        <v>52</v>
      </c>
      <c r="AU116" s="2">
        <v>0.76</v>
      </c>
      <c r="AV116" s="2">
        <v>1.5</v>
      </c>
      <c r="AW116" s="2">
        <v>9.3800000000000008</v>
      </c>
      <c r="AX116" s="2">
        <v>4.21</v>
      </c>
      <c r="AZ116" s="2">
        <v>39.46</v>
      </c>
      <c r="BA116" s="2">
        <v>19.88</v>
      </c>
      <c r="BB116" s="2">
        <v>12.63</v>
      </c>
      <c r="BC116" s="2">
        <v>0.63</v>
      </c>
      <c r="BD116" s="2">
        <v>0.62</v>
      </c>
      <c r="BE116" s="2">
        <v>0.04</v>
      </c>
      <c r="BF116" s="2">
        <v>0.16</v>
      </c>
      <c r="BG116" s="2">
        <v>48</v>
      </c>
      <c r="BH116" s="2">
        <v>90</v>
      </c>
    </row>
    <row r="117" spans="1:61" s="2" customFormat="1" ht="60" customHeight="1" x14ac:dyDescent="0.35">
      <c r="A117" s="32"/>
      <c r="B117" s="20"/>
      <c r="E117" s="44"/>
      <c r="F117" s="44"/>
      <c r="G117" s="44"/>
      <c r="H117" s="44"/>
      <c r="P117" s="2">
        <v>2.25</v>
      </c>
      <c r="R117" s="3">
        <v>45947</v>
      </c>
      <c r="S117" s="58">
        <v>0.49583333333333335</v>
      </c>
      <c r="T117" s="3"/>
      <c r="U117" s="2">
        <f t="shared" si="16"/>
        <v>44</v>
      </c>
      <c r="W117" s="27">
        <v>10.66</v>
      </c>
      <c r="X117" s="27">
        <v>4.33</v>
      </c>
      <c r="Y117" s="27">
        <v>1.1399999999999999</v>
      </c>
      <c r="Z117" s="27">
        <v>4.49</v>
      </c>
      <c r="AA117" s="27">
        <v>1.36</v>
      </c>
      <c r="AB117" s="27" t="s">
        <v>276</v>
      </c>
      <c r="AC117" s="37" t="s">
        <v>377</v>
      </c>
      <c r="AD117" s="27">
        <v>7</v>
      </c>
      <c r="AE117" s="62">
        <f>$S$115+($T$116/2)</f>
        <v>45942.006944444445</v>
      </c>
      <c r="AF117" s="27">
        <f>$U$115+($T$116/2)</f>
        <v>38.667361111110949</v>
      </c>
      <c r="AG117" s="37" t="s">
        <v>499</v>
      </c>
      <c r="AH117" s="27" t="s">
        <v>55</v>
      </c>
      <c r="AI117" s="27" t="s">
        <v>55</v>
      </c>
      <c r="AJ117" s="27" t="s">
        <v>55</v>
      </c>
      <c r="AK117" s="27" t="s">
        <v>55</v>
      </c>
      <c r="AL117" s="27" t="s">
        <v>55</v>
      </c>
      <c r="AM117" s="27" t="s">
        <v>55</v>
      </c>
      <c r="AN117" s="37">
        <v>139.21</v>
      </c>
      <c r="AO117" s="37">
        <v>56.68</v>
      </c>
      <c r="AP117" s="37">
        <f>AN117-AO117</f>
        <v>82.53</v>
      </c>
      <c r="AQ117" s="84">
        <v>133.38</v>
      </c>
      <c r="AR117" s="84">
        <v>0</v>
      </c>
      <c r="AS117" s="84">
        <f>AQ117-AR117</f>
        <v>133.38</v>
      </c>
      <c r="AT117" s="2" t="s">
        <v>52</v>
      </c>
      <c r="AU117" s="2">
        <v>0.15</v>
      </c>
      <c r="AV117" s="2">
        <v>0.26</v>
      </c>
      <c r="AW117" s="2">
        <v>30.03</v>
      </c>
      <c r="AX117" s="2">
        <v>1.17</v>
      </c>
      <c r="AZ117" s="2">
        <v>35.15</v>
      </c>
      <c r="BA117" s="2">
        <v>19.47</v>
      </c>
      <c r="BB117" s="2">
        <v>13.04</v>
      </c>
      <c r="BC117" s="2">
        <v>0.66500000000000004</v>
      </c>
      <c r="BD117" s="2">
        <v>0.49</v>
      </c>
      <c r="BE117" s="2">
        <v>0.36</v>
      </c>
      <c r="BF117" s="2">
        <v>0.15</v>
      </c>
      <c r="BG117" s="2">
        <v>40</v>
      </c>
      <c r="BH117" s="2">
        <v>88</v>
      </c>
      <c r="BI117" s="41" t="s">
        <v>400</v>
      </c>
    </row>
    <row r="118" spans="1:61" s="2" customFormat="1" ht="60" customHeight="1" x14ac:dyDescent="0.35">
      <c r="A118" s="32"/>
      <c r="B118" s="20"/>
      <c r="E118" s="44"/>
      <c r="F118" s="44"/>
      <c r="G118" s="44"/>
      <c r="H118" s="44"/>
      <c r="R118" s="3"/>
      <c r="S118" s="58"/>
      <c r="T118" s="3"/>
      <c r="W118" s="27"/>
      <c r="X118" s="27"/>
      <c r="Y118" s="27"/>
      <c r="Z118" s="27"/>
      <c r="AA118" s="27"/>
      <c r="AB118" s="27"/>
      <c r="AC118" s="37"/>
      <c r="AD118" s="27"/>
      <c r="AE118" s="27"/>
      <c r="AF118" s="27"/>
      <c r="AG118" s="37"/>
      <c r="AH118" s="37"/>
      <c r="AI118" s="37"/>
      <c r="AJ118" s="37"/>
      <c r="AK118" s="83"/>
      <c r="AL118" s="37"/>
      <c r="AM118" s="37"/>
      <c r="AN118" s="37"/>
      <c r="AO118" s="37"/>
      <c r="AP118" s="37"/>
      <c r="AQ118" s="37"/>
      <c r="AR118" s="37"/>
      <c r="AS118" s="37"/>
    </row>
    <row r="119" spans="1:61" s="2" customFormat="1" ht="60" customHeight="1" x14ac:dyDescent="0.35">
      <c r="A119" s="32">
        <v>8</v>
      </c>
      <c r="B119" s="57" t="s">
        <v>132</v>
      </c>
      <c r="C119" s="43">
        <v>44602</v>
      </c>
      <c r="D119" s="3">
        <v>45907</v>
      </c>
      <c r="E119" s="44">
        <f t="shared" si="1"/>
        <v>1305</v>
      </c>
      <c r="F119" s="44">
        <f>E119/30</f>
        <v>43.5</v>
      </c>
      <c r="G119" s="44">
        <f t="shared" si="2"/>
        <v>3.5753424657534247</v>
      </c>
      <c r="H119" s="44">
        <f t="shared" si="3"/>
        <v>4.6875</v>
      </c>
      <c r="I119" s="2" t="s">
        <v>11</v>
      </c>
      <c r="J119" s="2">
        <v>2.4649999999999999</v>
      </c>
      <c r="K119" s="2">
        <v>4118</v>
      </c>
      <c r="L119" s="2" t="s">
        <v>11</v>
      </c>
      <c r="M119" s="2">
        <v>2.96</v>
      </c>
      <c r="N119" s="2">
        <v>4119</v>
      </c>
      <c r="R119" s="3">
        <v>45908</v>
      </c>
      <c r="S119" s="58">
        <v>0.35625000000000001</v>
      </c>
      <c r="T119" s="58"/>
      <c r="U119" s="2">
        <f>R119-$D$119</f>
        <v>1</v>
      </c>
      <c r="V119" s="17">
        <f>R129-D119</f>
        <v>37</v>
      </c>
      <c r="W119" s="27">
        <v>46.77</v>
      </c>
      <c r="X119" s="27">
        <v>25.67</v>
      </c>
      <c r="Y119" s="27">
        <v>3.22</v>
      </c>
      <c r="Z119" s="27">
        <v>19.149999999999999</v>
      </c>
      <c r="AA119" s="27">
        <v>19.649999999999999</v>
      </c>
      <c r="AB119" s="27" t="s">
        <v>55</v>
      </c>
      <c r="AC119" s="27" t="s">
        <v>55</v>
      </c>
      <c r="AD119" s="27" t="s">
        <v>55</v>
      </c>
      <c r="AE119" s="27" t="s">
        <v>55</v>
      </c>
      <c r="AF119" s="27" t="s">
        <v>55</v>
      </c>
      <c r="AG119" s="27" t="s">
        <v>55</v>
      </c>
      <c r="AH119" s="27" t="s">
        <v>55</v>
      </c>
      <c r="AI119" s="27" t="s">
        <v>55</v>
      </c>
      <c r="AJ119" s="27" t="s">
        <v>55</v>
      </c>
      <c r="AK119" s="27" t="s">
        <v>55</v>
      </c>
      <c r="AL119" s="27" t="s">
        <v>55</v>
      </c>
      <c r="AM119" s="27" t="s">
        <v>55</v>
      </c>
      <c r="AN119" s="27" t="s">
        <v>55</v>
      </c>
      <c r="AO119" s="27" t="s">
        <v>55</v>
      </c>
      <c r="AP119" s="27" t="s">
        <v>55</v>
      </c>
      <c r="AQ119" s="27" t="s">
        <v>55</v>
      </c>
      <c r="AR119" s="27" t="s">
        <v>55</v>
      </c>
      <c r="AS119" s="27" t="s">
        <v>55</v>
      </c>
      <c r="AT119" s="2" t="s">
        <v>50</v>
      </c>
    </row>
    <row r="120" spans="1:61" s="2" customFormat="1" ht="60" customHeight="1" x14ac:dyDescent="0.35">
      <c r="A120" s="32"/>
      <c r="B120" s="20"/>
      <c r="E120" s="44"/>
      <c r="F120" s="44"/>
      <c r="G120" s="44"/>
      <c r="H120" s="44"/>
      <c r="R120" s="3">
        <v>45910</v>
      </c>
      <c r="S120" s="58">
        <v>0.7</v>
      </c>
      <c r="T120" s="58"/>
      <c r="U120" s="2">
        <f t="shared" ref="U120:U132" si="17">R120-$D$119</f>
        <v>3</v>
      </c>
      <c r="W120" s="27">
        <v>29</v>
      </c>
      <c r="X120" s="27">
        <v>16.53</v>
      </c>
      <c r="Y120" s="27">
        <v>4.7</v>
      </c>
      <c r="Z120" s="27">
        <v>16.04</v>
      </c>
      <c r="AA120" s="27">
        <v>9.44</v>
      </c>
      <c r="AB120" s="27" t="s">
        <v>55</v>
      </c>
      <c r="AC120" s="27" t="s">
        <v>55</v>
      </c>
      <c r="AD120" s="27" t="s">
        <v>55</v>
      </c>
      <c r="AE120" s="27" t="s">
        <v>55</v>
      </c>
      <c r="AF120" s="27" t="s">
        <v>55</v>
      </c>
      <c r="AG120" s="27" t="s">
        <v>55</v>
      </c>
      <c r="AH120" s="27" t="s">
        <v>55</v>
      </c>
      <c r="AI120" s="27" t="s">
        <v>55</v>
      </c>
      <c r="AJ120" s="27" t="s">
        <v>55</v>
      </c>
      <c r="AK120" s="27" t="s">
        <v>55</v>
      </c>
      <c r="AL120" s="27" t="s">
        <v>55</v>
      </c>
      <c r="AM120" s="27" t="s">
        <v>55</v>
      </c>
      <c r="AN120" s="27" t="s">
        <v>55</v>
      </c>
      <c r="AO120" s="27" t="s">
        <v>55</v>
      </c>
      <c r="AP120" s="27" t="s">
        <v>55</v>
      </c>
      <c r="AQ120" s="27" t="s">
        <v>55</v>
      </c>
      <c r="AR120" s="27" t="s">
        <v>55</v>
      </c>
      <c r="AS120" s="27" t="s">
        <v>55</v>
      </c>
      <c r="AT120" s="2" t="s">
        <v>50</v>
      </c>
    </row>
    <row r="121" spans="1:61" s="2" customFormat="1" ht="60" customHeight="1" x14ac:dyDescent="0.35">
      <c r="A121" s="32"/>
      <c r="B121" s="20"/>
      <c r="E121" s="44"/>
      <c r="F121" s="44"/>
      <c r="G121" s="44"/>
      <c r="H121" s="44"/>
      <c r="R121" s="3">
        <v>45912</v>
      </c>
      <c r="S121" s="58">
        <v>0.38680555555555557</v>
      </c>
      <c r="T121" s="58"/>
      <c r="U121" s="2">
        <f t="shared" si="17"/>
        <v>5</v>
      </c>
      <c r="W121" s="27">
        <v>29.81</v>
      </c>
      <c r="X121" s="27">
        <v>14.2</v>
      </c>
      <c r="Y121" s="27">
        <v>3.99</v>
      </c>
      <c r="Z121" s="27">
        <v>11.1</v>
      </c>
      <c r="AA121" s="27">
        <v>8.11</v>
      </c>
      <c r="AB121" s="27" t="s">
        <v>55</v>
      </c>
      <c r="AC121" s="27" t="s">
        <v>55</v>
      </c>
      <c r="AD121" s="27" t="s">
        <v>55</v>
      </c>
      <c r="AE121" s="27" t="s">
        <v>55</v>
      </c>
      <c r="AF121" s="27" t="s">
        <v>55</v>
      </c>
      <c r="AG121" s="27" t="s">
        <v>55</v>
      </c>
      <c r="AH121" s="27" t="s">
        <v>55</v>
      </c>
      <c r="AI121" s="27" t="s">
        <v>55</v>
      </c>
      <c r="AJ121" s="27" t="s">
        <v>55</v>
      </c>
      <c r="AK121" s="27" t="s">
        <v>55</v>
      </c>
      <c r="AL121" s="27" t="s">
        <v>55</v>
      </c>
      <c r="AM121" s="27" t="s">
        <v>55</v>
      </c>
      <c r="AN121" s="27" t="s">
        <v>55</v>
      </c>
      <c r="AO121" s="27" t="s">
        <v>55</v>
      </c>
      <c r="AP121" s="27" t="s">
        <v>55</v>
      </c>
      <c r="AQ121" s="27" t="s">
        <v>55</v>
      </c>
      <c r="AR121" s="27" t="s">
        <v>55</v>
      </c>
      <c r="AS121" s="27" t="s">
        <v>55</v>
      </c>
      <c r="AT121" s="2" t="s">
        <v>52</v>
      </c>
      <c r="AU121" s="2">
        <v>0.78</v>
      </c>
      <c r="AV121" s="2">
        <v>2.23</v>
      </c>
      <c r="AW121" s="2">
        <v>5.64</v>
      </c>
      <c r="AX121" s="2">
        <v>4.53</v>
      </c>
      <c r="AZ121" s="2">
        <v>25.59</v>
      </c>
      <c r="BA121" s="2">
        <v>8.86</v>
      </c>
      <c r="BB121" s="2">
        <v>5.14</v>
      </c>
      <c r="BC121" s="2">
        <v>0.57499999999999996</v>
      </c>
      <c r="BD121" s="2">
        <v>0.26</v>
      </c>
      <c r="BE121" s="2">
        <v>0.01</v>
      </c>
      <c r="BF121" s="2">
        <v>0.03</v>
      </c>
      <c r="BG121" s="2">
        <v>46</v>
      </c>
      <c r="BH121" s="2">
        <v>96</v>
      </c>
    </row>
    <row r="122" spans="1:61" s="2" customFormat="1" ht="60" customHeight="1" x14ac:dyDescent="0.35">
      <c r="A122" s="32"/>
      <c r="B122" s="20"/>
      <c r="E122" s="44"/>
      <c r="F122" s="44"/>
      <c r="G122" s="44"/>
      <c r="H122" s="44"/>
      <c r="R122" s="3">
        <v>45915</v>
      </c>
      <c r="S122" s="58">
        <v>0.67083333333333328</v>
      </c>
      <c r="T122" s="58"/>
      <c r="U122" s="2">
        <f t="shared" si="17"/>
        <v>8</v>
      </c>
      <c r="W122" s="27">
        <v>34.729999999999997</v>
      </c>
      <c r="X122" s="27">
        <v>20.079999999999998</v>
      </c>
      <c r="Y122" s="27">
        <v>2.4500000000000002</v>
      </c>
      <c r="Z122" s="27">
        <v>20.7</v>
      </c>
      <c r="AA122" s="27">
        <v>11.7</v>
      </c>
      <c r="AB122" s="27" t="s">
        <v>55</v>
      </c>
      <c r="AC122" s="27" t="s">
        <v>55</v>
      </c>
      <c r="AD122" s="27" t="s">
        <v>55</v>
      </c>
      <c r="AE122" s="27" t="s">
        <v>55</v>
      </c>
      <c r="AF122" s="27" t="s">
        <v>55</v>
      </c>
      <c r="AG122" s="27" t="s">
        <v>55</v>
      </c>
      <c r="AH122" s="27" t="s">
        <v>55</v>
      </c>
      <c r="AI122" s="27" t="s">
        <v>55</v>
      </c>
      <c r="AJ122" s="27" t="s">
        <v>55</v>
      </c>
      <c r="AK122" s="27" t="s">
        <v>55</v>
      </c>
      <c r="AL122" s="27" t="s">
        <v>55</v>
      </c>
      <c r="AM122" s="27" t="s">
        <v>55</v>
      </c>
      <c r="AN122" s="27" t="s">
        <v>55</v>
      </c>
      <c r="AO122" s="27" t="s">
        <v>55</v>
      </c>
      <c r="AP122" s="27" t="s">
        <v>55</v>
      </c>
      <c r="AQ122" s="27" t="s">
        <v>55</v>
      </c>
      <c r="AR122" s="27" t="s">
        <v>55</v>
      </c>
      <c r="AS122" s="27" t="s">
        <v>55</v>
      </c>
      <c r="AT122" s="2" t="s">
        <v>52</v>
      </c>
      <c r="AU122" s="2">
        <v>1</v>
      </c>
      <c r="AV122" s="2">
        <v>3.85</v>
      </c>
      <c r="AW122" s="2">
        <v>0</v>
      </c>
      <c r="AX122" s="2" t="s">
        <v>89</v>
      </c>
      <c r="AZ122" s="2">
        <v>30.91</v>
      </c>
      <c r="BA122" s="2">
        <v>7.94</v>
      </c>
      <c r="BB122" s="2">
        <v>3.33</v>
      </c>
      <c r="BC122" s="2">
        <v>0.41499999999999998</v>
      </c>
      <c r="BD122" s="2">
        <v>0.38</v>
      </c>
      <c r="BE122" s="2">
        <v>0</v>
      </c>
      <c r="BF122" s="2">
        <v>0.03</v>
      </c>
      <c r="BG122" s="2">
        <v>50</v>
      </c>
      <c r="BH122" s="2">
        <v>132</v>
      </c>
      <c r="BI122" s="2" t="s">
        <v>165</v>
      </c>
    </row>
    <row r="123" spans="1:61" s="2" customFormat="1" ht="60" customHeight="1" x14ac:dyDescent="0.35">
      <c r="A123" s="32"/>
      <c r="B123" s="20"/>
      <c r="E123" s="44"/>
      <c r="F123" s="44"/>
      <c r="G123" s="44"/>
      <c r="H123" s="44"/>
      <c r="R123" s="3">
        <v>45918</v>
      </c>
      <c r="S123" s="58">
        <v>0.81666666666666665</v>
      </c>
      <c r="T123" s="58"/>
      <c r="U123" s="2">
        <f t="shared" si="17"/>
        <v>11</v>
      </c>
      <c r="W123" s="27">
        <v>23.25</v>
      </c>
      <c r="X123" s="27">
        <v>9.3699999999999992</v>
      </c>
      <c r="Y123" s="27">
        <v>3.1</v>
      </c>
      <c r="Z123" s="27">
        <v>7.16</v>
      </c>
      <c r="AA123" s="27">
        <v>14.66</v>
      </c>
      <c r="AB123" s="27" t="s">
        <v>183</v>
      </c>
      <c r="AC123" s="27" t="s">
        <v>184</v>
      </c>
      <c r="AD123" s="27">
        <v>11</v>
      </c>
      <c r="AE123" s="27" t="s">
        <v>55</v>
      </c>
      <c r="AF123" s="27" t="s">
        <v>55</v>
      </c>
      <c r="AG123" s="27" t="s">
        <v>55</v>
      </c>
      <c r="AH123" s="27" t="s">
        <v>55</v>
      </c>
      <c r="AI123" s="27" t="s">
        <v>55</v>
      </c>
      <c r="AJ123" s="27" t="s">
        <v>55</v>
      </c>
      <c r="AK123" s="27" t="s">
        <v>55</v>
      </c>
      <c r="AL123" s="27" t="s">
        <v>55</v>
      </c>
      <c r="AM123" s="27" t="s">
        <v>55</v>
      </c>
      <c r="AN123" s="27" t="s">
        <v>55</v>
      </c>
      <c r="AO123" s="27" t="s">
        <v>55</v>
      </c>
      <c r="AP123" s="27" t="s">
        <v>55</v>
      </c>
      <c r="AQ123" s="27" t="s">
        <v>55</v>
      </c>
      <c r="AR123" s="27" t="s">
        <v>55</v>
      </c>
      <c r="AS123" s="27" t="s">
        <v>55</v>
      </c>
      <c r="AT123" s="2" t="s">
        <v>52</v>
      </c>
      <c r="AU123" s="2">
        <v>0.74</v>
      </c>
      <c r="AV123" s="2">
        <v>1.74</v>
      </c>
      <c r="AW123" s="2">
        <v>8.09</v>
      </c>
      <c r="AX123" s="2">
        <v>3.91</v>
      </c>
      <c r="AZ123" s="2">
        <v>31.66</v>
      </c>
      <c r="BA123" s="2">
        <v>13.4</v>
      </c>
      <c r="BB123" s="2">
        <v>7.57</v>
      </c>
      <c r="BC123" s="2">
        <v>0.56000000000000005</v>
      </c>
      <c r="BD123" s="2">
        <v>0.4</v>
      </c>
      <c r="BE123" s="2">
        <v>0.03</v>
      </c>
      <c r="BF123" s="2">
        <v>7.0000000000000007E-2</v>
      </c>
      <c r="BG123" s="2">
        <v>42</v>
      </c>
      <c r="BH123" s="2">
        <v>101</v>
      </c>
      <c r="BI123" s="2" t="s">
        <v>182</v>
      </c>
    </row>
    <row r="124" spans="1:61" s="2" customFormat="1" ht="60" customHeight="1" x14ac:dyDescent="0.35">
      <c r="A124" s="32"/>
      <c r="B124" s="20"/>
      <c r="E124" s="44"/>
      <c r="F124" s="44"/>
      <c r="G124" s="44"/>
      <c r="H124" s="44"/>
      <c r="P124" s="2">
        <v>2.25</v>
      </c>
      <c r="R124" s="3">
        <v>45922</v>
      </c>
      <c r="S124" s="58">
        <v>0.34375</v>
      </c>
      <c r="T124" s="58"/>
      <c r="U124" s="2">
        <f t="shared" si="17"/>
        <v>15</v>
      </c>
      <c r="W124" s="27">
        <v>18.02</v>
      </c>
      <c r="X124" s="27">
        <v>9.08</v>
      </c>
      <c r="Y124" s="27">
        <v>2.36</v>
      </c>
      <c r="Z124" s="27">
        <v>6.94</v>
      </c>
      <c r="AA124" s="27">
        <v>1.2</v>
      </c>
      <c r="AB124" s="27" t="s">
        <v>250</v>
      </c>
      <c r="AC124" s="27" t="s">
        <v>150</v>
      </c>
      <c r="AD124" s="27">
        <v>11</v>
      </c>
      <c r="AE124" s="27" t="s">
        <v>55</v>
      </c>
      <c r="AF124" s="27" t="s">
        <v>55</v>
      </c>
      <c r="AG124" s="27" t="s">
        <v>55</v>
      </c>
      <c r="AH124" s="27" t="s">
        <v>55</v>
      </c>
      <c r="AI124" s="27" t="s">
        <v>55</v>
      </c>
      <c r="AJ124" s="27" t="s">
        <v>55</v>
      </c>
      <c r="AK124" s="27" t="s">
        <v>55</v>
      </c>
      <c r="AL124" s="27" t="s">
        <v>55</v>
      </c>
      <c r="AM124" s="27" t="s">
        <v>55</v>
      </c>
      <c r="AN124" s="27" t="s">
        <v>55</v>
      </c>
      <c r="AO124" s="27" t="s">
        <v>55</v>
      </c>
      <c r="AP124" s="27" t="s">
        <v>55</v>
      </c>
      <c r="AQ124" s="27" t="s">
        <v>55</v>
      </c>
      <c r="AR124" s="27" t="s">
        <v>55</v>
      </c>
      <c r="AS124" s="27" t="s">
        <v>55</v>
      </c>
      <c r="AT124" s="2" t="s">
        <v>52</v>
      </c>
      <c r="AU124" s="2">
        <v>1</v>
      </c>
      <c r="AV124" s="2">
        <v>4.75</v>
      </c>
      <c r="AW124" s="2">
        <v>0</v>
      </c>
      <c r="AX124" s="2" t="s">
        <v>89</v>
      </c>
      <c r="AZ124" s="2">
        <v>37.799999999999997</v>
      </c>
      <c r="BA124" s="2">
        <v>7.89</v>
      </c>
      <c r="BB124" s="2">
        <v>4.1399999999999997</v>
      </c>
      <c r="BC124" s="2">
        <v>0.52</v>
      </c>
      <c r="BD124" s="2">
        <v>0.56999999999999995</v>
      </c>
      <c r="BE124" s="2">
        <v>0</v>
      </c>
      <c r="BF124" s="2">
        <v>0.02</v>
      </c>
      <c r="BG124" s="2">
        <v>54</v>
      </c>
      <c r="BH124" s="2">
        <v>107</v>
      </c>
      <c r="BI124" s="2" t="s">
        <v>152</v>
      </c>
    </row>
    <row r="125" spans="1:61" s="2" customFormat="1" ht="60" customHeight="1" x14ac:dyDescent="0.35">
      <c r="A125" s="32"/>
      <c r="B125" s="20"/>
      <c r="E125" s="44"/>
      <c r="F125" s="44"/>
      <c r="G125" s="44"/>
      <c r="H125" s="44"/>
      <c r="P125" s="2">
        <v>2.25</v>
      </c>
      <c r="R125" s="3">
        <v>45925</v>
      </c>
      <c r="S125" s="58">
        <v>0.77500000000000002</v>
      </c>
      <c r="T125" s="58"/>
      <c r="U125" s="2">
        <f t="shared" si="17"/>
        <v>18</v>
      </c>
      <c r="W125" s="27">
        <v>19</v>
      </c>
      <c r="X125" s="27">
        <v>9.6</v>
      </c>
      <c r="Y125" s="27">
        <v>2.82</v>
      </c>
      <c r="Z125" s="27">
        <v>6.21</v>
      </c>
      <c r="AA125" s="37">
        <v>3.39</v>
      </c>
      <c r="AB125" s="27" t="s">
        <v>217</v>
      </c>
      <c r="AC125" s="27" t="s">
        <v>218</v>
      </c>
      <c r="AD125" s="27">
        <v>11</v>
      </c>
      <c r="AE125" s="27" t="s">
        <v>55</v>
      </c>
      <c r="AF125" s="27" t="s">
        <v>55</v>
      </c>
      <c r="AG125" s="27" t="s">
        <v>55</v>
      </c>
      <c r="AH125" s="27" t="s">
        <v>55</v>
      </c>
      <c r="AI125" s="27" t="s">
        <v>55</v>
      </c>
      <c r="AJ125" s="27" t="s">
        <v>55</v>
      </c>
      <c r="AK125" s="27" t="s">
        <v>55</v>
      </c>
      <c r="AL125" s="27" t="s">
        <v>55</v>
      </c>
      <c r="AM125" s="27" t="s">
        <v>55</v>
      </c>
      <c r="AN125" s="27" t="s">
        <v>55</v>
      </c>
      <c r="AO125" s="27" t="s">
        <v>55</v>
      </c>
      <c r="AP125" s="27" t="s">
        <v>55</v>
      </c>
      <c r="AQ125" s="27" t="s">
        <v>55</v>
      </c>
      <c r="AR125" s="27" t="s">
        <v>55</v>
      </c>
      <c r="AS125" s="27" t="s">
        <v>55</v>
      </c>
      <c r="AT125" s="2" t="s">
        <v>52</v>
      </c>
      <c r="AU125" s="2">
        <v>1</v>
      </c>
      <c r="AV125" s="2">
        <v>3.92</v>
      </c>
      <c r="AW125" s="2">
        <v>0</v>
      </c>
      <c r="AX125" s="2" t="s">
        <v>89</v>
      </c>
      <c r="AZ125" s="2">
        <v>43.14</v>
      </c>
      <c r="BA125" s="2">
        <v>10.91</v>
      </c>
      <c r="BB125" s="2">
        <v>7.09</v>
      </c>
      <c r="BC125" s="2">
        <v>0.64500000000000002</v>
      </c>
      <c r="BD125" s="2">
        <v>0.74</v>
      </c>
      <c r="BE125" s="2">
        <v>0</v>
      </c>
      <c r="BF125" s="2">
        <v>0.05</v>
      </c>
      <c r="BG125" s="2">
        <v>54</v>
      </c>
      <c r="BH125" s="2">
        <v>88</v>
      </c>
      <c r="BI125" s="2" t="s">
        <v>152</v>
      </c>
    </row>
    <row r="126" spans="1:61" s="2" customFormat="1" ht="60" customHeight="1" x14ac:dyDescent="0.35">
      <c r="A126" s="32"/>
      <c r="B126" s="20"/>
      <c r="E126" s="44"/>
      <c r="F126" s="44"/>
      <c r="G126" s="44"/>
      <c r="H126" s="44"/>
      <c r="P126" s="2">
        <v>2.25</v>
      </c>
      <c r="R126" s="3">
        <v>45930</v>
      </c>
      <c r="S126" s="58">
        <v>0.70486111111111116</v>
      </c>
      <c r="T126" s="58"/>
      <c r="U126" s="2">
        <f t="shared" si="17"/>
        <v>23</v>
      </c>
      <c r="W126" s="27">
        <v>14.13</v>
      </c>
      <c r="X126" s="27">
        <v>8.31</v>
      </c>
      <c r="Y126" s="27">
        <v>2.2599999999999998</v>
      </c>
      <c r="Z126" s="27">
        <v>6.4</v>
      </c>
      <c r="AA126" s="27">
        <v>2.94</v>
      </c>
      <c r="AB126" s="27" t="s">
        <v>217</v>
      </c>
      <c r="AC126" s="27" t="s">
        <v>115</v>
      </c>
      <c r="AD126" s="27">
        <v>11</v>
      </c>
      <c r="AE126" s="27" t="s">
        <v>55</v>
      </c>
      <c r="AF126" s="27" t="s">
        <v>55</v>
      </c>
      <c r="AG126" s="27" t="s">
        <v>55</v>
      </c>
      <c r="AH126" s="27" t="s">
        <v>55</v>
      </c>
      <c r="AI126" s="27" t="s">
        <v>55</v>
      </c>
      <c r="AJ126" s="27" t="s">
        <v>55</v>
      </c>
      <c r="AK126" s="27" t="s">
        <v>55</v>
      </c>
      <c r="AL126" s="27" t="s">
        <v>55</v>
      </c>
      <c r="AM126" s="27" t="s">
        <v>55</v>
      </c>
      <c r="AN126" s="27" t="s">
        <v>55</v>
      </c>
      <c r="AO126" s="27" t="s">
        <v>55</v>
      </c>
      <c r="AP126" s="27" t="s">
        <v>55</v>
      </c>
      <c r="AQ126" s="27" t="s">
        <v>55</v>
      </c>
      <c r="AR126" s="27" t="s">
        <v>55</v>
      </c>
      <c r="AS126" s="27" t="s">
        <v>55</v>
      </c>
      <c r="AT126" s="2" t="s">
        <v>50</v>
      </c>
      <c r="BI126" s="2" t="s">
        <v>152</v>
      </c>
    </row>
    <row r="127" spans="1:61" s="2" customFormat="1" ht="60" customHeight="1" x14ac:dyDescent="0.35">
      <c r="A127" s="32"/>
      <c r="B127" s="20"/>
      <c r="E127" s="44"/>
      <c r="F127" s="44"/>
      <c r="G127" s="44"/>
      <c r="H127" s="44"/>
      <c r="P127" s="2">
        <v>2.25</v>
      </c>
      <c r="R127" s="3">
        <v>45936</v>
      </c>
      <c r="S127" s="58">
        <v>0.68611111111111112</v>
      </c>
      <c r="T127" s="58"/>
      <c r="U127" s="2">
        <f t="shared" si="17"/>
        <v>29</v>
      </c>
      <c r="W127" s="27">
        <v>12.45</v>
      </c>
      <c r="X127" s="27">
        <v>5.95</v>
      </c>
      <c r="Y127" s="27">
        <v>1.69</v>
      </c>
      <c r="Z127" s="27">
        <v>5.67</v>
      </c>
      <c r="AA127" s="27">
        <v>1.52</v>
      </c>
      <c r="AB127" s="27" t="s">
        <v>268</v>
      </c>
      <c r="AC127" s="27" t="s">
        <v>500</v>
      </c>
      <c r="AD127" s="27">
        <v>11</v>
      </c>
      <c r="AE127" s="27" t="s">
        <v>55</v>
      </c>
      <c r="AF127" s="27" t="s">
        <v>55</v>
      </c>
      <c r="AG127" s="27" t="s">
        <v>55</v>
      </c>
      <c r="AH127" s="27" t="s">
        <v>55</v>
      </c>
      <c r="AI127" s="27" t="s">
        <v>55</v>
      </c>
      <c r="AJ127" s="27" t="s">
        <v>55</v>
      </c>
      <c r="AK127" s="27" t="s">
        <v>55</v>
      </c>
      <c r="AL127" s="27" t="s">
        <v>55</v>
      </c>
      <c r="AM127" s="27" t="s">
        <v>55</v>
      </c>
      <c r="AN127" s="27" t="s">
        <v>55</v>
      </c>
      <c r="AO127" s="27" t="s">
        <v>55</v>
      </c>
      <c r="AP127" s="27" t="s">
        <v>55</v>
      </c>
      <c r="AQ127" s="27" t="s">
        <v>55</v>
      </c>
      <c r="AR127" s="27" t="s">
        <v>55</v>
      </c>
      <c r="AS127" s="27" t="s">
        <v>55</v>
      </c>
      <c r="AT127" s="2" t="s">
        <v>50</v>
      </c>
      <c r="BI127" s="2" t="s">
        <v>152</v>
      </c>
    </row>
    <row r="128" spans="1:61" s="2" customFormat="1" ht="60" customHeight="1" x14ac:dyDescent="0.35">
      <c r="A128" s="32"/>
      <c r="B128" s="20"/>
      <c r="E128" s="44"/>
      <c r="F128" s="44"/>
      <c r="G128" s="44"/>
      <c r="H128" s="44"/>
      <c r="P128" s="2">
        <v>2.5</v>
      </c>
      <c r="R128" s="3">
        <v>45939</v>
      </c>
      <c r="S128" s="61">
        <v>45939.368750000001</v>
      </c>
      <c r="T128" s="58"/>
      <c r="U128" s="2">
        <f t="shared" si="17"/>
        <v>32</v>
      </c>
      <c r="W128" s="27">
        <v>12.6</v>
      </c>
      <c r="X128" s="27">
        <v>6</v>
      </c>
      <c r="Y128" s="27">
        <v>1.1000000000000001</v>
      </c>
      <c r="Z128" s="27">
        <v>5.12</v>
      </c>
      <c r="AA128" s="27">
        <v>2.4500000000000002</v>
      </c>
      <c r="AB128" s="27" t="s">
        <v>307</v>
      </c>
      <c r="AC128" s="27" t="s">
        <v>150</v>
      </c>
      <c r="AD128" s="27">
        <v>11</v>
      </c>
      <c r="AE128" s="27" t="s">
        <v>55</v>
      </c>
      <c r="AF128" s="27" t="s">
        <v>55</v>
      </c>
      <c r="AG128" s="27" t="s">
        <v>55</v>
      </c>
      <c r="AH128" s="27" t="s">
        <v>55</v>
      </c>
      <c r="AI128" s="27" t="s">
        <v>55</v>
      </c>
      <c r="AJ128" s="27" t="s">
        <v>55</v>
      </c>
      <c r="AK128" s="27" t="s">
        <v>55</v>
      </c>
      <c r="AL128" s="27" t="s">
        <v>55</v>
      </c>
      <c r="AM128" s="27" t="s">
        <v>55</v>
      </c>
      <c r="AN128" s="27" t="s">
        <v>55</v>
      </c>
      <c r="AO128" s="27" t="s">
        <v>55</v>
      </c>
      <c r="AP128" s="27" t="s">
        <v>55</v>
      </c>
      <c r="AQ128" s="27" t="s">
        <v>55</v>
      </c>
      <c r="AR128" s="27" t="s">
        <v>55</v>
      </c>
      <c r="AS128" s="27" t="s">
        <v>55</v>
      </c>
      <c r="AT128" s="2" t="s">
        <v>52</v>
      </c>
      <c r="AU128" s="2">
        <v>0.74</v>
      </c>
      <c r="AV128" s="2">
        <v>1.56</v>
      </c>
      <c r="AW128" s="2">
        <v>13.67</v>
      </c>
      <c r="AX128" s="2">
        <v>3.83</v>
      </c>
      <c r="AZ128" s="2">
        <v>52.35</v>
      </c>
      <c r="BA128" s="2">
        <v>24.54</v>
      </c>
      <c r="BB128" s="2">
        <v>13.99</v>
      </c>
      <c r="BC128" s="2">
        <v>0.56499999999999995</v>
      </c>
      <c r="BD128" s="2">
        <v>1.1000000000000001</v>
      </c>
      <c r="BE128" s="2">
        <v>7.0000000000000007E-2</v>
      </c>
      <c r="BF128" s="2">
        <v>0.24</v>
      </c>
      <c r="BG128" s="2">
        <v>48</v>
      </c>
      <c r="BH128" s="2">
        <v>76</v>
      </c>
      <c r="BI128" s="2" t="s">
        <v>152</v>
      </c>
    </row>
    <row r="129" spans="1:61" s="2" customFormat="1" ht="60" customHeight="1" x14ac:dyDescent="0.35">
      <c r="A129" s="32"/>
      <c r="B129" s="20"/>
      <c r="E129" s="44"/>
      <c r="F129" s="44"/>
      <c r="G129" s="44"/>
      <c r="H129" s="44"/>
      <c r="P129" s="2">
        <v>2.5</v>
      </c>
      <c r="R129" s="3">
        <v>45944</v>
      </c>
      <c r="S129" s="61">
        <v>45944.712500000001</v>
      </c>
      <c r="T129" s="2">
        <f>S129-S128</f>
        <v>5.34375</v>
      </c>
      <c r="U129" s="2">
        <f t="shared" si="17"/>
        <v>37</v>
      </c>
      <c r="W129" s="27">
        <v>12.47</v>
      </c>
      <c r="X129" s="27">
        <v>7.34</v>
      </c>
      <c r="Y129" s="27">
        <v>2.2599999999999998</v>
      </c>
      <c r="Z129" s="27">
        <v>4.71</v>
      </c>
      <c r="AA129" s="27">
        <v>2.2599999999999998</v>
      </c>
      <c r="AB129" s="27" t="s">
        <v>357</v>
      </c>
      <c r="AC129" s="27" t="s">
        <v>153</v>
      </c>
      <c r="AD129" s="27">
        <v>11</v>
      </c>
      <c r="AE129" s="62">
        <f>$S$128+($T$129/2)</f>
        <v>45942.040625000001</v>
      </c>
      <c r="AF129" s="27">
        <f>$U$128+($T$129/2)</f>
        <v>34.671875</v>
      </c>
      <c r="AG129" s="37" t="s">
        <v>358</v>
      </c>
      <c r="AH129" s="37">
        <v>16.84</v>
      </c>
      <c r="AI129" s="37">
        <v>3.6</v>
      </c>
      <c r="AJ129" s="37">
        <f>AH129-AI129</f>
        <v>13.24</v>
      </c>
      <c r="AK129" s="27" t="s">
        <v>55</v>
      </c>
      <c r="AL129" s="27" t="s">
        <v>55</v>
      </c>
      <c r="AM129" s="27" t="s">
        <v>55</v>
      </c>
      <c r="AN129" s="27" t="s">
        <v>55</v>
      </c>
      <c r="AO129" s="27" t="s">
        <v>55</v>
      </c>
      <c r="AP129" s="27" t="s">
        <v>55</v>
      </c>
      <c r="AQ129" s="27" t="s">
        <v>55</v>
      </c>
      <c r="AR129" s="27" t="s">
        <v>55</v>
      </c>
      <c r="AS129" s="27" t="s">
        <v>55</v>
      </c>
      <c r="AT129" s="2" t="s">
        <v>52</v>
      </c>
      <c r="AU129" s="2">
        <v>1</v>
      </c>
      <c r="AV129" s="2">
        <v>4.12</v>
      </c>
      <c r="AW129" s="2">
        <v>0</v>
      </c>
      <c r="AX129" s="2" t="s">
        <v>89</v>
      </c>
      <c r="AZ129" s="2">
        <v>21.55</v>
      </c>
      <c r="BA129" s="2">
        <v>5.19</v>
      </c>
      <c r="BB129" s="2">
        <v>3.35</v>
      </c>
      <c r="BC129" s="2">
        <v>0.64</v>
      </c>
      <c r="BD129" s="2">
        <v>0.19</v>
      </c>
      <c r="BE129" s="2">
        <v>0</v>
      </c>
      <c r="BF129" s="2">
        <v>0.01</v>
      </c>
      <c r="BG129" s="2">
        <v>50</v>
      </c>
      <c r="BH129" s="2">
        <v>86</v>
      </c>
      <c r="BI129" s="2" t="s">
        <v>152</v>
      </c>
    </row>
    <row r="130" spans="1:61" s="2" customFormat="1" ht="60" customHeight="1" x14ac:dyDescent="0.35">
      <c r="A130" s="32"/>
      <c r="B130" s="20"/>
      <c r="E130" s="44"/>
      <c r="F130" s="44"/>
      <c r="G130" s="44"/>
      <c r="H130" s="44"/>
      <c r="P130" s="2">
        <v>2.5</v>
      </c>
      <c r="R130" s="3">
        <v>45947</v>
      </c>
      <c r="S130" s="58">
        <v>0.49166666666666664</v>
      </c>
      <c r="T130" s="3"/>
      <c r="U130" s="2">
        <f t="shared" si="17"/>
        <v>40</v>
      </c>
      <c r="W130" s="27">
        <v>17.84</v>
      </c>
      <c r="X130" s="27">
        <v>7.94</v>
      </c>
      <c r="Y130" s="27">
        <v>2.64</v>
      </c>
      <c r="Z130" s="27">
        <v>5.45</v>
      </c>
      <c r="AA130" s="27">
        <v>3.88</v>
      </c>
      <c r="AB130" s="27" t="s">
        <v>376</v>
      </c>
      <c r="AC130" s="27" t="s">
        <v>280</v>
      </c>
      <c r="AD130" s="27">
        <v>11</v>
      </c>
      <c r="AE130" s="62">
        <f t="shared" ref="AE130:AE132" si="18">$S$128+($T$129/2)</f>
        <v>45942.040625000001</v>
      </c>
      <c r="AF130" s="27">
        <f t="shared" ref="AF130:AF132" si="19">$U$128+($T$129/2)</f>
        <v>34.671875</v>
      </c>
      <c r="AG130" s="37" t="s">
        <v>375</v>
      </c>
      <c r="AH130" s="37">
        <v>9.17</v>
      </c>
      <c r="AI130" s="37">
        <v>1.91</v>
      </c>
      <c r="AJ130" s="37">
        <f>AH130-AI130</f>
        <v>7.26</v>
      </c>
      <c r="AK130" s="27" t="s">
        <v>55</v>
      </c>
      <c r="AL130" s="27" t="s">
        <v>55</v>
      </c>
      <c r="AM130" s="27" t="s">
        <v>55</v>
      </c>
      <c r="AN130" s="27" t="s">
        <v>55</v>
      </c>
      <c r="AO130" s="27" t="s">
        <v>55</v>
      </c>
      <c r="AP130" s="27" t="s">
        <v>55</v>
      </c>
      <c r="AQ130" s="27" t="s">
        <v>55</v>
      </c>
      <c r="AR130" s="27" t="s">
        <v>55</v>
      </c>
      <c r="AS130" s="27" t="s">
        <v>55</v>
      </c>
      <c r="AT130" s="2" t="s">
        <v>52</v>
      </c>
      <c r="AU130" s="2">
        <v>0.6</v>
      </c>
      <c r="AV130" s="2">
        <v>1.07</v>
      </c>
      <c r="AW130" s="2">
        <v>13.99</v>
      </c>
      <c r="AX130" s="2">
        <v>2.4900000000000002</v>
      </c>
      <c r="AZ130" s="2">
        <v>34.85</v>
      </c>
      <c r="BA130" s="2">
        <v>19.28</v>
      </c>
      <c r="BB130" s="2">
        <v>9.5399999999999991</v>
      </c>
      <c r="BC130" s="2">
        <v>0.49</v>
      </c>
      <c r="BD130" s="2">
        <v>0.49</v>
      </c>
      <c r="BE130" s="2">
        <v>0.08</v>
      </c>
      <c r="BF130" s="2">
        <v>0.15</v>
      </c>
      <c r="BG130" s="2">
        <v>8</v>
      </c>
      <c r="BH130" s="2">
        <v>109</v>
      </c>
      <c r="BI130" s="2" t="s">
        <v>401</v>
      </c>
    </row>
    <row r="131" spans="1:61" s="2" customFormat="1" ht="60" customHeight="1" x14ac:dyDescent="0.35">
      <c r="A131" s="32"/>
      <c r="B131" s="20"/>
      <c r="E131" s="44"/>
      <c r="F131" s="44"/>
      <c r="G131" s="44"/>
      <c r="H131" s="44"/>
      <c r="P131" s="2">
        <v>2.5</v>
      </c>
      <c r="R131" s="3">
        <v>45951</v>
      </c>
      <c r="S131" s="58">
        <v>0.69652777777777775</v>
      </c>
      <c r="T131" s="3"/>
      <c r="U131" s="2">
        <f t="shared" si="17"/>
        <v>44</v>
      </c>
      <c r="W131" s="27">
        <v>14.6</v>
      </c>
      <c r="X131" s="27">
        <v>6.52</v>
      </c>
      <c r="Y131" s="27">
        <v>2.08</v>
      </c>
      <c r="Z131" s="27">
        <v>4.88</v>
      </c>
      <c r="AA131" s="27">
        <v>1.5</v>
      </c>
      <c r="AB131" s="37" t="s">
        <v>412</v>
      </c>
      <c r="AC131" s="37" t="s">
        <v>413</v>
      </c>
      <c r="AD131" s="27">
        <v>11</v>
      </c>
      <c r="AE131" s="62">
        <f t="shared" si="18"/>
        <v>45942.040625000001</v>
      </c>
      <c r="AF131" s="27">
        <f t="shared" si="19"/>
        <v>34.671875</v>
      </c>
      <c r="AG131" s="37" t="s">
        <v>411</v>
      </c>
      <c r="AH131" s="37">
        <v>94.6</v>
      </c>
      <c r="AI131" s="37">
        <v>51.69</v>
      </c>
      <c r="AJ131" s="37">
        <f t="shared" ref="AJ131:AJ132" si="20">AH131-AI131</f>
        <v>42.91</v>
      </c>
      <c r="AK131" s="27" t="s">
        <v>55</v>
      </c>
      <c r="AL131" s="27" t="s">
        <v>55</v>
      </c>
      <c r="AM131" s="27" t="s">
        <v>55</v>
      </c>
      <c r="AN131" s="27">
        <v>64.709999999999994</v>
      </c>
      <c r="AO131" s="37">
        <v>27.31</v>
      </c>
      <c r="AP131" s="27">
        <f>AN131-AO131</f>
        <v>37.399999999999991</v>
      </c>
      <c r="AQ131" s="27" t="s">
        <v>55</v>
      </c>
      <c r="AR131" s="27" t="s">
        <v>55</v>
      </c>
      <c r="AS131" s="27" t="s">
        <v>55</v>
      </c>
      <c r="AT131" s="2" t="s">
        <v>52</v>
      </c>
      <c r="AU131" s="2">
        <v>1</v>
      </c>
      <c r="AV131" s="2">
        <v>2.37</v>
      </c>
      <c r="AW131" s="2">
        <v>0</v>
      </c>
      <c r="AX131" s="2" t="s">
        <v>89</v>
      </c>
      <c r="AZ131" s="2">
        <v>22.81</v>
      </c>
      <c r="BA131" s="2">
        <v>9.5299999999999994</v>
      </c>
      <c r="BB131" s="2">
        <v>5.38</v>
      </c>
      <c r="BC131" s="2">
        <v>0.56000000000000005</v>
      </c>
      <c r="BD131" s="2">
        <v>0.21</v>
      </c>
      <c r="BE131" s="2">
        <v>0</v>
      </c>
      <c r="BF131" s="2">
        <v>0.04</v>
      </c>
      <c r="BG131" s="2">
        <v>32</v>
      </c>
      <c r="BH131" s="2">
        <v>101</v>
      </c>
      <c r="BI131" s="2" t="s">
        <v>334</v>
      </c>
    </row>
    <row r="132" spans="1:61" s="2" customFormat="1" ht="60" customHeight="1" x14ac:dyDescent="0.35">
      <c r="A132" s="32"/>
      <c r="B132" s="20"/>
      <c r="E132" s="44"/>
      <c r="F132" s="44"/>
      <c r="G132" s="44"/>
      <c r="H132" s="44"/>
      <c r="P132" s="2">
        <v>2.5</v>
      </c>
      <c r="R132" s="3">
        <v>45954</v>
      </c>
      <c r="S132" s="58">
        <v>0.69722222222222219</v>
      </c>
      <c r="T132" s="3"/>
      <c r="U132" s="2">
        <f t="shared" si="17"/>
        <v>47</v>
      </c>
      <c r="W132" s="27" t="s">
        <v>55</v>
      </c>
      <c r="X132" s="27" t="s">
        <v>55</v>
      </c>
      <c r="Y132" s="27" t="s">
        <v>55</v>
      </c>
      <c r="Z132" s="27" t="s">
        <v>55</v>
      </c>
      <c r="AA132" s="27" t="s">
        <v>55</v>
      </c>
      <c r="AB132" s="27" t="s">
        <v>272</v>
      </c>
      <c r="AC132" s="27" t="s">
        <v>272</v>
      </c>
      <c r="AD132" s="27">
        <v>11</v>
      </c>
      <c r="AE132" s="62">
        <f t="shared" si="18"/>
        <v>45942.040625000001</v>
      </c>
      <c r="AF132" s="27">
        <f t="shared" si="19"/>
        <v>34.671875</v>
      </c>
      <c r="AG132" s="37" t="s">
        <v>444</v>
      </c>
      <c r="AH132" s="37">
        <v>108.82</v>
      </c>
      <c r="AI132" s="37">
        <v>22.22</v>
      </c>
      <c r="AJ132" s="37">
        <f t="shared" si="20"/>
        <v>86.6</v>
      </c>
      <c r="AK132" s="27" t="s">
        <v>55</v>
      </c>
      <c r="AL132" s="27" t="s">
        <v>55</v>
      </c>
      <c r="AM132" s="27" t="s">
        <v>55</v>
      </c>
      <c r="AN132" s="37">
        <v>72.63</v>
      </c>
      <c r="AO132" s="37">
        <v>6.93</v>
      </c>
      <c r="AP132" s="27">
        <f>AN132-AO132</f>
        <v>65.699999999999989</v>
      </c>
      <c r="AQ132" s="27" t="s">
        <v>55</v>
      </c>
      <c r="AR132" s="27" t="s">
        <v>55</v>
      </c>
      <c r="AS132" s="27" t="s">
        <v>55</v>
      </c>
      <c r="AT132" s="2" t="s">
        <v>55</v>
      </c>
    </row>
    <row r="133" spans="1:61" s="2" customFormat="1" ht="60" customHeight="1" x14ac:dyDescent="0.35">
      <c r="A133" s="32"/>
      <c r="B133" s="20"/>
      <c r="E133" s="44"/>
      <c r="F133" s="44"/>
      <c r="G133" s="44"/>
      <c r="H133" s="44"/>
      <c r="R133" s="3"/>
      <c r="S133" s="58"/>
      <c r="T133" s="3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</row>
    <row r="134" spans="1:61" s="2" customFormat="1" ht="60" customHeight="1" x14ac:dyDescent="0.35">
      <c r="A134" s="32">
        <v>9</v>
      </c>
      <c r="B134" s="57" t="s">
        <v>136</v>
      </c>
      <c r="C134" s="3">
        <v>45283</v>
      </c>
      <c r="D134" s="3">
        <v>45908</v>
      </c>
      <c r="E134" s="44">
        <f t="shared" ref="E134" si="21">(D134-C134)</f>
        <v>625</v>
      </c>
      <c r="F134" s="44">
        <f>E134/30</f>
        <v>20.833333333333332</v>
      </c>
      <c r="G134" s="44">
        <f t="shared" ref="G134:G193" si="22">E134/365</f>
        <v>1.7123287671232876</v>
      </c>
      <c r="H134" s="44">
        <f t="shared" ref="H134:H193" si="23">(E134-180)/240</f>
        <v>1.8541666666666667</v>
      </c>
      <c r="I134" s="2" t="s">
        <v>11</v>
      </c>
      <c r="J134" s="2">
        <v>3.1</v>
      </c>
      <c r="K134" s="2">
        <v>4120</v>
      </c>
      <c r="Q134" s="2" t="s">
        <v>141</v>
      </c>
      <c r="R134" s="3">
        <v>45910</v>
      </c>
      <c r="S134" s="58">
        <v>0.71458333333333335</v>
      </c>
      <c r="T134" s="58"/>
      <c r="U134" s="2">
        <f>R134-$D$134</f>
        <v>2</v>
      </c>
      <c r="V134" s="17">
        <f>R147-D134</f>
        <v>50</v>
      </c>
      <c r="W134" s="27">
        <v>34.5</v>
      </c>
      <c r="X134" s="27">
        <v>18.43</v>
      </c>
      <c r="Y134" s="27">
        <v>6.02</v>
      </c>
      <c r="Z134" s="27">
        <v>15.53</v>
      </c>
      <c r="AA134" s="27">
        <v>10.029999999999999</v>
      </c>
      <c r="AB134" s="27" t="s">
        <v>55</v>
      </c>
      <c r="AC134" s="27" t="s">
        <v>55</v>
      </c>
      <c r="AD134" s="27" t="s">
        <v>55</v>
      </c>
      <c r="AE134" s="27" t="s">
        <v>55</v>
      </c>
      <c r="AF134" s="27" t="s">
        <v>55</v>
      </c>
      <c r="AG134" s="27" t="s">
        <v>55</v>
      </c>
      <c r="AH134" s="27" t="s">
        <v>55</v>
      </c>
      <c r="AI134" s="27" t="s">
        <v>55</v>
      </c>
      <c r="AJ134" s="27" t="s">
        <v>55</v>
      </c>
      <c r="AK134" s="27" t="s">
        <v>55</v>
      </c>
      <c r="AL134" s="27" t="s">
        <v>55</v>
      </c>
      <c r="AM134" s="27" t="s">
        <v>55</v>
      </c>
      <c r="AN134" s="27" t="s">
        <v>55</v>
      </c>
      <c r="AO134" s="27" t="s">
        <v>55</v>
      </c>
      <c r="AP134" s="27" t="s">
        <v>55</v>
      </c>
      <c r="AQ134" s="27" t="s">
        <v>55</v>
      </c>
      <c r="AR134" s="27" t="s">
        <v>55</v>
      </c>
      <c r="AS134" s="27" t="s">
        <v>55</v>
      </c>
      <c r="AT134" s="2" t="s">
        <v>50</v>
      </c>
    </row>
    <row r="135" spans="1:61" s="2" customFormat="1" ht="60" customHeight="1" x14ac:dyDescent="0.35">
      <c r="A135" s="32"/>
      <c r="B135" s="20"/>
      <c r="E135" s="44"/>
      <c r="F135" s="44"/>
      <c r="G135" s="44"/>
      <c r="H135" s="44"/>
      <c r="R135" s="3">
        <v>45912</v>
      </c>
      <c r="S135" s="58">
        <v>0.3659722222222222</v>
      </c>
      <c r="T135" s="58"/>
      <c r="U135" s="2">
        <f t="shared" ref="U135:U148" si="24">R135-$D$134</f>
        <v>4</v>
      </c>
      <c r="W135" s="27">
        <v>25.62</v>
      </c>
      <c r="X135" s="27">
        <v>14.65</v>
      </c>
      <c r="Y135" s="27">
        <v>2.83</v>
      </c>
      <c r="Z135" s="27">
        <v>11.06</v>
      </c>
      <c r="AA135" s="27">
        <v>7.27</v>
      </c>
      <c r="AB135" s="27" t="s">
        <v>55</v>
      </c>
      <c r="AC135" s="27" t="s">
        <v>55</v>
      </c>
      <c r="AD135" s="27" t="s">
        <v>55</v>
      </c>
      <c r="AE135" s="27" t="s">
        <v>55</v>
      </c>
      <c r="AF135" s="27" t="s">
        <v>55</v>
      </c>
      <c r="AG135" s="27" t="s">
        <v>55</v>
      </c>
      <c r="AH135" s="27" t="s">
        <v>55</v>
      </c>
      <c r="AI135" s="27" t="s">
        <v>55</v>
      </c>
      <c r="AJ135" s="27" t="s">
        <v>55</v>
      </c>
      <c r="AK135" s="27" t="s">
        <v>55</v>
      </c>
      <c r="AL135" s="27" t="s">
        <v>55</v>
      </c>
      <c r="AM135" s="27" t="s">
        <v>55</v>
      </c>
      <c r="AN135" s="27" t="s">
        <v>55</v>
      </c>
      <c r="AO135" s="27" t="s">
        <v>55</v>
      </c>
      <c r="AP135" s="27" t="s">
        <v>55</v>
      </c>
      <c r="AQ135" s="27" t="s">
        <v>55</v>
      </c>
      <c r="AR135" s="27" t="s">
        <v>55</v>
      </c>
      <c r="AS135" s="27" t="s">
        <v>55</v>
      </c>
      <c r="AT135" s="2" t="s">
        <v>52</v>
      </c>
      <c r="AU135" s="2">
        <v>0.81</v>
      </c>
      <c r="AV135" s="2">
        <v>2.0099999999999998</v>
      </c>
      <c r="AW135" s="2">
        <v>10.91</v>
      </c>
      <c r="AX135" s="2">
        <v>5.39</v>
      </c>
      <c r="AZ135" s="2">
        <v>58.75</v>
      </c>
      <c r="BA135" s="2">
        <v>23.62</v>
      </c>
      <c r="BB135" s="2">
        <v>19.13</v>
      </c>
      <c r="BC135" s="2">
        <v>0.80500000000000005</v>
      </c>
      <c r="BD135" s="2">
        <v>1.38</v>
      </c>
      <c r="BE135" s="2">
        <v>0.05</v>
      </c>
      <c r="BF135" s="2">
        <v>0.22</v>
      </c>
      <c r="BG135" s="2">
        <v>42</v>
      </c>
      <c r="BH135" s="2">
        <v>66</v>
      </c>
    </row>
    <row r="136" spans="1:61" s="2" customFormat="1" ht="60" customHeight="1" x14ac:dyDescent="0.35">
      <c r="A136" s="32"/>
      <c r="B136" s="20"/>
      <c r="E136" s="44"/>
      <c r="F136" s="44"/>
      <c r="G136" s="44"/>
      <c r="H136" s="44"/>
      <c r="R136" s="3">
        <v>45915</v>
      </c>
      <c r="S136" s="58">
        <v>0.66319444444444442</v>
      </c>
      <c r="T136" s="58"/>
      <c r="U136" s="2">
        <f t="shared" si="24"/>
        <v>7</v>
      </c>
      <c r="W136" s="27">
        <v>23.98</v>
      </c>
      <c r="X136" s="27">
        <v>12.34</v>
      </c>
      <c r="Y136" s="27">
        <v>2.5099999999999998</v>
      </c>
      <c r="Z136" s="27">
        <v>14.15</v>
      </c>
      <c r="AA136" s="27">
        <v>3.95</v>
      </c>
      <c r="AB136" s="27" t="s">
        <v>501</v>
      </c>
      <c r="AC136" s="27" t="s">
        <v>164</v>
      </c>
      <c r="AD136" s="27">
        <v>7</v>
      </c>
      <c r="AE136" s="27" t="s">
        <v>55</v>
      </c>
      <c r="AF136" s="27" t="s">
        <v>55</v>
      </c>
      <c r="AG136" s="27" t="s">
        <v>55</v>
      </c>
      <c r="AH136" s="27" t="s">
        <v>55</v>
      </c>
      <c r="AI136" s="27" t="s">
        <v>55</v>
      </c>
      <c r="AJ136" s="27" t="s">
        <v>55</v>
      </c>
      <c r="AK136" s="27" t="s">
        <v>55</v>
      </c>
      <c r="AL136" s="27" t="s">
        <v>55</v>
      </c>
      <c r="AM136" s="27" t="s">
        <v>55</v>
      </c>
      <c r="AN136" s="27" t="s">
        <v>55</v>
      </c>
      <c r="AO136" s="27" t="s">
        <v>55</v>
      </c>
      <c r="AP136" s="27" t="s">
        <v>55</v>
      </c>
      <c r="AQ136" s="27" t="s">
        <v>55</v>
      </c>
      <c r="AR136" s="27" t="s">
        <v>55</v>
      </c>
      <c r="AS136" s="27" t="s">
        <v>55</v>
      </c>
      <c r="AT136" s="2" t="s">
        <v>52</v>
      </c>
      <c r="AU136" s="2">
        <v>1</v>
      </c>
      <c r="AV136" s="2">
        <v>2.59</v>
      </c>
      <c r="AW136" s="2">
        <v>0</v>
      </c>
      <c r="AX136" s="2" t="s">
        <v>89</v>
      </c>
      <c r="AZ136" s="2">
        <v>46.25</v>
      </c>
      <c r="BA136" s="2">
        <v>17.73</v>
      </c>
      <c r="BB136" s="2">
        <v>9.84</v>
      </c>
      <c r="BC136" s="2">
        <v>0.55000000000000004</v>
      </c>
      <c r="BD136" s="2">
        <v>0.86</v>
      </c>
      <c r="BE136" s="2">
        <v>0</v>
      </c>
      <c r="BF136" s="2">
        <v>0.13</v>
      </c>
      <c r="BG136" s="2">
        <v>54</v>
      </c>
      <c r="BH136" s="2">
        <v>99</v>
      </c>
    </row>
    <row r="137" spans="1:61" s="2" customFormat="1" ht="60" customHeight="1" x14ac:dyDescent="0.35">
      <c r="A137" s="32"/>
      <c r="B137" s="20"/>
      <c r="E137" s="44"/>
      <c r="F137" s="44"/>
      <c r="G137" s="44"/>
      <c r="H137" s="44"/>
      <c r="R137" s="3">
        <v>45918</v>
      </c>
      <c r="S137" s="58">
        <v>0.84027777777777779</v>
      </c>
      <c r="T137" s="58"/>
      <c r="U137" s="2">
        <f t="shared" si="24"/>
        <v>10</v>
      </c>
      <c r="W137" s="27">
        <v>21.07</v>
      </c>
      <c r="X137" s="27">
        <v>10.67</v>
      </c>
      <c r="Y137" s="27">
        <v>2.2999999999999998</v>
      </c>
      <c r="Z137" s="27">
        <v>8.65</v>
      </c>
      <c r="AA137" s="27">
        <v>4.66</v>
      </c>
      <c r="AB137" s="27" t="s">
        <v>188</v>
      </c>
      <c r="AC137" s="27" t="s">
        <v>101</v>
      </c>
      <c r="AD137" s="27">
        <v>7</v>
      </c>
      <c r="AE137" s="27" t="s">
        <v>55</v>
      </c>
      <c r="AF137" s="27" t="s">
        <v>55</v>
      </c>
      <c r="AG137" s="27" t="s">
        <v>55</v>
      </c>
      <c r="AH137" s="27" t="s">
        <v>55</v>
      </c>
      <c r="AI137" s="27" t="s">
        <v>55</v>
      </c>
      <c r="AJ137" s="27" t="s">
        <v>55</v>
      </c>
      <c r="AK137" s="27" t="s">
        <v>55</v>
      </c>
      <c r="AL137" s="27" t="s">
        <v>55</v>
      </c>
      <c r="AM137" s="27" t="s">
        <v>55</v>
      </c>
      <c r="AN137" s="27" t="s">
        <v>55</v>
      </c>
      <c r="AO137" s="27" t="s">
        <v>55</v>
      </c>
      <c r="AP137" s="27" t="s">
        <v>55</v>
      </c>
      <c r="AQ137" s="27" t="s">
        <v>55</v>
      </c>
      <c r="AR137" s="27" t="s">
        <v>55</v>
      </c>
      <c r="AS137" s="27" t="s">
        <v>55</v>
      </c>
      <c r="AT137" s="2" t="s">
        <v>52</v>
      </c>
      <c r="AU137" s="2">
        <v>1</v>
      </c>
      <c r="AV137" s="2">
        <v>3.06</v>
      </c>
      <c r="AW137" s="2">
        <v>0</v>
      </c>
      <c r="AX137" s="2" t="s">
        <v>89</v>
      </c>
      <c r="AZ137" s="2">
        <v>39.25</v>
      </c>
      <c r="BA137" s="2">
        <v>12.68</v>
      </c>
      <c r="BB137" s="2">
        <v>6.4</v>
      </c>
      <c r="BC137" s="2">
        <v>0.5</v>
      </c>
      <c r="BD137" s="2">
        <v>0.62</v>
      </c>
      <c r="BE137" s="2">
        <v>0</v>
      </c>
      <c r="BF137" s="2">
        <v>0.06</v>
      </c>
      <c r="BG137" s="2">
        <v>44</v>
      </c>
      <c r="BH137" s="2">
        <v>110</v>
      </c>
    </row>
    <row r="138" spans="1:61" s="2" customFormat="1" ht="60" customHeight="1" x14ac:dyDescent="0.35">
      <c r="A138" s="32"/>
      <c r="B138" s="20"/>
      <c r="E138" s="44"/>
      <c r="F138" s="44"/>
      <c r="G138" s="44"/>
      <c r="H138" s="44"/>
      <c r="R138" s="3">
        <v>45922</v>
      </c>
      <c r="S138" s="58">
        <v>0.35625000000000001</v>
      </c>
      <c r="T138" s="58"/>
      <c r="U138" s="2">
        <f t="shared" si="24"/>
        <v>14</v>
      </c>
      <c r="W138" s="27">
        <v>20.95</v>
      </c>
      <c r="X138" s="27">
        <v>10.58</v>
      </c>
      <c r="Y138" s="27">
        <v>2.8</v>
      </c>
      <c r="Z138" s="27">
        <v>6.65</v>
      </c>
      <c r="AA138" s="27">
        <v>6.46</v>
      </c>
      <c r="AB138" s="27" t="s">
        <v>199</v>
      </c>
      <c r="AC138" s="27" t="s">
        <v>200</v>
      </c>
      <c r="AD138" s="27">
        <v>7</v>
      </c>
      <c r="AE138" s="27" t="s">
        <v>55</v>
      </c>
      <c r="AF138" s="27" t="s">
        <v>55</v>
      </c>
      <c r="AG138" s="27" t="s">
        <v>55</v>
      </c>
      <c r="AH138" s="27" t="s">
        <v>55</v>
      </c>
      <c r="AI138" s="27" t="s">
        <v>55</v>
      </c>
      <c r="AJ138" s="27" t="s">
        <v>55</v>
      </c>
      <c r="AK138" s="27" t="s">
        <v>55</v>
      </c>
      <c r="AL138" s="27" t="s">
        <v>55</v>
      </c>
      <c r="AM138" s="27" t="s">
        <v>55</v>
      </c>
      <c r="AN138" s="27" t="s">
        <v>55</v>
      </c>
      <c r="AO138" s="27" t="s">
        <v>55</v>
      </c>
      <c r="AP138" s="27" t="s">
        <v>55</v>
      </c>
      <c r="AQ138" s="27" t="s">
        <v>55</v>
      </c>
      <c r="AR138" s="27" t="s">
        <v>55</v>
      </c>
      <c r="AS138" s="27" t="s">
        <v>55</v>
      </c>
      <c r="AT138" s="2" t="s">
        <v>52</v>
      </c>
      <c r="AU138" s="2">
        <v>1</v>
      </c>
      <c r="AV138" s="2">
        <v>3.54</v>
      </c>
      <c r="AW138" s="2">
        <v>0</v>
      </c>
      <c r="AX138" s="2" t="s">
        <v>89</v>
      </c>
      <c r="AZ138" s="2">
        <v>38.33</v>
      </c>
      <c r="BA138" s="2">
        <v>10.75</v>
      </c>
      <c r="BB138" s="2">
        <v>6.4</v>
      </c>
      <c r="BC138" s="2">
        <v>0.59</v>
      </c>
      <c r="BD138" s="2">
        <v>0.59</v>
      </c>
      <c r="BE138" s="2">
        <v>0</v>
      </c>
      <c r="BF138" s="2">
        <v>0.05</v>
      </c>
      <c r="BG138" s="2">
        <v>56</v>
      </c>
      <c r="BH138" s="2">
        <v>93</v>
      </c>
    </row>
    <row r="139" spans="1:61" s="2" customFormat="1" ht="60" customHeight="1" x14ac:dyDescent="0.35">
      <c r="A139" s="32"/>
      <c r="B139" s="20"/>
      <c r="E139" s="44"/>
      <c r="F139" s="44"/>
      <c r="G139" s="44"/>
      <c r="H139" s="44"/>
      <c r="P139" s="2">
        <v>2.5</v>
      </c>
      <c r="R139" s="3">
        <v>45925</v>
      </c>
      <c r="S139" s="58">
        <v>0.80138888888888893</v>
      </c>
      <c r="T139" s="58"/>
      <c r="U139" s="2">
        <f t="shared" si="24"/>
        <v>17</v>
      </c>
      <c r="W139" s="27">
        <v>19.350000000000001</v>
      </c>
      <c r="X139" s="27">
        <v>9.61</v>
      </c>
      <c r="Y139" s="27">
        <v>1.61</v>
      </c>
      <c r="Z139" s="27">
        <v>10.33</v>
      </c>
      <c r="AA139" s="27">
        <v>9.18</v>
      </c>
      <c r="AB139" s="27" t="s">
        <v>225</v>
      </c>
      <c r="AC139" s="27" t="s">
        <v>226</v>
      </c>
      <c r="AD139" s="27">
        <v>7</v>
      </c>
      <c r="AE139" s="27" t="s">
        <v>55</v>
      </c>
      <c r="AF139" s="27" t="s">
        <v>55</v>
      </c>
      <c r="AG139" s="27" t="s">
        <v>55</v>
      </c>
      <c r="AH139" s="27" t="s">
        <v>55</v>
      </c>
      <c r="AI139" s="27" t="s">
        <v>55</v>
      </c>
      <c r="AJ139" s="27" t="s">
        <v>55</v>
      </c>
      <c r="AK139" s="27" t="s">
        <v>55</v>
      </c>
      <c r="AL139" s="27" t="s">
        <v>55</v>
      </c>
      <c r="AM139" s="27" t="s">
        <v>55</v>
      </c>
      <c r="AN139" s="27" t="s">
        <v>55</v>
      </c>
      <c r="AO139" s="27" t="s">
        <v>55</v>
      </c>
      <c r="AP139" s="27" t="s">
        <v>55</v>
      </c>
      <c r="AQ139" s="27" t="s">
        <v>55</v>
      </c>
      <c r="AR139" s="27" t="s">
        <v>55</v>
      </c>
      <c r="AS139" s="27" t="s">
        <v>55</v>
      </c>
      <c r="AT139" s="38" t="s">
        <v>52</v>
      </c>
      <c r="AU139" s="2">
        <v>1</v>
      </c>
      <c r="AV139" s="2">
        <v>3.16</v>
      </c>
      <c r="AW139" s="2">
        <v>0</v>
      </c>
      <c r="AX139" s="2" t="s">
        <v>89</v>
      </c>
      <c r="AZ139" s="2">
        <v>29.92</v>
      </c>
      <c r="BA139" s="2">
        <v>9.41</v>
      </c>
      <c r="BB139" s="2">
        <v>7.58</v>
      </c>
      <c r="BC139" s="2">
        <v>0.8</v>
      </c>
      <c r="BD139" s="2">
        <v>0.36</v>
      </c>
      <c r="BE139" s="2">
        <v>0</v>
      </c>
      <c r="BF139" s="2">
        <v>0.04</v>
      </c>
      <c r="BG139" s="2">
        <v>56</v>
      </c>
      <c r="BH139" s="2">
        <v>73</v>
      </c>
      <c r="BI139" s="2" t="s">
        <v>224</v>
      </c>
    </row>
    <row r="140" spans="1:61" s="2" customFormat="1" ht="60" customHeight="1" x14ac:dyDescent="0.35">
      <c r="A140" s="32"/>
      <c r="B140" s="20"/>
      <c r="E140" s="44"/>
      <c r="F140" s="44"/>
      <c r="G140" s="44"/>
      <c r="H140" s="44"/>
      <c r="P140" s="2">
        <v>2.5</v>
      </c>
      <c r="R140" s="3">
        <v>45930</v>
      </c>
      <c r="S140" s="58">
        <v>0.69513888888888886</v>
      </c>
      <c r="T140" s="58"/>
      <c r="U140" s="2">
        <f t="shared" si="24"/>
        <v>22</v>
      </c>
      <c r="W140" s="27">
        <v>11.22</v>
      </c>
      <c r="X140" s="27">
        <v>4.92</v>
      </c>
      <c r="Y140" s="27">
        <v>3.2</v>
      </c>
      <c r="Z140" s="27">
        <v>3.39</v>
      </c>
      <c r="AA140" s="27">
        <v>2.08</v>
      </c>
      <c r="AB140" s="27" t="s">
        <v>241</v>
      </c>
      <c r="AC140" s="27" t="s">
        <v>242</v>
      </c>
      <c r="AD140" s="27">
        <v>7</v>
      </c>
      <c r="AE140" s="27" t="s">
        <v>55</v>
      </c>
      <c r="AF140" s="27" t="s">
        <v>55</v>
      </c>
      <c r="AG140" s="27" t="s">
        <v>55</v>
      </c>
      <c r="AH140" s="27" t="s">
        <v>55</v>
      </c>
      <c r="AI140" s="27" t="s">
        <v>55</v>
      </c>
      <c r="AJ140" s="27" t="s">
        <v>55</v>
      </c>
      <c r="AK140" s="27" t="s">
        <v>55</v>
      </c>
      <c r="AL140" s="27" t="s">
        <v>55</v>
      </c>
      <c r="AM140" s="27" t="s">
        <v>55</v>
      </c>
      <c r="AN140" s="27" t="s">
        <v>55</v>
      </c>
      <c r="AO140" s="27" t="s">
        <v>55</v>
      </c>
      <c r="AP140" s="27" t="s">
        <v>55</v>
      </c>
      <c r="AQ140" s="27" t="s">
        <v>55</v>
      </c>
      <c r="AR140" s="27" t="s">
        <v>55</v>
      </c>
      <c r="AS140" s="27" t="s">
        <v>55</v>
      </c>
      <c r="AT140" s="2" t="s">
        <v>52</v>
      </c>
      <c r="AU140" s="2">
        <v>1</v>
      </c>
      <c r="AV140" s="2">
        <v>4.41</v>
      </c>
      <c r="AW140" s="2">
        <v>0</v>
      </c>
      <c r="AX140" s="2" t="s">
        <v>89</v>
      </c>
      <c r="AZ140" s="2">
        <v>38.130000000000003</v>
      </c>
      <c r="BA140" s="2">
        <v>8.57</v>
      </c>
      <c r="BB140" s="2">
        <v>5.62</v>
      </c>
      <c r="BC140" s="2">
        <v>0.65</v>
      </c>
      <c r="BD140" s="2">
        <v>0.57999999999999996</v>
      </c>
      <c r="BE140" s="2">
        <v>0</v>
      </c>
      <c r="BF140" s="2">
        <v>0.03</v>
      </c>
      <c r="BG140" s="2">
        <v>36</v>
      </c>
      <c r="BH140" s="2">
        <v>87</v>
      </c>
    </row>
    <row r="141" spans="1:61" s="2" customFormat="1" ht="60" customHeight="1" x14ac:dyDescent="0.35">
      <c r="A141" s="32"/>
      <c r="B141" s="20"/>
      <c r="E141" s="44"/>
      <c r="F141" s="44"/>
      <c r="G141" s="44"/>
      <c r="H141" s="44"/>
      <c r="P141" s="2">
        <v>2.5</v>
      </c>
      <c r="R141" s="3">
        <v>45936</v>
      </c>
      <c r="S141" s="58">
        <v>0.67500000000000004</v>
      </c>
      <c r="T141" s="58"/>
      <c r="U141" s="2">
        <f t="shared" si="24"/>
        <v>28</v>
      </c>
      <c r="W141" s="27">
        <v>14.41</v>
      </c>
      <c r="X141" s="27">
        <v>5.57</v>
      </c>
      <c r="Y141" s="27">
        <v>1.73</v>
      </c>
      <c r="Z141" s="27">
        <v>3.99</v>
      </c>
      <c r="AA141" s="27">
        <v>1.86</v>
      </c>
      <c r="AB141" s="27" t="s">
        <v>264</v>
      </c>
      <c r="AC141" s="27" t="s">
        <v>265</v>
      </c>
      <c r="AD141" s="27">
        <v>7</v>
      </c>
      <c r="AE141" s="27" t="s">
        <v>55</v>
      </c>
      <c r="AF141" s="27" t="s">
        <v>55</v>
      </c>
      <c r="AG141" s="27" t="s">
        <v>55</v>
      </c>
      <c r="AH141" s="27" t="s">
        <v>55</v>
      </c>
      <c r="AI141" s="27" t="s">
        <v>55</v>
      </c>
      <c r="AJ141" s="27" t="s">
        <v>55</v>
      </c>
      <c r="AK141" s="27" t="s">
        <v>55</v>
      </c>
      <c r="AL141" s="27" t="s">
        <v>55</v>
      </c>
      <c r="AM141" s="27" t="s">
        <v>55</v>
      </c>
      <c r="AN141" s="27" t="s">
        <v>55</v>
      </c>
      <c r="AO141" s="27" t="s">
        <v>55</v>
      </c>
      <c r="AP141" s="27" t="s">
        <v>55</v>
      </c>
      <c r="AQ141" s="27" t="s">
        <v>55</v>
      </c>
      <c r="AR141" s="27" t="s">
        <v>55</v>
      </c>
      <c r="AS141" s="27" t="s">
        <v>55</v>
      </c>
      <c r="AT141" s="2" t="s">
        <v>50</v>
      </c>
    </row>
    <row r="142" spans="1:61" s="2" customFormat="1" ht="60" customHeight="1" x14ac:dyDescent="0.35">
      <c r="A142" s="32"/>
      <c r="B142" s="20"/>
      <c r="E142" s="44"/>
      <c r="F142" s="44"/>
      <c r="G142" s="44"/>
      <c r="H142" s="44"/>
      <c r="P142" s="2">
        <v>2.5</v>
      </c>
      <c r="R142" s="3">
        <v>45939</v>
      </c>
      <c r="S142" s="58">
        <v>0.37708333333333333</v>
      </c>
      <c r="T142" s="58"/>
      <c r="U142" s="2">
        <f t="shared" si="24"/>
        <v>31</v>
      </c>
      <c r="W142" s="27">
        <v>14.57</v>
      </c>
      <c r="X142" s="27">
        <v>7.15</v>
      </c>
      <c r="Y142" s="27">
        <v>2.63</v>
      </c>
      <c r="Z142" s="27">
        <v>3.15</v>
      </c>
      <c r="AA142" s="27">
        <v>1.52</v>
      </c>
      <c r="AB142" s="27" t="s">
        <v>267</v>
      </c>
      <c r="AC142" s="27" t="s">
        <v>311</v>
      </c>
      <c r="AD142" s="27">
        <v>7</v>
      </c>
      <c r="AE142" s="27" t="s">
        <v>55</v>
      </c>
      <c r="AF142" s="27" t="s">
        <v>55</v>
      </c>
      <c r="AG142" s="27" t="s">
        <v>55</v>
      </c>
      <c r="AH142" s="27" t="s">
        <v>55</v>
      </c>
      <c r="AI142" s="27" t="s">
        <v>55</v>
      </c>
      <c r="AJ142" s="27" t="s">
        <v>55</v>
      </c>
      <c r="AK142" s="27" t="s">
        <v>55</v>
      </c>
      <c r="AL142" s="27" t="s">
        <v>55</v>
      </c>
      <c r="AM142" s="27" t="s">
        <v>55</v>
      </c>
      <c r="AN142" s="27" t="s">
        <v>55</v>
      </c>
      <c r="AO142" s="27" t="s">
        <v>55</v>
      </c>
      <c r="AP142" s="27" t="s">
        <v>55</v>
      </c>
      <c r="AQ142" s="27" t="s">
        <v>55</v>
      </c>
      <c r="AR142" s="27" t="s">
        <v>55</v>
      </c>
      <c r="AS142" s="27" t="s">
        <v>55</v>
      </c>
      <c r="AT142" s="2" t="s">
        <v>52</v>
      </c>
      <c r="AU142" s="2">
        <v>1</v>
      </c>
      <c r="AV142" s="2">
        <v>3.6</v>
      </c>
      <c r="AW142" s="2">
        <v>0</v>
      </c>
      <c r="AX142" s="2" t="s">
        <v>89</v>
      </c>
      <c r="AZ142" s="2">
        <v>41.41</v>
      </c>
      <c r="BA142" s="2">
        <v>11.39</v>
      </c>
      <c r="BB142" s="2">
        <v>6.89</v>
      </c>
      <c r="BC142" s="2">
        <v>0.6</v>
      </c>
      <c r="BD142" s="2">
        <v>0.69</v>
      </c>
      <c r="BE142" s="2">
        <v>0</v>
      </c>
      <c r="BF142" s="2">
        <v>0.05</v>
      </c>
      <c r="BG142" s="2">
        <v>48</v>
      </c>
      <c r="BH142" s="2">
        <v>94</v>
      </c>
    </row>
    <row r="143" spans="1:61" s="2" customFormat="1" ht="60" customHeight="1" x14ac:dyDescent="0.35">
      <c r="A143" s="32"/>
      <c r="B143" s="20"/>
      <c r="E143" s="44"/>
      <c r="F143" s="44"/>
      <c r="G143" s="44"/>
      <c r="H143" s="44"/>
      <c r="P143" s="2">
        <v>2.5</v>
      </c>
      <c r="R143" s="3">
        <v>45944</v>
      </c>
      <c r="S143" s="58">
        <v>0.66319444444444442</v>
      </c>
      <c r="T143" s="58"/>
      <c r="U143" s="2">
        <f t="shared" si="24"/>
        <v>36</v>
      </c>
      <c r="W143" s="27">
        <v>13.06</v>
      </c>
      <c r="X143" s="27">
        <v>5.72</v>
      </c>
      <c r="Y143" s="27">
        <v>2.23</v>
      </c>
      <c r="Z143" s="27">
        <v>3.17</v>
      </c>
      <c r="AA143" s="27">
        <v>1.65</v>
      </c>
      <c r="AB143" s="27" t="s">
        <v>226</v>
      </c>
      <c r="AC143" s="27" t="s">
        <v>232</v>
      </c>
      <c r="AD143" s="27">
        <v>7</v>
      </c>
      <c r="AE143" s="27" t="s">
        <v>55</v>
      </c>
      <c r="AF143" s="27" t="s">
        <v>55</v>
      </c>
      <c r="AG143" s="27" t="s">
        <v>55</v>
      </c>
      <c r="AH143" s="27" t="s">
        <v>55</v>
      </c>
      <c r="AI143" s="27" t="s">
        <v>55</v>
      </c>
      <c r="AJ143" s="27" t="s">
        <v>55</v>
      </c>
      <c r="AK143" s="27" t="s">
        <v>55</v>
      </c>
      <c r="AL143" s="27" t="s">
        <v>55</v>
      </c>
      <c r="AM143" s="27" t="s">
        <v>55</v>
      </c>
      <c r="AN143" s="27" t="s">
        <v>55</v>
      </c>
      <c r="AO143" s="27" t="s">
        <v>55</v>
      </c>
      <c r="AP143" s="27" t="s">
        <v>55</v>
      </c>
      <c r="AQ143" s="27" t="s">
        <v>55</v>
      </c>
      <c r="AR143" s="27" t="s">
        <v>55</v>
      </c>
      <c r="AS143" s="27" t="s">
        <v>55</v>
      </c>
      <c r="AT143" s="2" t="s">
        <v>50</v>
      </c>
    </row>
    <row r="144" spans="1:61" s="2" customFormat="1" ht="60" customHeight="1" x14ac:dyDescent="0.35">
      <c r="A144" s="32"/>
      <c r="B144" s="20"/>
      <c r="E144" s="44"/>
      <c r="F144" s="44"/>
      <c r="G144" s="44"/>
      <c r="H144" s="44"/>
      <c r="P144" s="2">
        <v>2.5</v>
      </c>
      <c r="R144" s="3">
        <v>45947</v>
      </c>
      <c r="S144" s="58">
        <v>0.5229166666666667</v>
      </c>
      <c r="T144" s="3"/>
      <c r="U144" s="2">
        <f t="shared" si="24"/>
        <v>39</v>
      </c>
      <c r="W144" s="27">
        <v>13.65</v>
      </c>
      <c r="X144" s="27">
        <v>6.9</v>
      </c>
      <c r="Y144" s="27">
        <v>1.1000000000000001</v>
      </c>
      <c r="Z144" s="27">
        <v>4.72</v>
      </c>
      <c r="AA144" s="27">
        <v>2.2599999999999998</v>
      </c>
      <c r="AB144" s="27" t="s">
        <v>345</v>
      </c>
      <c r="AC144" s="27" t="s">
        <v>218</v>
      </c>
      <c r="AD144" s="27">
        <v>7</v>
      </c>
      <c r="AE144" s="27" t="s">
        <v>55</v>
      </c>
      <c r="AF144" s="27" t="s">
        <v>55</v>
      </c>
      <c r="AG144" s="27" t="s">
        <v>55</v>
      </c>
      <c r="AH144" s="27" t="s">
        <v>55</v>
      </c>
      <c r="AI144" s="27" t="s">
        <v>55</v>
      </c>
      <c r="AJ144" s="27" t="s">
        <v>55</v>
      </c>
      <c r="AK144" s="27" t="s">
        <v>55</v>
      </c>
      <c r="AL144" s="27" t="s">
        <v>55</v>
      </c>
      <c r="AM144" s="27" t="s">
        <v>55</v>
      </c>
      <c r="AN144" s="27" t="s">
        <v>55</v>
      </c>
      <c r="AO144" s="27" t="s">
        <v>55</v>
      </c>
      <c r="AP144" s="27" t="s">
        <v>55</v>
      </c>
      <c r="AQ144" s="27" t="s">
        <v>55</v>
      </c>
      <c r="AR144" s="27" t="s">
        <v>55</v>
      </c>
      <c r="AS144" s="27" t="s">
        <v>55</v>
      </c>
      <c r="AT144" s="2" t="s">
        <v>52</v>
      </c>
      <c r="AU144" s="38">
        <v>0.89</v>
      </c>
      <c r="AV144" s="2">
        <v>1.31</v>
      </c>
      <c r="AW144" s="2">
        <v>3.74</v>
      </c>
      <c r="AX144" s="2">
        <v>8.7100000000000009</v>
      </c>
      <c r="AZ144" s="2">
        <v>32.61</v>
      </c>
      <c r="BA144" s="2">
        <v>21.5</v>
      </c>
      <c r="BB144" s="2">
        <v>4.7300000000000004</v>
      </c>
      <c r="BC144" s="2">
        <v>0.215</v>
      </c>
      <c r="BD144" s="2">
        <v>0.43</v>
      </c>
      <c r="BE144" s="2">
        <v>0.01</v>
      </c>
      <c r="BF144" s="2">
        <v>0.18</v>
      </c>
      <c r="BG144" s="2">
        <v>12</v>
      </c>
      <c r="BH144" s="2">
        <v>133</v>
      </c>
    </row>
    <row r="145" spans="1:61" s="2" customFormat="1" ht="60" customHeight="1" x14ac:dyDescent="0.35">
      <c r="A145" s="32"/>
      <c r="B145" s="20"/>
      <c r="E145" s="44"/>
      <c r="F145" s="44"/>
      <c r="G145" s="44"/>
      <c r="H145" s="44"/>
      <c r="P145" s="2">
        <v>2.5</v>
      </c>
      <c r="R145" s="3">
        <v>45951</v>
      </c>
      <c r="S145" s="58">
        <v>0.70347222222222228</v>
      </c>
      <c r="T145" s="3"/>
      <c r="U145" s="2">
        <f t="shared" si="24"/>
        <v>43</v>
      </c>
      <c r="W145" s="27">
        <v>20.81</v>
      </c>
      <c r="X145" s="27">
        <v>8.19</v>
      </c>
      <c r="Y145" s="27">
        <v>1.75</v>
      </c>
      <c r="Z145" s="27">
        <v>8.2200000000000006</v>
      </c>
      <c r="AA145" s="27">
        <v>4.03</v>
      </c>
      <c r="AB145" s="27" t="s">
        <v>139</v>
      </c>
      <c r="AC145" s="27" t="s">
        <v>133</v>
      </c>
      <c r="AD145" s="27">
        <v>7</v>
      </c>
      <c r="AE145" s="27" t="s">
        <v>55</v>
      </c>
      <c r="AF145" s="27" t="s">
        <v>55</v>
      </c>
      <c r="AG145" s="27" t="s">
        <v>55</v>
      </c>
      <c r="AH145" s="27" t="s">
        <v>55</v>
      </c>
      <c r="AI145" s="27" t="s">
        <v>55</v>
      </c>
      <c r="AJ145" s="27" t="s">
        <v>55</v>
      </c>
      <c r="AK145" s="27" t="s">
        <v>55</v>
      </c>
      <c r="AL145" s="27" t="s">
        <v>55</v>
      </c>
      <c r="AM145" s="27" t="s">
        <v>55</v>
      </c>
      <c r="AN145" s="27" t="s">
        <v>55</v>
      </c>
      <c r="AO145" s="27" t="s">
        <v>55</v>
      </c>
      <c r="AP145" s="27" t="s">
        <v>55</v>
      </c>
      <c r="AQ145" s="27" t="s">
        <v>55</v>
      </c>
      <c r="AR145" s="27" t="s">
        <v>55</v>
      </c>
      <c r="AS145" s="27" t="s">
        <v>55</v>
      </c>
      <c r="AT145" s="2" t="s">
        <v>52</v>
      </c>
      <c r="AU145" s="2">
        <v>1</v>
      </c>
      <c r="AV145" s="2">
        <v>2.16</v>
      </c>
      <c r="AW145" s="2">
        <v>0</v>
      </c>
      <c r="AX145" s="2" t="s">
        <v>89</v>
      </c>
      <c r="AZ145" s="2">
        <v>30.15</v>
      </c>
      <c r="BA145" s="2">
        <v>13.85</v>
      </c>
      <c r="BB145" s="2">
        <v>8.1</v>
      </c>
      <c r="BC145" s="2">
        <v>0.57999999999999996</v>
      </c>
      <c r="BD145" s="2">
        <v>0.36</v>
      </c>
      <c r="BE145" s="2">
        <v>0</v>
      </c>
      <c r="BF145" s="2">
        <v>0.08</v>
      </c>
      <c r="BG145" s="2">
        <v>52</v>
      </c>
      <c r="BH145" s="2">
        <v>85</v>
      </c>
    </row>
    <row r="146" spans="1:61" s="2" customFormat="1" ht="60" customHeight="1" x14ac:dyDescent="0.35">
      <c r="A146" s="32"/>
      <c r="B146" s="20"/>
      <c r="E146" s="44"/>
      <c r="F146" s="44"/>
      <c r="G146" s="44"/>
      <c r="H146" s="44"/>
      <c r="P146" s="2">
        <v>2.5</v>
      </c>
      <c r="R146" s="3">
        <v>45954</v>
      </c>
      <c r="S146" s="61">
        <v>45954.684027777781</v>
      </c>
      <c r="T146" s="3"/>
      <c r="U146" s="2">
        <f t="shared" si="24"/>
        <v>46</v>
      </c>
      <c r="W146" s="27">
        <v>12.38</v>
      </c>
      <c r="X146" s="27">
        <v>5.75</v>
      </c>
      <c r="Y146" s="27">
        <v>0.75</v>
      </c>
      <c r="Z146" s="27">
        <v>3.12</v>
      </c>
      <c r="AA146" s="27">
        <v>0.75</v>
      </c>
      <c r="AB146" s="27" t="s">
        <v>305</v>
      </c>
      <c r="AC146" s="27" t="s">
        <v>317</v>
      </c>
      <c r="AD146" s="27">
        <v>7</v>
      </c>
      <c r="AE146" s="27" t="s">
        <v>55</v>
      </c>
      <c r="AF146" s="27" t="s">
        <v>55</v>
      </c>
      <c r="AG146" s="27" t="s">
        <v>55</v>
      </c>
      <c r="AH146" s="27" t="s">
        <v>55</v>
      </c>
      <c r="AI146" s="27" t="s">
        <v>55</v>
      </c>
      <c r="AJ146" s="27" t="s">
        <v>55</v>
      </c>
      <c r="AK146" s="27" t="s">
        <v>55</v>
      </c>
      <c r="AL146" s="27" t="s">
        <v>55</v>
      </c>
      <c r="AM146" s="27" t="s">
        <v>55</v>
      </c>
      <c r="AN146" s="27" t="s">
        <v>55</v>
      </c>
      <c r="AO146" s="27" t="s">
        <v>55</v>
      </c>
      <c r="AP146" s="27" t="s">
        <v>55</v>
      </c>
      <c r="AQ146" s="27" t="s">
        <v>55</v>
      </c>
      <c r="AR146" s="27" t="s">
        <v>55</v>
      </c>
      <c r="AS146" s="27" t="s">
        <v>55</v>
      </c>
      <c r="AT146" s="2" t="s">
        <v>52</v>
      </c>
      <c r="AU146" s="2">
        <v>1</v>
      </c>
      <c r="AV146" s="2">
        <v>4.29</v>
      </c>
      <c r="AW146" s="2">
        <v>0</v>
      </c>
      <c r="AX146" s="2" t="s">
        <v>89</v>
      </c>
      <c r="AZ146" s="2">
        <v>22.5</v>
      </c>
      <c r="BA146" s="2">
        <v>5.21</v>
      </c>
      <c r="BB146" s="2">
        <v>3.41</v>
      </c>
      <c r="BC146" s="2">
        <v>0.65</v>
      </c>
      <c r="BD146" s="2">
        <v>0.2</v>
      </c>
      <c r="BE146" s="2">
        <v>0</v>
      </c>
      <c r="BF146" s="2">
        <v>0.01</v>
      </c>
      <c r="BG146" s="2">
        <v>52</v>
      </c>
      <c r="BH146" s="2">
        <v>87</v>
      </c>
    </row>
    <row r="147" spans="1:61" s="2" customFormat="1" ht="60" customHeight="1" x14ac:dyDescent="0.35">
      <c r="A147" s="32"/>
      <c r="B147" s="20"/>
      <c r="E147" s="44"/>
      <c r="F147" s="44"/>
      <c r="G147" s="44"/>
      <c r="H147" s="44"/>
      <c r="P147" s="2">
        <v>2.5</v>
      </c>
      <c r="R147" s="3">
        <v>45958</v>
      </c>
      <c r="S147" s="61">
        <v>45958.731249999997</v>
      </c>
      <c r="T147" s="2">
        <f>S147-S146</f>
        <v>4.0472222222160781</v>
      </c>
      <c r="U147" s="2">
        <f t="shared" si="24"/>
        <v>50</v>
      </c>
      <c r="W147" s="27">
        <v>14.4</v>
      </c>
      <c r="X147" s="27">
        <v>6.9</v>
      </c>
      <c r="Y147" s="27">
        <v>1.1000000000000001</v>
      </c>
      <c r="Z147" s="27">
        <v>5.38</v>
      </c>
      <c r="AA147" s="27">
        <v>1.61</v>
      </c>
      <c r="AB147" s="37" t="s">
        <v>455</v>
      </c>
      <c r="AC147" s="27" t="s">
        <v>355</v>
      </c>
      <c r="AD147" s="27">
        <v>7</v>
      </c>
      <c r="AE147" s="62">
        <f>$S$146+($T$147/2)</f>
        <v>45956.707638888889</v>
      </c>
      <c r="AF147" s="27">
        <f>$U$146+($T$147/2)</f>
        <v>48.023611111108039</v>
      </c>
      <c r="AG147" s="37" t="s">
        <v>454</v>
      </c>
      <c r="AH147" s="27">
        <v>24.56</v>
      </c>
      <c r="AI147" s="27">
        <v>1.39</v>
      </c>
      <c r="AJ147" s="27">
        <f>AH147-AI147</f>
        <v>23.169999999999998</v>
      </c>
      <c r="AK147" s="27" t="s">
        <v>55</v>
      </c>
      <c r="AL147" s="27" t="s">
        <v>55</v>
      </c>
      <c r="AM147" s="27" t="s">
        <v>55</v>
      </c>
      <c r="AN147" s="27" t="s">
        <v>55</v>
      </c>
      <c r="AO147" s="27" t="s">
        <v>55</v>
      </c>
      <c r="AP147" s="27" t="s">
        <v>55</v>
      </c>
      <c r="AQ147" s="27" t="s">
        <v>55</v>
      </c>
      <c r="AR147" s="27" t="s">
        <v>55</v>
      </c>
      <c r="AS147" s="27" t="s">
        <v>55</v>
      </c>
      <c r="AT147" s="2" t="s">
        <v>52</v>
      </c>
      <c r="AU147" s="2">
        <v>1</v>
      </c>
      <c r="AV147" s="2">
        <v>5.4</v>
      </c>
      <c r="AW147" s="2">
        <v>0</v>
      </c>
      <c r="AX147" s="2" t="s">
        <v>89</v>
      </c>
      <c r="AZ147" s="2">
        <v>14.54</v>
      </c>
      <c r="BA147" s="2">
        <v>2.67</v>
      </c>
      <c r="BB147" s="2">
        <v>1.84</v>
      </c>
      <c r="BC147" s="2">
        <v>0.68500000000000005</v>
      </c>
      <c r="BD147" s="2">
        <v>0.08</v>
      </c>
      <c r="BE147" s="2">
        <v>0</v>
      </c>
      <c r="BF147" s="2">
        <v>0</v>
      </c>
      <c r="BG147" s="2">
        <v>26</v>
      </c>
      <c r="BH147" s="2">
        <v>83</v>
      </c>
    </row>
    <row r="148" spans="1:61" s="2" customFormat="1" ht="60" customHeight="1" x14ac:dyDescent="0.35">
      <c r="A148" s="32"/>
      <c r="B148" s="20"/>
      <c r="E148" s="44"/>
      <c r="F148" s="44"/>
      <c r="G148" s="44"/>
      <c r="H148" s="44"/>
      <c r="P148" s="2">
        <v>2.5</v>
      </c>
      <c r="R148" s="3">
        <v>45961</v>
      </c>
      <c r="S148" s="58">
        <v>0.70416666666666672</v>
      </c>
      <c r="T148" s="3"/>
      <c r="U148" s="2">
        <f t="shared" si="24"/>
        <v>53</v>
      </c>
      <c r="W148" s="27">
        <v>14.21</v>
      </c>
      <c r="X148" s="27">
        <v>4.53</v>
      </c>
      <c r="Y148" s="27">
        <v>0.53</v>
      </c>
      <c r="Z148" s="27">
        <v>2.78</v>
      </c>
      <c r="AA148" s="27">
        <v>5.48</v>
      </c>
      <c r="AB148" s="27" t="s">
        <v>517</v>
      </c>
      <c r="AC148" s="27" t="s">
        <v>134</v>
      </c>
      <c r="AD148" s="27">
        <v>7</v>
      </c>
      <c r="AE148" s="62">
        <f>$S$146+($T$147/2)</f>
        <v>45956.707638888889</v>
      </c>
      <c r="AF148" s="27">
        <f>$U$146+($T$147/2)</f>
        <v>48.023611111108039</v>
      </c>
      <c r="AG148" s="37" t="s">
        <v>516</v>
      </c>
      <c r="AH148" s="27">
        <v>97.61</v>
      </c>
      <c r="AI148" s="27">
        <v>22.96</v>
      </c>
      <c r="AJ148" s="27">
        <f>AH148-AI148</f>
        <v>74.650000000000006</v>
      </c>
      <c r="AK148" s="27" t="s">
        <v>55</v>
      </c>
      <c r="AL148" s="27" t="s">
        <v>55</v>
      </c>
      <c r="AM148" s="27" t="s">
        <v>55</v>
      </c>
      <c r="AN148" s="27" t="s">
        <v>55</v>
      </c>
      <c r="AO148" s="27" t="s">
        <v>55</v>
      </c>
      <c r="AP148" s="27" t="s">
        <v>55</v>
      </c>
      <c r="AQ148" s="27" t="s">
        <v>55</v>
      </c>
      <c r="AR148" s="27" t="s">
        <v>55</v>
      </c>
      <c r="AS148" s="27" t="s">
        <v>55</v>
      </c>
      <c r="AT148" s="2" t="s">
        <v>52</v>
      </c>
      <c r="AU148" s="2">
        <v>1</v>
      </c>
      <c r="AV148" s="2">
        <v>3.42</v>
      </c>
      <c r="AW148" s="2">
        <v>0</v>
      </c>
      <c r="AX148" s="2" t="s">
        <v>89</v>
      </c>
      <c r="AZ148" s="2">
        <v>23.05</v>
      </c>
      <c r="BA148" s="2">
        <v>6.69</v>
      </c>
      <c r="BB148" s="2">
        <v>3.85</v>
      </c>
      <c r="BC148" s="2">
        <v>0.56999999999999995</v>
      </c>
      <c r="BD148" s="2">
        <v>0.21</v>
      </c>
      <c r="BE148" s="2">
        <v>0</v>
      </c>
      <c r="BF148" s="2">
        <v>0.02</v>
      </c>
      <c r="BG148" s="2">
        <v>48</v>
      </c>
      <c r="BH148" s="2">
        <v>94</v>
      </c>
    </row>
    <row r="149" spans="1:61" s="2" customFormat="1" ht="60" customHeight="1" x14ac:dyDescent="0.35">
      <c r="A149" s="32"/>
      <c r="B149" s="20"/>
      <c r="E149" s="44"/>
      <c r="F149" s="44"/>
      <c r="G149" s="44"/>
      <c r="H149" s="44"/>
      <c r="R149" s="3"/>
      <c r="S149" s="58"/>
      <c r="T149" s="3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</row>
    <row r="150" spans="1:61" s="2" customFormat="1" ht="60" customHeight="1" x14ac:dyDescent="0.35">
      <c r="A150" s="32">
        <v>10</v>
      </c>
      <c r="B150" s="57" t="s">
        <v>189</v>
      </c>
      <c r="C150" s="43">
        <v>44237</v>
      </c>
      <c r="D150" s="3">
        <v>45916</v>
      </c>
      <c r="E150" s="44">
        <f t="shared" ref="E150:E193" si="25">D150-C150</f>
        <v>1679</v>
      </c>
      <c r="F150" s="44">
        <f>E150/30</f>
        <v>55.966666666666669</v>
      </c>
      <c r="G150" s="44">
        <f t="shared" si="22"/>
        <v>4.5999999999999996</v>
      </c>
      <c r="H150" s="44">
        <f t="shared" si="23"/>
        <v>6.2458333333333336</v>
      </c>
      <c r="I150" s="2" t="s">
        <v>10</v>
      </c>
      <c r="J150" s="2">
        <v>3.56</v>
      </c>
      <c r="K150" s="2">
        <v>4121</v>
      </c>
      <c r="R150" s="3">
        <v>45922</v>
      </c>
      <c r="S150" s="58">
        <v>0.40138888888888891</v>
      </c>
      <c r="T150" s="58"/>
      <c r="U150" s="2">
        <f t="shared" ref="U150:U156" si="26">R150-$D$150</f>
        <v>6</v>
      </c>
      <c r="V150" s="17">
        <f>R155-D150</f>
        <v>28</v>
      </c>
      <c r="W150" s="27">
        <v>31.42</v>
      </c>
      <c r="X150" s="27">
        <v>19.29</v>
      </c>
      <c r="Y150" s="27">
        <v>5.59</v>
      </c>
      <c r="Z150" s="27">
        <v>18.760000000000002</v>
      </c>
      <c r="AA150" s="27">
        <v>7.23</v>
      </c>
      <c r="AB150" s="27" t="s">
        <v>55</v>
      </c>
      <c r="AC150" s="27" t="s">
        <v>55</v>
      </c>
      <c r="AD150" s="27" t="s">
        <v>55</v>
      </c>
      <c r="AE150" s="27" t="s">
        <v>55</v>
      </c>
      <c r="AF150" s="27" t="s">
        <v>55</v>
      </c>
      <c r="AG150" s="27" t="s">
        <v>55</v>
      </c>
      <c r="AH150" s="27" t="s">
        <v>55</v>
      </c>
      <c r="AI150" s="27" t="s">
        <v>55</v>
      </c>
      <c r="AJ150" s="27" t="s">
        <v>55</v>
      </c>
      <c r="AK150" s="27" t="s">
        <v>55</v>
      </c>
      <c r="AL150" s="27" t="s">
        <v>55</v>
      </c>
      <c r="AM150" s="27" t="s">
        <v>55</v>
      </c>
      <c r="AN150" s="27" t="s">
        <v>55</v>
      </c>
      <c r="AO150" s="27" t="s">
        <v>55</v>
      </c>
      <c r="AP150" s="27" t="s">
        <v>55</v>
      </c>
      <c r="AQ150" s="27" t="s">
        <v>55</v>
      </c>
      <c r="AR150" s="27" t="s">
        <v>55</v>
      </c>
      <c r="AS150" s="27" t="s">
        <v>55</v>
      </c>
      <c r="AT150" s="38" t="s">
        <v>50</v>
      </c>
    </row>
    <row r="151" spans="1:61" s="2" customFormat="1" ht="60" customHeight="1" x14ac:dyDescent="0.35">
      <c r="A151" s="32"/>
      <c r="B151" s="20"/>
      <c r="E151" s="44"/>
      <c r="F151" s="44"/>
      <c r="G151" s="44"/>
      <c r="H151" s="44"/>
      <c r="P151" s="2">
        <v>3</v>
      </c>
      <c r="R151" s="3">
        <v>45925</v>
      </c>
      <c r="S151" s="58">
        <v>0.76736111111111116</v>
      </c>
      <c r="T151" s="58"/>
      <c r="U151" s="2">
        <f t="shared" si="26"/>
        <v>9</v>
      </c>
      <c r="W151" s="27">
        <v>27.27</v>
      </c>
      <c r="X151" s="27" t="s">
        <v>216</v>
      </c>
      <c r="Y151" s="27">
        <v>4.55</v>
      </c>
      <c r="Z151" s="27">
        <v>8.2799999999999994</v>
      </c>
      <c r="AA151" s="27">
        <v>4.95</v>
      </c>
      <c r="AB151" s="27" t="s">
        <v>55</v>
      </c>
      <c r="AC151" s="27" t="s">
        <v>55</v>
      </c>
      <c r="AD151" s="27" t="s">
        <v>55</v>
      </c>
      <c r="AE151" s="27" t="s">
        <v>55</v>
      </c>
      <c r="AF151" s="27" t="s">
        <v>55</v>
      </c>
      <c r="AG151" s="27" t="s">
        <v>55</v>
      </c>
      <c r="AH151" s="27" t="s">
        <v>55</v>
      </c>
      <c r="AI151" s="27" t="s">
        <v>55</v>
      </c>
      <c r="AJ151" s="27" t="s">
        <v>55</v>
      </c>
      <c r="AK151" s="27" t="s">
        <v>55</v>
      </c>
      <c r="AL151" s="27" t="s">
        <v>55</v>
      </c>
      <c r="AM151" s="27" t="s">
        <v>55</v>
      </c>
      <c r="AN151" s="27" t="s">
        <v>55</v>
      </c>
      <c r="AO151" s="27" t="s">
        <v>55</v>
      </c>
      <c r="AP151" s="27" t="s">
        <v>55</v>
      </c>
      <c r="AQ151" s="27" t="s">
        <v>55</v>
      </c>
      <c r="AR151" s="27" t="s">
        <v>55</v>
      </c>
      <c r="AS151" s="27" t="s">
        <v>55</v>
      </c>
      <c r="AT151" s="2" t="s">
        <v>52</v>
      </c>
      <c r="AU151" s="2">
        <v>1</v>
      </c>
      <c r="AV151" s="2">
        <v>1.72</v>
      </c>
      <c r="AW151" s="2">
        <v>0</v>
      </c>
      <c r="AX151" s="2">
        <v>6.5904952368777103E+18</v>
      </c>
      <c r="AZ151" s="2">
        <v>22.87</v>
      </c>
      <c r="BA151" s="2">
        <v>13.19</v>
      </c>
      <c r="BB151" s="2">
        <v>8.24</v>
      </c>
      <c r="BC151" s="2">
        <v>0.62</v>
      </c>
      <c r="BD151" s="2">
        <v>0.21</v>
      </c>
      <c r="BE151" s="2">
        <v>0</v>
      </c>
      <c r="BF151" s="2">
        <v>7.0000000000000007E-2</v>
      </c>
      <c r="BG151" s="2">
        <v>42</v>
      </c>
      <c r="BH151" s="2">
        <v>76</v>
      </c>
    </row>
    <row r="152" spans="1:61" s="2" customFormat="1" ht="60" customHeight="1" x14ac:dyDescent="0.35">
      <c r="A152" s="32"/>
      <c r="B152" s="20"/>
      <c r="E152" s="44"/>
      <c r="F152" s="44"/>
      <c r="G152" s="44"/>
      <c r="H152" s="44"/>
      <c r="P152" s="2">
        <v>3.25</v>
      </c>
      <c r="R152" s="3">
        <v>45930</v>
      </c>
      <c r="S152" s="58">
        <v>0.72361111111111109</v>
      </c>
      <c r="T152" s="58"/>
      <c r="U152" s="2">
        <f t="shared" si="26"/>
        <v>14</v>
      </c>
      <c r="W152" s="27">
        <v>24.99</v>
      </c>
      <c r="X152" s="27">
        <v>13</v>
      </c>
      <c r="Y152" s="27">
        <v>3.46</v>
      </c>
      <c r="Z152" s="27">
        <v>8.92</v>
      </c>
      <c r="AA152" s="27">
        <v>4.6100000000000003</v>
      </c>
      <c r="AB152" s="27" t="s">
        <v>55</v>
      </c>
      <c r="AC152" s="27" t="s">
        <v>55</v>
      </c>
      <c r="AD152" s="27" t="s">
        <v>55</v>
      </c>
      <c r="AE152" s="27" t="s">
        <v>55</v>
      </c>
      <c r="AF152" s="27" t="s">
        <v>55</v>
      </c>
      <c r="AG152" s="27" t="s">
        <v>55</v>
      </c>
      <c r="AH152" s="27" t="s">
        <v>55</v>
      </c>
      <c r="AI152" s="27" t="s">
        <v>55</v>
      </c>
      <c r="AJ152" s="27" t="s">
        <v>55</v>
      </c>
      <c r="AK152" s="27" t="s">
        <v>55</v>
      </c>
      <c r="AL152" s="27" t="s">
        <v>55</v>
      </c>
      <c r="AM152" s="27" t="s">
        <v>55</v>
      </c>
      <c r="AN152" s="27" t="s">
        <v>55</v>
      </c>
      <c r="AO152" s="27" t="s">
        <v>55</v>
      </c>
      <c r="AP152" s="27" t="s">
        <v>55</v>
      </c>
      <c r="AQ152" s="27" t="s">
        <v>55</v>
      </c>
      <c r="AR152" s="27" t="s">
        <v>55</v>
      </c>
      <c r="AS152" s="27" t="s">
        <v>55</v>
      </c>
      <c r="AT152" s="2" t="s">
        <v>52</v>
      </c>
      <c r="AU152" s="2">
        <v>0.65</v>
      </c>
      <c r="AV152" s="2">
        <v>1.19</v>
      </c>
      <c r="AW152" s="2">
        <v>16.46</v>
      </c>
      <c r="AX152" s="2">
        <v>2.86</v>
      </c>
      <c r="AZ152" s="2">
        <v>47.14</v>
      </c>
      <c r="BA152" s="2">
        <v>25.57</v>
      </c>
      <c r="BB152" s="2">
        <v>17.510000000000002</v>
      </c>
      <c r="BC152" s="2">
        <v>0.68</v>
      </c>
      <c r="BD152" s="2">
        <v>0.89</v>
      </c>
      <c r="BE152" s="2">
        <v>0.11</v>
      </c>
      <c r="BF152" s="2">
        <v>0.26</v>
      </c>
      <c r="BG152" s="2">
        <v>54</v>
      </c>
      <c r="BH152" s="2">
        <v>83</v>
      </c>
    </row>
    <row r="153" spans="1:61" s="2" customFormat="1" ht="60" customHeight="1" x14ac:dyDescent="0.35">
      <c r="A153" s="32"/>
      <c r="B153" s="20"/>
      <c r="E153" s="44"/>
      <c r="F153" s="44"/>
      <c r="G153" s="44"/>
      <c r="H153" s="44"/>
      <c r="P153" s="2">
        <v>3.25</v>
      </c>
      <c r="R153" s="3">
        <v>45936</v>
      </c>
      <c r="S153" s="58">
        <v>0.70694444444444449</v>
      </c>
      <c r="T153" s="58"/>
      <c r="U153" s="2">
        <f t="shared" si="26"/>
        <v>20</v>
      </c>
      <c r="W153" s="27">
        <v>14.05</v>
      </c>
      <c r="X153" s="27">
        <v>6.32</v>
      </c>
      <c r="Y153" s="27">
        <v>1.1299999999999999</v>
      </c>
      <c r="Z153" s="27">
        <v>5.33</v>
      </c>
      <c r="AA153" s="27">
        <v>2.14</v>
      </c>
      <c r="AB153" s="27" t="s">
        <v>233</v>
      </c>
      <c r="AC153" s="27" t="s">
        <v>55</v>
      </c>
      <c r="AD153" s="27">
        <v>20</v>
      </c>
      <c r="AE153" s="27" t="s">
        <v>55</v>
      </c>
      <c r="AF153" s="27" t="s">
        <v>55</v>
      </c>
      <c r="AG153" s="27" t="s">
        <v>55</v>
      </c>
      <c r="AH153" s="27" t="s">
        <v>55</v>
      </c>
      <c r="AI153" s="27" t="s">
        <v>55</v>
      </c>
      <c r="AJ153" s="27" t="s">
        <v>55</v>
      </c>
      <c r="AK153" s="27" t="s">
        <v>55</v>
      </c>
      <c r="AL153" s="27" t="s">
        <v>55</v>
      </c>
      <c r="AM153" s="27" t="s">
        <v>55</v>
      </c>
      <c r="AN153" s="27" t="s">
        <v>55</v>
      </c>
      <c r="AO153" s="27" t="s">
        <v>55</v>
      </c>
      <c r="AP153" s="27" t="s">
        <v>55</v>
      </c>
      <c r="AQ153" s="27" t="s">
        <v>55</v>
      </c>
      <c r="AR153" s="27" t="s">
        <v>55</v>
      </c>
      <c r="AS153" s="27" t="s">
        <v>55</v>
      </c>
      <c r="AT153" s="2" t="s">
        <v>52</v>
      </c>
      <c r="AU153" s="2">
        <v>1</v>
      </c>
      <c r="AV153" s="2">
        <v>2.76</v>
      </c>
      <c r="AW153" s="2">
        <v>0</v>
      </c>
      <c r="AX153" s="2" t="s">
        <v>89</v>
      </c>
      <c r="AZ153" s="2">
        <v>36.03</v>
      </c>
      <c r="BA153" s="2">
        <v>12.95</v>
      </c>
      <c r="BB153" s="2">
        <v>7.51</v>
      </c>
      <c r="BC153" s="2">
        <v>0.57499999999999996</v>
      </c>
      <c r="BD153" s="2">
        <v>0.52</v>
      </c>
      <c r="BE153" s="2">
        <v>0</v>
      </c>
      <c r="BF153" s="2">
        <v>7.0000000000000007E-2</v>
      </c>
      <c r="BG153" s="2">
        <v>54</v>
      </c>
      <c r="BH153" s="2">
        <v>90</v>
      </c>
    </row>
    <row r="154" spans="1:61" s="2" customFormat="1" ht="60" customHeight="1" x14ac:dyDescent="0.35">
      <c r="A154" s="32"/>
      <c r="B154" s="20"/>
      <c r="E154" s="44"/>
      <c r="F154" s="44"/>
      <c r="G154" s="44"/>
      <c r="H154" s="44"/>
      <c r="P154" s="2">
        <v>3.25</v>
      </c>
      <c r="R154" s="3">
        <v>45939</v>
      </c>
      <c r="S154" s="61">
        <v>45939.518055555556</v>
      </c>
      <c r="T154" s="58"/>
      <c r="U154" s="2">
        <f t="shared" si="26"/>
        <v>23</v>
      </c>
      <c r="W154" s="27">
        <v>22.48</v>
      </c>
      <c r="X154" s="27">
        <v>9.4</v>
      </c>
      <c r="Y154" s="27">
        <v>3.03</v>
      </c>
      <c r="Z154" s="27">
        <v>5.88</v>
      </c>
      <c r="AA154" s="27">
        <v>5.05</v>
      </c>
      <c r="AB154" s="27" t="s">
        <v>55</v>
      </c>
      <c r="AC154" s="27" t="s">
        <v>55</v>
      </c>
      <c r="AD154" s="27">
        <v>20</v>
      </c>
      <c r="AE154" s="27" t="s">
        <v>55</v>
      </c>
      <c r="AF154" s="27" t="s">
        <v>55</v>
      </c>
      <c r="AG154" s="27" t="s">
        <v>55</v>
      </c>
      <c r="AH154" s="27" t="s">
        <v>55</v>
      </c>
      <c r="AI154" s="27" t="s">
        <v>55</v>
      </c>
      <c r="AJ154" s="27" t="s">
        <v>55</v>
      </c>
      <c r="AK154" s="27" t="s">
        <v>55</v>
      </c>
      <c r="AL154" s="27" t="s">
        <v>55</v>
      </c>
      <c r="AM154" s="27" t="s">
        <v>55</v>
      </c>
      <c r="AN154" s="27" t="s">
        <v>55</v>
      </c>
      <c r="AO154" s="27" t="s">
        <v>55</v>
      </c>
      <c r="AP154" s="27" t="s">
        <v>55</v>
      </c>
      <c r="AQ154" s="27" t="s">
        <v>55</v>
      </c>
      <c r="AR154" s="27" t="s">
        <v>55</v>
      </c>
      <c r="AS154" s="27" t="s">
        <v>55</v>
      </c>
      <c r="AT154" s="2" t="s">
        <v>52</v>
      </c>
      <c r="AU154" s="2">
        <v>1</v>
      </c>
      <c r="AV154" s="2">
        <v>5.04</v>
      </c>
      <c r="AW154" s="2">
        <v>0</v>
      </c>
      <c r="AX154" s="2" t="s">
        <v>89</v>
      </c>
      <c r="AZ154" s="2">
        <v>36.6</v>
      </c>
      <c r="BA154" s="2">
        <v>7.22</v>
      </c>
      <c r="BB154" s="2">
        <v>5.12</v>
      </c>
      <c r="BC154" s="2">
        <v>0.70499999999999996</v>
      </c>
      <c r="BD154" s="2">
        <v>0.54</v>
      </c>
      <c r="BE154" s="2">
        <v>0</v>
      </c>
      <c r="BF154" s="2">
        <v>0.02</v>
      </c>
      <c r="BG154" s="2">
        <v>50</v>
      </c>
      <c r="BH154" s="2">
        <v>82</v>
      </c>
    </row>
    <row r="155" spans="1:61" s="2" customFormat="1" ht="60" customHeight="1" x14ac:dyDescent="0.35">
      <c r="A155" s="32"/>
      <c r="B155" s="20"/>
      <c r="E155" s="44"/>
      <c r="F155" s="44"/>
      <c r="G155" s="44"/>
      <c r="H155" s="44"/>
      <c r="P155" s="2">
        <v>3.25</v>
      </c>
      <c r="R155" s="3">
        <v>45944</v>
      </c>
      <c r="S155" s="61">
        <v>45944.681250000001</v>
      </c>
      <c r="T155" s="2">
        <f>S155-S154</f>
        <v>5.1631944444452529</v>
      </c>
      <c r="U155" s="2">
        <f t="shared" si="26"/>
        <v>28</v>
      </c>
      <c r="W155" s="27">
        <v>15.72</v>
      </c>
      <c r="X155" s="27">
        <v>7.26</v>
      </c>
      <c r="Y155" s="27">
        <v>2.14</v>
      </c>
      <c r="Z155" s="27">
        <v>5.39</v>
      </c>
      <c r="AA155" s="27">
        <v>3.08</v>
      </c>
      <c r="AB155" s="27" t="s">
        <v>272</v>
      </c>
      <c r="AC155" s="27" t="s">
        <v>55</v>
      </c>
      <c r="AD155" s="27">
        <v>20</v>
      </c>
      <c r="AE155" s="62">
        <f>$S$154+($T$155/2)</f>
        <v>45942.099652777775</v>
      </c>
      <c r="AF155" s="27">
        <f>$U$154+($T$155/2)</f>
        <v>25.581597222222626</v>
      </c>
      <c r="AG155" s="37" t="s">
        <v>338</v>
      </c>
      <c r="AH155" s="37">
        <v>94.71</v>
      </c>
      <c r="AI155" s="37">
        <v>23.35</v>
      </c>
      <c r="AJ155" s="37">
        <f>AH155-AI155</f>
        <v>71.359999999999985</v>
      </c>
      <c r="AK155" s="27" t="s">
        <v>55</v>
      </c>
      <c r="AL155" s="27" t="s">
        <v>55</v>
      </c>
      <c r="AM155" s="27" t="s">
        <v>55</v>
      </c>
      <c r="AN155" s="27" t="s">
        <v>55</v>
      </c>
      <c r="AO155" s="27" t="s">
        <v>55</v>
      </c>
      <c r="AP155" s="27" t="s">
        <v>55</v>
      </c>
      <c r="AQ155" s="27" t="s">
        <v>55</v>
      </c>
      <c r="AR155" s="27" t="s">
        <v>55</v>
      </c>
      <c r="AS155" s="27" t="s">
        <v>55</v>
      </c>
      <c r="AT155" s="2" t="s">
        <v>52</v>
      </c>
      <c r="AU155" s="2">
        <v>0.73</v>
      </c>
      <c r="AV155" s="2">
        <v>2.1</v>
      </c>
      <c r="AW155" s="2">
        <v>13.08</v>
      </c>
      <c r="AX155" s="2">
        <v>3.64</v>
      </c>
      <c r="AZ155" s="2">
        <v>47.61</v>
      </c>
      <c r="BA155" s="2">
        <v>16.27</v>
      </c>
      <c r="BB155" s="2">
        <v>9.92</v>
      </c>
      <c r="BC155" s="2">
        <v>0.60499999999999998</v>
      </c>
      <c r="BD155" s="2">
        <v>0.91</v>
      </c>
      <c r="BE155" s="2">
        <v>7.0000000000000007E-2</v>
      </c>
      <c r="BF155" s="2">
        <v>0.11</v>
      </c>
      <c r="BG155" s="2">
        <v>44</v>
      </c>
      <c r="BH155" s="2">
        <v>92</v>
      </c>
    </row>
    <row r="156" spans="1:61" s="2" customFormat="1" ht="60" customHeight="1" x14ac:dyDescent="0.35">
      <c r="A156" s="32"/>
      <c r="B156" s="20"/>
      <c r="E156" s="44"/>
      <c r="F156" s="44"/>
      <c r="G156" s="44"/>
      <c r="H156" s="44"/>
      <c r="P156" s="2">
        <v>3.5</v>
      </c>
      <c r="R156" s="3">
        <v>45947</v>
      </c>
      <c r="S156" s="58">
        <v>0.54583333333333328</v>
      </c>
      <c r="U156" s="2">
        <f t="shared" si="26"/>
        <v>31</v>
      </c>
      <c r="W156" s="27">
        <v>15.61</v>
      </c>
      <c r="X156" s="27">
        <v>8.52</v>
      </c>
      <c r="Y156" s="27">
        <v>1.73</v>
      </c>
      <c r="Z156" s="27">
        <v>5.48</v>
      </c>
      <c r="AA156" s="27">
        <v>2.0699999999999998</v>
      </c>
      <c r="AB156" s="37" t="s">
        <v>395</v>
      </c>
      <c r="AC156" s="27" t="s">
        <v>394</v>
      </c>
      <c r="AD156" s="27">
        <v>20</v>
      </c>
      <c r="AE156" s="62">
        <f>$S$154+($T$155/2)</f>
        <v>45942.099652777775</v>
      </c>
      <c r="AF156" s="27">
        <f>$U$154+($T$155/2)</f>
        <v>25.581597222222626</v>
      </c>
      <c r="AG156" s="37" t="s">
        <v>396</v>
      </c>
      <c r="AH156" s="27">
        <v>87.28</v>
      </c>
      <c r="AI156" s="37">
        <v>4.5999999999999996</v>
      </c>
      <c r="AJ156" s="37">
        <f>AH156-AI156</f>
        <v>82.68</v>
      </c>
      <c r="AK156" s="27" t="s">
        <v>55</v>
      </c>
      <c r="AL156" s="27" t="s">
        <v>55</v>
      </c>
      <c r="AM156" s="27" t="s">
        <v>55</v>
      </c>
      <c r="AN156" s="27" t="s">
        <v>55</v>
      </c>
      <c r="AO156" s="27" t="s">
        <v>55</v>
      </c>
      <c r="AP156" s="27" t="s">
        <v>55</v>
      </c>
      <c r="AQ156" s="27" t="s">
        <v>55</v>
      </c>
      <c r="AR156" s="27" t="s">
        <v>55</v>
      </c>
      <c r="AS156" s="27" t="s">
        <v>55</v>
      </c>
      <c r="AT156" s="2" t="s">
        <v>52</v>
      </c>
      <c r="AU156" s="2">
        <v>1</v>
      </c>
      <c r="AV156" s="2">
        <v>3.21</v>
      </c>
      <c r="AW156" s="2">
        <v>0</v>
      </c>
      <c r="AX156" s="56">
        <v>1.0747576627929E+19</v>
      </c>
      <c r="AZ156" s="2">
        <v>37.29</v>
      </c>
      <c r="BA156" s="2">
        <v>11.46</v>
      </c>
      <c r="BB156" s="2">
        <v>4.24</v>
      </c>
      <c r="BC156" s="2">
        <v>0.36499999999999999</v>
      </c>
      <c r="BD156" s="2">
        <v>0.56000000000000005</v>
      </c>
      <c r="BE156" s="2">
        <v>0</v>
      </c>
      <c r="BF156" s="2">
        <v>0.05</v>
      </c>
      <c r="BG156" s="2">
        <v>42</v>
      </c>
      <c r="BH156" s="2">
        <v>148</v>
      </c>
      <c r="BI156" s="2" t="s">
        <v>402</v>
      </c>
    </row>
    <row r="157" spans="1:61" s="2" customFormat="1" ht="60" customHeight="1" x14ac:dyDescent="0.35">
      <c r="A157" s="32"/>
      <c r="B157" s="20"/>
      <c r="E157" s="44"/>
      <c r="F157" s="44"/>
      <c r="G157" s="44"/>
      <c r="H157" s="44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</row>
    <row r="158" spans="1:61" s="2" customFormat="1" ht="60" customHeight="1" x14ac:dyDescent="0.35">
      <c r="A158" s="32"/>
      <c r="B158" s="20"/>
      <c r="E158" s="44"/>
      <c r="F158" s="44"/>
      <c r="G158" s="44"/>
      <c r="H158" s="44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</row>
    <row r="159" spans="1:61" ht="60" customHeight="1" x14ac:dyDescent="0.35">
      <c r="A159" s="32">
        <v>11</v>
      </c>
      <c r="B159" s="57" t="s">
        <v>211</v>
      </c>
      <c r="C159" s="43">
        <v>44228</v>
      </c>
      <c r="D159" s="3">
        <v>45920</v>
      </c>
      <c r="E159" s="44">
        <f t="shared" si="25"/>
        <v>1692</v>
      </c>
      <c r="F159" s="44">
        <f>E159/30</f>
        <v>56.4</v>
      </c>
      <c r="G159" s="44">
        <f t="shared" si="22"/>
        <v>4.6356164383561644</v>
      </c>
      <c r="H159" s="44">
        <f t="shared" si="23"/>
        <v>6.3</v>
      </c>
      <c r="I159" s="2" t="s">
        <v>10</v>
      </c>
      <c r="J159" s="2">
        <v>4.5179999999999998</v>
      </c>
      <c r="K159" s="2">
        <v>4132</v>
      </c>
      <c r="R159" s="3">
        <v>45922</v>
      </c>
      <c r="S159" s="58">
        <v>0.35347222222222224</v>
      </c>
      <c r="T159" s="58"/>
      <c r="U159" s="2">
        <f t="shared" ref="U159:U169" si="27">R159-$D$159</f>
        <v>2</v>
      </c>
      <c r="V159" s="17">
        <f>R167-D159</f>
        <v>34</v>
      </c>
      <c r="W159" s="27">
        <v>50.41</v>
      </c>
      <c r="X159" s="27">
        <v>21.34</v>
      </c>
      <c r="Y159" s="27">
        <v>3.35</v>
      </c>
      <c r="Z159" s="27">
        <v>13.72</v>
      </c>
      <c r="AA159" s="27">
        <v>14.57</v>
      </c>
      <c r="AB159" s="27" t="s">
        <v>55</v>
      </c>
      <c r="AC159" s="27" t="s">
        <v>55</v>
      </c>
      <c r="AD159" s="27" t="s">
        <v>55</v>
      </c>
      <c r="AE159" s="27" t="s">
        <v>55</v>
      </c>
      <c r="AF159" s="27" t="s">
        <v>55</v>
      </c>
      <c r="AG159" s="27" t="s">
        <v>55</v>
      </c>
      <c r="AH159" s="27" t="s">
        <v>55</v>
      </c>
      <c r="AI159" s="27" t="s">
        <v>55</v>
      </c>
      <c r="AJ159" s="27" t="s">
        <v>55</v>
      </c>
      <c r="AK159" s="27" t="s">
        <v>55</v>
      </c>
      <c r="AL159" s="27" t="s">
        <v>55</v>
      </c>
      <c r="AM159" s="27" t="s">
        <v>55</v>
      </c>
      <c r="AN159" s="27" t="s">
        <v>55</v>
      </c>
      <c r="AO159" s="27" t="s">
        <v>55</v>
      </c>
      <c r="AP159" s="27" t="s">
        <v>55</v>
      </c>
      <c r="AQ159" s="27" t="s">
        <v>55</v>
      </c>
      <c r="AR159" s="27" t="s">
        <v>55</v>
      </c>
      <c r="AS159" s="27" t="s">
        <v>55</v>
      </c>
      <c r="AT159" s="2" t="s">
        <v>52</v>
      </c>
      <c r="AU159" s="2">
        <v>1</v>
      </c>
      <c r="AV159" s="2">
        <v>5.45</v>
      </c>
      <c r="AW159" s="2">
        <v>0</v>
      </c>
      <c r="AX159" s="2" t="s">
        <v>89</v>
      </c>
      <c r="AY159" s="2"/>
      <c r="AZ159" s="2">
        <v>33.54</v>
      </c>
      <c r="BA159" s="2">
        <v>6.1</v>
      </c>
      <c r="BB159" s="2">
        <v>3.23</v>
      </c>
      <c r="BC159" s="2">
        <v>0.52500000000000002</v>
      </c>
      <c r="BD159" s="2">
        <v>0.45</v>
      </c>
      <c r="BE159" s="2">
        <v>0</v>
      </c>
      <c r="BF159" s="2">
        <v>0.01</v>
      </c>
      <c r="BG159" s="2">
        <v>52</v>
      </c>
      <c r="BH159" s="2">
        <v>103</v>
      </c>
    </row>
    <row r="160" spans="1:61" s="2" customFormat="1" ht="60" customHeight="1" x14ac:dyDescent="0.35">
      <c r="A160" s="32"/>
      <c r="B160" s="20"/>
      <c r="E160" s="44"/>
      <c r="F160" s="44"/>
      <c r="G160" s="44"/>
      <c r="H160" s="44"/>
      <c r="P160" s="2">
        <v>3.25</v>
      </c>
      <c r="R160" s="3">
        <v>45925</v>
      </c>
      <c r="S160" s="58">
        <v>0.83194444444444449</v>
      </c>
      <c r="T160" s="58"/>
      <c r="U160" s="2">
        <f t="shared" si="27"/>
        <v>5</v>
      </c>
      <c r="W160" s="27">
        <v>32.090000000000003</v>
      </c>
      <c r="X160" s="27">
        <v>13.87</v>
      </c>
      <c r="Y160" s="27">
        <v>2.74</v>
      </c>
      <c r="Z160" s="27">
        <v>6.21</v>
      </c>
      <c r="AA160" s="27">
        <v>11.48</v>
      </c>
      <c r="AB160" s="27" t="s">
        <v>55</v>
      </c>
      <c r="AC160" s="27" t="s">
        <v>55</v>
      </c>
      <c r="AD160" s="27" t="s">
        <v>55</v>
      </c>
      <c r="AE160" s="27" t="s">
        <v>55</v>
      </c>
      <c r="AF160" s="27" t="s">
        <v>55</v>
      </c>
      <c r="AG160" s="27" t="s">
        <v>55</v>
      </c>
      <c r="AH160" s="27" t="s">
        <v>55</v>
      </c>
      <c r="AI160" s="27" t="s">
        <v>55</v>
      </c>
      <c r="AJ160" s="27" t="s">
        <v>55</v>
      </c>
      <c r="AK160" s="27" t="s">
        <v>55</v>
      </c>
      <c r="AL160" s="27" t="s">
        <v>55</v>
      </c>
      <c r="AM160" s="27" t="s">
        <v>55</v>
      </c>
      <c r="AN160" s="27" t="s">
        <v>55</v>
      </c>
      <c r="AO160" s="27" t="s">
        <v>55</v>
      </c>
      <c r="AP160" s="27" t="s">
        <v>55</v>
      </c>
      <c r="AQ160" s="27" t="s">
        <v>55</v>
      </c>
      <c r="AR160" s="27" t="s">
        <v>55</v>
      </c>
      <c r="AS160" s="27" t="s">
        <v>55</v>
      </c>
      <c r="AT160" s="38" t="s">
        <v>52</v>
      </c>
      <c r="AU160" s="2">
        <v>1</v>
      </c>
      <c r="AV160" s="2">
        <v>4.0999999999999996</v>
      </c>
      <c r="AW160" s="2">
        <v>0</v>
      </c>
      <c r="AX160" s="2" t="s">
        <v>89</v>
      </c>
      <c r="AZ160" s="2">
        <v>26.64</v>
      </c>
      <c r="BA160" s="2">
        <v>6.45</v>
      </c>
      <c r="BB160" s="2">
        <v>3.9</v>
      </c>
      <c r="BC160" s="2">
        <v>0.6</v>
      </c>
      <c r="BD160" s="2">
        <v>0.28000000000000003</v>
      </c>
      <c r="BE160" s="2">
        <v>0</v>
      </c>
      <c r="BF160" s="2">
        <v>0.02</v>
      </c>
      <c r="BG160" s="2">
        <v>58</v>
      </c>
      <c r="BH160" s="2">
        <v>95</v>
      </c>
    </row>
    <row r="161" spans="1:60" s="2" customFormat="1" ht="60" customHeight="1" x14ac:dyDescent="0.35">
      <c r="A161" s="32"/>
      <c r="B161" s="20"/>
      <c r="E161" s="44"/>
      <c r="F161" s="44"/>
      <c r="G161" s="44"/>
      <c r="H161" s="44"/>
      <c r="P161" s="2">
        <v>3</v>
      </c>
      <c r="R161" s="3">
        <v>45930</v>
      </c>
      <c r="S161" s="58">
        <v>0.72013888888888888</v>
      </c>
      <c r="T161" s="58"/>
      <c r="U161" s="2">
        <f t="shared" si="27"/>
        <v>10</v>
      </c>
      <c r="W161" s="27">
        <v>26.54</v>
      </c>
      <c r="X161" s="27">
        <v>10.23</v>
      </c>
      <c r="Y161" s="27">
        <v>3.08</v>
      </c>
      <c r="Z161" s="27">
        <v>9.0500000000000007</v>
      </c>
      <c r="AA161" s="27">
        <v>2.86</v>
      </c>
      <c r="AB161" s="27" t="s">
        <v>249</v>
      </c>
      <c r="AC161" s="27" t="s">
        <v>248</v>
      </c>
      <c r="AD161" s="27">
        <f>R161-D159</f>
        <v>10</v>
      </c>
      <c r="AE161" s="27" t="s">
        <v>55</v>
      </c>
      <c r="AF161" s="27" t="s">
        <v>55</v>
      </c>
      <c r="AG161" s="27" t="s">
        <v>55</v>
      </c>
      <c r="AH161" s="27" t="s">
        <v>55</v>
      </c>
      <c r="AI161" s="27" t="s">
        <v>55</v>
      </c>
      <c r="AJ161" s="27" t="s">
        <v>55</v>
      </c>
      <c r="AK161" s="27" t="s">
        <v>55</v>
      </c>
      <c r="AL161" s="27" t="s">
        <v>55</v>
      </c>
      <c r="AM161" s="27" t="s">
        <v>55</v>
      </c>
      <c r="AN161" s="27" t="s">
        <v>55</v>
      </c>
      <c r="AO161" s="27" t="s">
        <v>55</v>
      </c>
      <c r="AP161" s="27" t="s">
        <v>55</v>
      </c>
      <c r="AQ161" s="27" t="s">
        <v>55</v>
      </c>
      <c r="AR161" s="27" t="s">
        <v>55</v>
      </c>
      <c r="AS161" s="27" t="s">
        <v>55</v>
      </c>
      <c r="AT161" s="2" t="s">
        <v>52</v>
      </c>
      <c r="AU161" s="2">
        <v>1</v>
      </c>
      <c r="AV161" s="2">
        <v>3.07</v>
      </c>
      <c r="AW161" s="2">
        <v>0</v>
      </c>
      <c r="AX161" s="2" t="s">
        <v>89</v>
      </c>
      <c r="AZ161" s="2">
        <v>43.97</v>
      </c>
      <c r="BA161" s="2">
        <v>14.11</v>
      </c>
      <c r="BB161" s="2">
        <v>5.29</v>
      </c>
      <c r="BC161" s="2">
        <v>0.37</v>
      </c>
      <c r="BD161" s="2">
        <v>0.77</v>
      </c>
      <c r="BE161" s="2">
        <v>0</v>
      </c>
      <c r="BF161" s="2">
        <v>0.08</v>
      </c>
      <c r="BG161" s="2">
        <v>44</v>
      </c>
      <c r="BH161" s="2">
        <v>103</v>
      </c>
    </row>
    <row r="162" spans="1:60" s="2" customFormat="1" ht="60" customHeight="1" x14ac:dyDescent="0.35">
      <c r="A162" s="32"/>
      <c r="B162" s="20"/>
      <c r="E162" s="44"/>
      <c r="F162" s="44"/>
      <c r="G162" s="44"/>
      <c r="H162" s="44"/>
      <c r="P162" s="2">
        <v>3</v>
      </c>
      <c r="R162" s="3">
        <v>45936</v>
      </c>
      <c r="S162" s="58">
        <v>0.74236111111111114</v>
      </c>
      <c r="T162" s="58"/>
      <c r="U162" s="2">
        <f t="shared" si="27"/>
        <v>16</v>
      </c>
      <c r="W162" s="27">
        <v>21.45</v>
      </c>
      <c r="X162" s="27">
        <v>10.64</v>
      </c>
      <c r="Y162" s="27">
        <v>2.2599999999999998</v>
      </c>
      <c r="Z162" s="27">
        <v>7.33</v>
      </c>
      <c r="AA162" s="27">
        <v>3.39</v>
      </c>
      <c r="AB162" s="27" t="s">
        <v>285</v>
      </c>
      <c r="AC162" s="27" t="s">
        <v>284</v>
      </c>
      <c r="AD162" s="27">
        <v>10</v>
      </c>
      <c r="AE162" s="27" t="s">
        <v>55</v>
      </c>
      <c r="AF162" s="27" t="s">
        <v>55</v>
      </c>
      <c r="AG162" s="27" t="s">
        <v>55</v>
      </c>
      <c r="AH162" s="27" t="s">
        <v>55</v>
      </c>
      <c r="AI162" s="27" t="s">
        <v>55</v>
      </c>
      <c r="AJ162" s="27" t="s">
        <v>55</v>
      </c>
      <c r="AK162" s="27" t="s">
        <v>55</v>
      </c>
      <c r="AL162" s="27" t="s">
        <v>55</v>
      </c>
      <c r="AM162" s="27" t="s">
        <v>55</v>
      </c>
      <c r="AN162" s="27" t="s">
        <v>55</v>
      </c>
      <c r="AO162" s="27" t="s">
        <v>55</v>
      </c>
      <c r="AP162" s="27" t="s">
        <v>55</v>
      </c>
      <c r="AQ162" s="27" t="s">
        <v>55</v>
      </c>
      <c r="AR162" s="27" t="s">
        <v>55</v>
      </c>
      <c r="AS162" s="27" t="s">
        <v>55</v>
      </c>
      <c r="AT162" s="2" t="s">
        <v>50</v>
      </c>
    </row>
    <row r="163" spans="1:60" s="2" customFormat="1" ht="60" customHeight="1" x14ac:dyDescent="0.35">
      <c r="A163" s="32"/>
      <c r="B163" s="20"/>
      <c r="E163" s="44"/>
      <c r="F163" s="44"/>
      <c r="G163" s="44"/>
      <c r="H163" s="44"/>
      <c r="P163" s="2">
        <v>3</v>
      </c>
      <c r="R163" s="3">
        <v>45939</v>
      </c>
      <c r="S163" s="58">
        <v>0.52500000000000002</v>
      </c>
      <c r="T163" s="58"/>
      <c r="U163" s="2">
        <f t="shared" si="27"/>
        <v>19</v>
      </c>
      <c r="W163" s="27">
        <v>15.81</v>
      </c>
      <c r="X163" s="27">
        <v>8.5</v>
      </c>
      <c r="Y163" s="27">
        <v>2.2000000000000002</v>
      </c>
      <c r="Z163" s="27">
        <v>5.0599999999999996</v>
      </c>
      <c r="AA163" s="27">
        <v>2.27</v>
      </c>
      <c r="AB163" s="27" t="s">
        <v>328</v>
      </c>
      <c r="AC163" s="27" t="s">
        <v>327</v>
      </c>
      <c r="AD163" s="27">
        <v>10</v>
      </c>
      <c r="AE163" s="27" t="s">
        <v>55</v>
      </c>
      <c r="AF163" s="27" t="s">
        <v>55</v>
      </c>
      <c r="AG163" s="27" t="s">
        <v>55</v>
      </c>
      <c r="AH163" s="27" t="s">
        <v>55</v>
      </c>
      <c r="AI163" s="27" t="s">
        <v>55</v>
      </c>
      <c r="AJ163" s="27" t="s">
        <v>55</v>
      </c>
      <c r="AK163" s="27" t="s">
        <v>55</v>
      </c>
      <c r="AL163" s="27" t="s">
        <v>55</v>
      </c>
      <c r="AM163" s="27" t="s">
        <v>55</v>
      </c>
      <c r="AN163" s="27" t="s">
        <v>55</v>
      </c>
      <c r="AO163" s="27" t="s">
        <v>55</v>
      </c>
      <c r="AP163" s="27" t="s">
        <v>55</v>
      </c>
      <c r="AQ163" s="27" t="s">
        <v>55</v>
      </c>
      <c r="AR163" s="27" t="s">
        <v>55</v>
      </c>
      <c r="AS163" s="27" t="s">
        <v>55</v>
      </c>
      <c r="AT163" s="38" t="s">
        <v>50</v>
      </c>
    </row>
    <row r="164" spans="1:60" s="2" customFormat="1" ht="60" customHeight="1" x14ac:dyDescent="0.35">
      <c r="A164" s="32"/>
      <c r="B164" s="20"/>
      <c r="E164" s="44"/>
      <c r="F164" s="44"/>
      <c r="G164" s="44"/>
      <c r="H164" s="44"/>
      <c r="P164" s="2">
        <v>3</v>
      </c>
      <c r="R164" s="3">
        <v>45944</v>
      </c>
      <c r="S164" s="58">
        <v>0.72152777777777777</v>
      </c>
      <c r="T164" s="58"/>
      <c r="U164" s="2">
        <f t="shared" si="27"/>
        <v>24</v>
      </c>
      <c r="W164" s="27">
        <v>17.670000000000002</v>
      </c>
      <c r="X164" s="27">
        <v>10.3</v>
      </c>
      <c r="Y164" s="27">
        <v>1.62</v>
      </c>
      <c r="Z164" s="27">
        <v>6.21</v>
      </c>
      <c r="AA164" s="27">
        <v>1.26</v>
      </c>
      <c r="AB164" s="27" t="s">
        <v>363</v>
      </c>
      <c r="AC164" s="27" t="s">
        <v>362</v>
      </c>
      <c r="AD164" s="27">
        <v>10</v>
      </c>
      <c r="AE164" s="27" t="s">
        <v>55</v>
      </c>
      <c r="AF164" s="27" t="s">
        <v>55</v>
      </c>
      <c r="AG164" s="27" t="s">
        <v>55</v>
      </c>
      <c r="AH164" s="27" t="s">
        <v>55</v>
      </c>
      <c r="AI164" s="27" t="s">
        <v>55</v>
      </c>
      <c r="AJ164" s="27" t="s">
        <v>55</v>
      </c>
      <c r="AK164" s="27" t="s">
        <v>55</v>
      </c>
      <c r="AL164" s="27" t="s">
        <v>55</v>
      </c>
      <c r="AM164" s="27" t="s">
        <v>55</v>
      </c>
      <c r="AN164" s="27" t="s">
        <v>55</v>
      </c>
      <c r="AO164" s="27" t="s">
        <v>55</v>
      </c>
      <c r="AP164" s="27" t="s">
        <v>55</v>
      </c>
      <c r="AQ164" s="27" t="s">
        <v>55</v>
      </c>
      <c r="AR164" s="27" t="s">
        <v>55</v>
      </c>
      <c r="AS164" s="27" t="s">
        <v>55</v>
      </c>
      <c r="AT164" s="2" t="s">
        <v>52</v>
      </c>
      <c r="AU164" s="2">
        <v>1</v>
      </c>
      <c r="AV164" s="2">
        <v>3.04</v>
      </c>
      <c r="AW164" s="2">
        <v>0</v>
      </c>
      <c r="AX164" s="2" t="s">
        <v>89</v>
      </c>
      <c r="AZ164" s="2">
        <v>32.72</v>
      </c>
      <c r="BA164" s="2">
        <v>10.66</v>
      </c>
      <c r="BB164" s="2">
        <v>5.76</v>
      </c>
      <c r="BC164" s="2">
        <v>0.53500000000000003</v>
      </c>
      <c r="BD164" s="2">
        <v>0.43</v>
      </c>
      <c r="BE164" s="2">
        <v>0</v>
      </c>
      <c r="BF164" s="2">
        <v>0.05</v>
      </c>
      <c r="BG164" s="2">
        <v>56</v>
      </c>
      <c r="BH164" s="2">
        <v>103</v>
      </c>
    </row>
    <row r="165" spans="1:60" s="2" customFormat="1" ht="60" customHeight="1" x14ac:dyDescent="0.35">
      <c r="A165" s="32"/>
      <c r="B165" s="20"/>
      <c r="E165" s="44"/>
      <c r="F165" s="44"/>
      <c r="G165" s="44"/>
      <c r="H165" s="44"/>
      <c r="P165" s="2">
        <v>3</v>
      </c>
      <c r="R165" s="3">
        <v>45947</v>
      </c>
      <c r="S165" s="58">
        <v>0.53611111111111109</v>
      </c>
      <c r="U165" s="2">
        <f t="shared" si="27"/>
        <v>27</v>
      </c>
      <c r="W165" s="27">
        <v>18.52</v>
      </c>
      <c r="X165" s="27">
        <v>7.86</v>
      </c>
      <c r="Y165" s="27">
        <v>2.67</v>
      </c>
      <c r="Z165" s="27">
        <v>4.8499999999999996</v>
      </c>
      <c r="AA165" s="27">
        <v>2.83</v>
      </c>
      <c r="AB165" s="27" t="s">
        <v>386</v>
      </c>
      <c r="AC165" s="27" t="s">
        <v>267</v>
      </c>
      <c r="AD165" s="27">
        <v>10</v>
      </c>
      <c r="AE165" s="27" t="s">
        <v>55</v>
      </c>
      <c r="AF165" s="27" t="s">
        <v>55</v>
      </c>
      <c r="AG165" s="27" t="s">
        <v>55</v>
      </c>
      <c r="AH165" s="27" t="s">
        <v>55</v>
      </c>
      <c r="AI165" s="27" t="s">
        <v>55</v>
      </c>
      <c r="AJ165" s="27" t="s">
        <v>55</v>
      </c>
      <c r="AK165" s="27" t="s">
        <v>55</v>
      </c>
      <c r="AL165" s="27" t="s">
        <v>55</v>
      </c>
      <c r="AM165" s="27" t="s">
        <v>55</v>
      </c>
      <c r="AN165" s="27" t="s">
        <v>55</v>
      </c>
      <c r="AO165" s="27" t="s">
        <v>55</v>
      </c>
      <c r="AP165" s="27" t="s">
        <v>55</v>
      </c>
      <c r="AQ165" s="27" t="s">
        <v>55</v>
      </c>
      <c r="AR165" s="27" t="s">
        <v>55</v>
      </c>
      <c r="AS165" s="27" t="s">
        <v>55</v>
      </c>
      <c r="AT165" s="2" t="s">
        <v>52</v>
      </c>
      <c r="AU165" s="2">
        <v>0.71</v>
      </c>
      <c r="AV165" s="2">
        <v>1.75</v>
      </c>
      <c r="AW165" s="2">
        <v>10.17</v>
      </c>
      <c r="AX165" s="2">
        <v>3.48</v>
      </c>
      <c r="AZ165" s="2">
        <v>35.380000000000003</v>
      </c>
      <c r="BA165" s="2">
        <v>14.28</v>
      </c>
      <c r="BB165" s="2">
        <v>7.14</v>
      </c>
      <c r="BC165" s="2">
        <v>0.495</v>
      </c>
      <c r="BD165" s="2">
        <v>0.5</v>
      </c>
      <c r="BE165" s="2">
        <v>0.04</v>
      </c>
      <c r="BF165" s="2">
        <v>0.08</v>
      </c>
      <c r="BG165" s="2">
        <v>50</v>
      </c>
      <c r="BH165" s="2">
        <v>104</v>
      </c>
    </row>
    <row r="166" spans="1:60" s="2" customFormat="1" ht="60" customHeight="1" x14ac:dyDescent="0.35">
      <c r="A166" s="32"/>
      <c r="B166" s="20"/>
      <c r="E166" s="44"/>
      <c r="F166" s="44"/>
      <c r="G166" s="44"/>
      <c r="H166" s="44"/>
      <c r="P166" s="2">
        <v>3</v>
      </c>
      <c r="R166" s="3">
        <v>45951</v>
      </c>
      <c r="S166" s="61">
        <v>45951.69027777778</v>
      </c>
      <c r="U166" s="2">
        <f t="shared" si="27"/>
        <v>31</v>
      </c>
      <c r="W166" s="27">
        <v>21.81</v>
      </c>
      <c r="X166" s="27">
        <v>10.36</v>
      </c>
      <c r="Y166" s="27">
        <v>2.2999999999999998</v>
      </c>
      <c r="Z166" s="27">
        <v>8.02</v>
      </c>
      <c r="AA166" s="27">
        <v>2.66</v>
      </c>
      <c r="AB166" s="27" t="s">
        <v>410</v>
      </c>
      <c r="AC166" s="27" t="s">
        <v>322</v>
      </c>
      <c r="AD166" s="27">
        <v>10</v>
      </c>
      <c r="AE166" s="27" t="s">
        <v>55</v>
      </c>
      <c r="AF166" s="27" t="s">
        <v>55</v>
      </c>
      <c r="AG166" s="27" t="s">
        <v>55</v>
      </c>
      <c r="AH166" s="27" t="s">
        <v>55</v>
      </c>
      <c r="AI166" s="27" t="s">
        <v>55</v>
      </c>
      <c r="AJ166" s="27" t="s">
        <v>55</v>
      </c>
      <c r="AK166" s="27" t="s">
        <v>55</v>
      </c>
      <c r="AL166" s="27" t="s">
        <v>55</v>
      </c>
      <c r="AM166" s="27" t="s">
        <v>55</v>
      </c>
      <c r="AN166" s="27" t="s">
        <v>55</v>
      </c>
      <c r="AO166" s="27" t="s">
        <v>55</v>
      </c>
      <c r="AP166" s="27" t="s">
        <v>55</v>
      </c>
      <c r="AQ166" s="27" t="s">
        <v>55</v>
      </c>
      <c r="AR166" s="27" t="s">
        <v>55</v>
      </c>
      <c r="AS166" s="27" t="s">
        <v>55</v>
      </c>
      <c r="AT166" s="2" t="s">
        <v>52</v>
      </c>
      <c r="AU166" s="2">
        <v>1</v>
      </c>
      <c r="AV166" s="2">
        <v>3</v>
      </c>
      <c r="AW166" s="2">
        <v>0</v>
      </c>
      <c r="AX166" s="2" t="s">
        <v>89</v>
      </c>
      <c r="AZ166" s="2">
        <v>30.47</v>
      </c>
      <c r="BA166" s="2">
        <v>10.09</v>
      </c>
      <c r="BB166" s="2">
        <v>6.1</v>
      </c>
      <c r="BC166" s="2">
        <v>0.6</v>
      </c>
      <c r="BD166" s="2">
        <v>0.37</v>
      </c>
      <c r="BE166" s="2">
        <v>0</v>
      </c>
      <c r="BF166" s="2">
        <v>0.04</v>
      </c>
      <c r="BG166" s="2">
        <v>48</v>
      </c>
      <c r="BH166" s="2">
        <v>83</v>
      </c>
    </row>
    <row r="167" spans="1:60" s="2" customFormat="1" ht="60" customHeight="1" x14ac:dyDescent="0.35">
      <c r="A167" s="32"/>
      <c r="B167" s="20"/>
      <c r="E167" s="44"/>
      <c r="F167" s="44"/>
      <c r="G167" s="44"/>
      <c r="H167" s="44"/>
      <c r="P167" s="2">
        <v>3</v>
      </c>
      <c r="R167" s="3">
        <v>45954</v>
      </c>
      <c r="S167" s="61">
        <v>45954.70416666667</v>
      </c>
      <c r="T167" s="2">
        <f>S167-S166</f>
        <v>3.0138888888905058</v>
      </c>
      <c r="U167" s="2">
        <f t="shared" si="27"/>
        <v>34</v>
      </c>
      <c r="W167" s="27">
        <v>14.98</v>
      </c>
      <c r="X167" s="27">
        <v>6.65</v>
      </c>
      <c r="Y167" s="27">
        <v>1.47</v>
      </c>
      <c r="Z167" s="27">
        <v>3.33</v>
      </c>
      <c r="AA167" s="27">
        <v>2.69</v>
      </c>
      <c r="AB167" s="27" t="s">
        <v>450</v>
      </c>
      <c r="AC167" s="27" t="s">
        <v>449</v>
      </c>
      <c r="AD167" s="27">
        <v>10</v>
      </c>
      <c r="AE167" s="62">
        <f>$S$166+($T167/2)</f>
        <v>45953.197222222225</v>
      </c>
      <c r="AF167" s="27">
        <f>$U$166+($T$167/2)</f>
        <v>32.506944444445253</v>
      </c>
      <c r="AG167" s="37" t="s">
        <v>451</v>
      </c>
      <c r="AH167" s="37">
        <v>38.880000000000003</v>
      </c>
      <c r="AI167" s="37">
        <v>0</v>
      </c>
      <c r="AJ167" s="37">
        <f>AH167-AI167</f>
        <v>38.880000000000003</v>
      </c>
      <c r="AK167" s="27" t="s">
        <v>55</v>
      </c>
      <c r="AL167" s="27" t="s">
        <v>55</v>
      </c>
      <c r="AM167" s="27" t="s">
        <v>55</v>
      </c>
      <c r="AN167" s="37">
        <v>49.99</v>
      </c>
      <c r="AO167" s="37">
        <v>0</v>
      </c>
      <c r="AP167" s="37">
        <f>AN167-AO167</f>
        <v>49.99</v>
      </c>
      <c r="AQ167" s="27" t="s">
        <v>55</v>
      </c>
      <c r="AR167" s="27" t="s">
        <v>55</v>
      </c>
      <c r="AS167" s="27" t="s">
        <v>55</v>
      </c>
      <c r="AT167" s="2" t="s">
        <v>52</v>
      </c>
      <c r="AU167" s="2">
        <v>1</v>
      </c>
      <c r="AV167" s="2">
        <v>3.88</v>
      </c>
      <c r="AW167" s="2">
        <v>0</v>
      </c>
      <c r="AX167" s="2" t="s">
        <v>89</v>
      </c>
      <c r="AZ167" s="2">
        <v>48.84</v>
      </c>
      <c r="BA167" s="2">
        <v>12.52</v>
      </c>
      <c r="BB167" s="2">
        <v>9.83</v>
      </c>
      <c r="BC167" s="2">
        <v>0.78</v>
      </c>
      <c r="BD167" s="2">
        <v>0.95</v>
      </c>
      <c r="BE167" s="2">
        <v>0</v>
      </c>
      <c r="BF167" s="2">
        <v>0.06</v>
      </c>
      <c r="BG167" s="2">
        <v>58</v>
      </c>
      <c r="BH167" s="2">
        <v>67</v>
      </c>
    </row>
    <row r="168" spans="1:60" s="2" customFormat="1" ht="60" customHeight="1" x14ac:dyDescent="0.35">
      <c r="A168" s="32"/>
      <c r="B168" s="20"/>
      <c r="E168" s="44"/>
      <c r="F168" s="44"/>
      <c r="G168" s="44"/>
      <c r="H168" s="44"/>
      <c r="P168" s="2">
        <v>3</v>
      </c>
      <c r="R168" s="3">
        <v>45958</v>
      </c>
      <c r="S168" s="58">
        <v>0.77847222222222223</v>
      </c>
      <c r="U168" s="2">
        <f t="shared" si="27"/>
        <v>38</v>
      </c>
      <c r="W168" s="27">
        <v>20.95</v>
      </c>
      <c r="X168" s="27">
        <v>11.08</v>
      </c>
      <c r="Y168" s="27">
        <v>3.28</v>
      </c>
      <c r="Z168" s="27">
        <v>7.32</v>
      </c>
      <c r="AA168" s="27">
        <v>1.62</v>
      </c>
      <c r="AB168" s="27" t="s">
        <v>471</v>
      </c>
      <c r="AC168" s="27" t="s">
        <v>470</v>
      </c>
      <c r="AD168" s="27">
        <v>10</v>
      </c>
      <c r="AE168" s="62">
        <f t="shared" ref="AE168:AE169" si="28">$S$166+($T168/2)</f>
        <v>45951.69027777778</v>
      </c>
      <c r="AF168" s="27">
        <f t="shared" ref="AF168:AF169" si="29">$U$166+($T$167/2)</f>
        <v>32.506944444445253</v>
      </c>
      <c r="AG168" s="27" t="s">
        <v>55</v>
      </c>
      <c r="AH168" s="27" t="s">
        <v>55</v>
      </c>
      <c r="AI168" s="27" t="s">
        <v>55</v>
      </c>
      <c r="AJ168" s="27" t="s">
        <v>55</v>
      </c>
      <c r="AK168" s="27" t="s">
        <v>55</v>
      </c>
      <c r="AL168" s="27" t="s">
        <v>55</v>
      </c>
      <c r="AM168" s="27" t="s">
        <v>55</v>
      </c>
      <c r="AN168" s="27" t="s">
        <v>55</v>
      </c>
      <c r="AO168" s="27" t="s">
        <v>55</v>
      </c>
      <c r="AP168" s="27" t="s">
        <v>55</v>
      </c>
      <c r="AQ168" s="27" t="s">
        <v>55</v>
      </c>
      <c r="AR168" s="27" t="s">
        <v>55</v>
      </c>
      <c r="AS168" s="27" t="s">
        <v>55</v>
      </c>
      <c r="AT168" s="2" t="s">
        <v>52</v>
      </c>
      <c r="AU168" s="2">
        <v>1</v>
      </c>
      <c r="AV168" s="2">
        <v>4.47</v>
      </c>
      <c r="AW168" s="2">
        <v>0</v>
      </c>
      <c r="AX168" s="2" t="s">
        <v>89</v>
      </c>
      <c r="AZ168" s="2">
        <v>16.920000000000002</v>
      </c>
      <c r="BA168" s="2">
        <v>3.77</v>
      </c>
      <c r="BB168" s="2">
        <v>3.45</v>
      </c>
      <c r="BC168" s="2">
        <v>0.91</v>
      </c>
      <c r="BD168" s="2">
        <v>0.11</v>
      </c>
      <c r="BE168" s="2">
        <v>0</v>
      </c>
      <c r="BF168" s="2">
        <v>0.01</v>
      </c>
      <c r="BG168" s="2">
        <v>38</v>
      </c>
      <c r="BH168" s="2">
        <v>63</v>
      </c>
    </row>
    <row r="169" spans="1:60" s="2" customFormat="1" ht="60" customHeight="1" x14ac:dyDescent="0.35">
      <c r="A169" s="32"/>
      <c r="B169" s="20"/>
      <c r="E169" s="44"/>
      <c r="F169" s="44"/>
      <c r="G169" s="44"/>
      <c r="H169" s="44"/>
      <c r="P169" s="2">
        <v>3</v>
      </c>
      <c r="R169" s="3">
        <v>45961</v>
      </c>
      <c r="S169" s="58">
        <v>0.74097222222222225</v>
      </c>
      <c r="U169" s="2">
        <f t="shared" si="27"/>
        <v>41</v>
      </c>
      <c r="W169" s="27">
        <v>14.94</v>
      </c>
      <c r="X169" s="27">
        <v>6.94</v>
      </c>
      <c r="Y169" s="27">
        <v>1.68</v>
      </c>
      <c r="Z169" s="27">
        <v>4.67</v>
      </c>
      <c r="AA169" s="27">
        <v>2.85</v>
      </c>
      <c r="AB169" s="37" t="s">
        <v>535</v>
      </c>
      <c r="AC169" s="37" t="s">
        <v>536</v>
      </c>
      <c r="AD169" s="27">
        <v>10</v>
      </c>
      <c r="AE169" s="62">
        <f t="shared" si="28"/>
        <v>45951.69027777778</v>
      </c>
      <c r="AF169" s="27">
        <f t="shared" si="29"/>
        <v>32.506944444445253</v>
      </c>
      <c r="AG169" s="37" t="s">
        <v>534</v>
      </c>
      <c r="AH169" s="27">
        <v>108.61</v>
      </c>
      <c r="AI169" s="27">
        <v>75.53</v>
      </c>
      <c r="AJ169" s="27">
        <f>AH169-AI169</f>
        <v>33.08</v>
      </c>
      <c r="AK169" s="27" t="s">
        <v>55</v>
      </c>
      <c r="AL169" s="27" t="s">
        <v>55</v>
      </c>
      <c r="AM169" s="27" t="s">
        <v>55</v>
      </c>
      <c r="AN169" s="27">
        <v>49</v>
      </c>
      <c r="AO169" s="27">
        <v>13.3</v>
      </c>
      <c r="AP169" s="27">
        <f>AN169-AO169</f>
        <v>35.700000000000003</v>
      </c>
      <c r="AQ169" s="27" t="s">
        <v>55</v>
      </c>
      <c r="AR169" s="27" t="s">
        <v>55</v>
      </c>
      <c r="AS169" s="27" t="s">
        <v>55</v>
      </c>
      <c r="AT169" s="2" t="s">
        <v>52</v>
      </c>
      <c r="AU169" s="2">
        <v>1</v>
      </c>
      <c r="AV169" s="2">
        <v>4.34</v>
      </c>
      <c r="AW169" s="2">
        <v>0</v>
      </c>
      <c r="AX169" s="2" t="s">
        <v>89</v>
      </c>
      <c r="AZ169" s="2">
        <v>33.549999999999997</v>
      </c>
      <c r="BA169" s="2">
        <v>7.67</v>
      </c>
      <c r="BB169" s="2">
        <v>5.56</v>
      </c>
      <c r="BC169" s="2">
        <v>0.72</v>
      </c>
      <c r="BD169" s="2">
        <v>0.45</v>
      </c>
      <c r="BE169" s="2">
        <v>0</v>
      </c>
      <c r="BF169" s="2">
        <v>0.02</v>
      </c>
      <c r="BG169" s="2">
        <v>58</v>
      </c>
      <c r="BH169" s="2">
        <v>78</v>
      </c>
    </row>
    <row r="170" spans="1:60" s="2" customFormat="1" ht="60" customHeight="1" x14ac:dyDescent="0.35">
      <c r="A170" s="32"/>
      <c r="B170" s="20"/>
      <c r="E170" s="44"/>
      <c r="F170" s="44"/>
      <c r="G170" s="44"/>
      <c r="H170" s="44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</row>
    <row r="171" spans="1:60" s="2" customFormat="1" ht="60" customHeight="1" x14ac:dyDescent="0.35">
      <c r="A171" s="32">
        <v>12</v>
      </c>
      <c r="B171" s="57" t="s">
        <v>190</v>
      </c>
      <c r="C171" s="43">
        <v>44296</v>
      </c>
      <c r="D171" s="3">
        <v>45918</v>
      </c>
      <c r="E171" s="44">
        <f t="shared" si="25"/>
        <v>1622</v>
      </c>
      <c r="F171" s="44">
        <f>E171/30</f>
        <v>54.06666666666667</v>
      </c>
      <c r="G171" s="44">
        <f t="shared" si="22"/>
        <v>4.4438356164383563</v>
      </c>
      <c r="H171" s="44">
        <f t="shared" si="23"/>
        <v>6.0083333333333337</v>
      </c>
      <c r="I171" s="2" t="s">
        <v>10</v>
      </c>
      <c r="J171" s="2">
        <v>4.5</v>
      </c>
      <c r="K171" s="2">
        <v>4123</v>
      </c>
      <c r="L171" s="2" t="s">
        <v>10</v>
      </c>
      <c r="M171" s="2">
        <v>3.57</v>
      </c>
      <c r="N171" s="2">
        <v>4124</v>
      </c>
      <c r="P171" s="2">
        <v>2.5</v>
      </c>
      <c r="R171" s="3">
        <v>45925</v>
      </c>
      <c r="S171" s="58">
        <v>0.84236111111111112</v>
      </c>
      <c r="T171" s="3"/>
      <c r="U171" s="2">
        <f t="shared" ref="U171:U182" si="30">R171-$D$171</f>
        <v>7</v>
      </c>
      <c r="V171" s="17">
        <f>R180-D171</f>
        <v>43</v>
      </c>
      <c r="W171" s="27"/>
      <c r="X171" s="27"/>
      <c r="Y171" s="27"/>
      <c r="Z171" s="27"/>
      <c r="AA171" s="27"/>
      <c r="AB171" s="27" t="s">
        <v>55</v>
      </c>
      <c r="AC171" s="27" t="s">
        <v>55</v>
      </c>
      <c r="AD171" s="27" t="s">
        <v>55</v>
      </c>
      <c r="AE171" s="27" t="s">
        <v>55</v>
      </c>
      <c r="AF171" s="27" t="s">
        <v>55</v>
      </c>
      <c r="AG171" s="27" t="s">
        <v>55</v>
      </c>
      <c r="AH171" s="27" t="s">
        <v>55</v>
      </c>
      <c r="AI171" s="27" t="s">
        <v>55</v>
      </c>
      <c r="AJ171" s="27" t="s">
        <v>55</v>
      </c>
      <c r="AK171" s="27" t="s">
        <v>55</v>
      </c>
      <c r="AL171" s="27" t="s">
        <v>55</v>
      </c>
      <c r="AM171" s="27" t="s">
        <v>55</v>
      </c>
      <c r="AN171" s="27" t="s">
        <v>55</v>
      </c>
      <c r="AO171" s="27" t="s">
        <v>55</v>
      </c>
      <c r="AP171" s="27" t="s">
        <v>55</v>
      </c>
      <c r="AQ171" s="27" t="s">
        <v>55</v>
      </c>
      <c r="AR171" s="27" t="s">
        <v>55</v>
      </c>
      <c r="AS171" s="27" t="s">
        <v>55</v>
      </c>
    </row>
    <row r="172" spans="1:60" s="2" customFormat="1" ht="60" customHeight="1" x14ac:dyDescent="0.35">
      <c r="A172" s="32"/>
      <c r="B172" s="20"/>
      <c r="E172" s="44"/>
      <c r="F172" s="44"/>
      <c r="G172" s="44"/>
      <c r="H172" s="44"/>
      <c r="P172" s="2">
        <v>2.25</v>
      </c>
      <c r="R172" s="3">
        <v>45930</v>
      </c>
      <c r="S172" s="58">
        <v>0.69513888888888886</v>
      </c>
      <c r="T172" s="3"/>
      <c r="U172" s="2">
        <f t="shared" si="30"/>
        <v>12</v>
      </c>
      <c r="W172" s="27"/>
      <c r="X172" s="27"/>
      <c r="Y172" s="27"/>
      <c r="Z172" s="27"/>
      <c r="AA172" s="27"/>
      <c r="AB172" s="27" t="s">
        <v>55</v>
      </c>
      <c r="AC172" s="27" t="s">
        <v>55</v>
      </c>
      <c r="AD172" s="27" t="s">
        <v>55</v>
      </c>
      <c r="AE172" s="27" t="s">
        <v>55</v>
      </c>
      <c r="AF172" s="27" t="s">
        <v>55</v>
      </c>
      <c r="AG172" s="27" t="s">
        <v>55</v>
      </c>
      <c r="AH172" s="27" t="s">
        <v>55</v>
      </c>
      <c r="AI172" s="27" t="s">
        <v>55</v>
      </c>
      <c r="AJ172" s="27" t="s">
        <v>55</v>
      </c>
      <c r="AK172" s="27" t="s">
        <v>55</v>
      </c>
      <c r="AL172" s="27" t="s">
        <v>55</v>
      </c>
      <c r="AM172" s="27" t="s">
        <v>55</v>
      </c>
      <c r="AN172" s="27" t="s">
        <v>55</v>
      </c>
      <c r="AO172" s="27" t="s">
        <v>55</v>
      </c>
      <c r="AP172" s="27" t="s">
        <v>55</v>
      </c>
      <c r="AQ172" s="27" t="s">
        <v>55</v>
      </c>
      <c r="AR172" s="27" t="s">
        <v>55</v>
      </c>
      <c r="AS172" s="27" t="s">
        <v>55</v>
      </c>
    </row>
    <row r="173" spans="1:60" s="2" customFormat="1" ht="60" customHeight="1" x14ac:dyDescent="0.35">
      <c r="A173" s="32"/>
      <c r="B173" s="20"/>
      <c r="E173" s="44"/>
      <c r="F173" s="44"/>
      <c r="G173" s="44"/>
      <c r="H173" s="44"/>
      <c r="P173" s="2">
        <v>2.5</v>
      </c>
      <c r="R173" s="3">
        <v>45936</v>
      </c>
      <c r="S173" s="58">
        <v>0.67500000000000004</v>
      </c>
      <c r="T173" s="3"/>
      <c r="U173" s="2">
        <f t="shared" si="30"/>
        <v>18</v>
      </c>
      <c r="W173" s="27"/>
      <c r="X173" s="27"/>
      <c r="Y173" s="27"/>
      <c r="Z173" s="27"/>
      <c r="AA173" s="27"/>
      <c r="AB173" s="27" t="s">
        <v>55</v>
      </c>
      <c r="AC173" s="27" t="s">
        <v>55</v>
      </c>
      <c r="AD173" s="27" t="s">
        <v>55</v>
      </c>
      <c r="AE173" s="27" t="s">
        <v>55</v>
      </c>
      <c r="AF173" s="27" t="s">
        <v>55</v>
      </c>
      <c r="AG173" s="27" t="s">
        <v>55</v>
      </c>
      <c r="AH173" s="27" t="s">
        <v>55</v>
      </c>
      <c r="AI173" s="27" t="s">
        <v>55</v>
      </c>
      <c r="AJ173" s="27" t="s">
        <v>55</v>
      </c>
      <c r="AK173" s="27" t="s">
        <v>55</v>
      </c>
      <c r="AL173" s="27" t="s">
        <v>55</v>
      </c>
      <c r="AM173" s="27" t="s">
        <v>55</v>
      </c>
      <c r="AN173" s="27" t="s">
        <v>55</v>
      </c>
      <c r="AO173" s="27" t="s">
        <v>55</v>
      </c>
      <c r="AP173" s="27" t="s">
        <v>55</v>
      </c>
      <c r="AQ173" s="27" t="s">
        <v>55</v>
      </c>
      <c r="AR173" s="27" t="s">
        <v>55</v>
      </c>
      <c r="AS173" s="27" t="s">
        <v>55</v>
      </c>
    </row>
    <row r="174" spans="1:60" s="2" customFormat="1" ht="60" customHeight="1" x14ac:dyDescent="0.35">
      <c r="A174" s="32"/>
      <c r="B174" s="20"/>
      <c r="E174" s="44"/>
      <c r="F174" s="44"/>
      <c r="G174" s="44"/>
      <c r="H174" s="44"/>
      <c r="P174" s="2">
        <v>2.25</v>
      </c>
      <c r="Q174" s="2" t="s">
        <v>431</v>
      </c>
      <c r="R174" s="3">
        <v>45939</v>
      </c>
      <c r="S174" s="63">
        <v>0.35416666666666669</v>
      </c>
      <c r="T174" s="3"/>
      <c r="U174" s="2">
        <f t="shared" si="30"/>
        <v>21</v>
      </c>
      <c r="W174" s="27"/>
      <c r="X174" s="27"/>
      <c r="Y174" s="27"/>
      <c r="Z174" s="27"/>
      <c r="AA174" s="27"/>
      <c r="AB174" s="27" t="s">
        <v>315</v>
      </c>
      <c r="AC174" s="27" t="s">
        <v>314</v>
      </c>
      <c r="AD174" s="27">
        <f>R174-D171</f>
        <v>21</v>
      </c>
      <c r="AE174" s="27" t="s">
        <v>55</v>
      </c>
      <c r="AF174" s="27" t="s">
        <v>55</v>
      </c>
      <c r="AG174" s="27" t="s">
        <v>55</v>
      </c>
      <c r="AH174" s="27" t="s">
        <v>55</v>
      </c>
      <c r="AI174" s="27" t="s">
        <v>55</v>
      </c>
      <c r="AJ174" s="27" t="s">
        <v>55</v>
      </c>
      <c r="AK174" s="27" t="s">
        <v>55</v>
      </c>
      <c r="AL174" s="27" t="s">
        <v>55</v>
      </c>
      <c r="AM174" s="27" t="s">
        <v>55</v>
      </c>
      <c r="AN174" s="27" t="s">
        <v>55</v>
      </c>
      <c r="AO174" s="27" t="s">
        <v>55</v>
      </c>
      <c r="AP174" s="27" t="s">
        <v>55</v>
      </c>
      <c r="AQ174" s="27" t="s">
        <v>55</v>
      </c>
      <c r="AR174" s="27" t="s">
        <v>55</v>
      </c>
      <c r="AS174" s="27" t="s">
        <v>55</v>
      </c>
    </row>
    <row r="175" spans="1:60" s="2" customFormat="1" ht="60" customHeight="1" x14ac:dyDescent="0.35">
      <c r="A175" s="32"/>
      <c r="B175" s="20"/>
      <c r="E175" s="44"/>
      <c r="F175" s="44"/>
      <c r="G175" s="44"/>
      <c r="H175" s="44"/>
      <c r="P175" s="2">
        <v>2.5</v>
      </c>
      <c r="R175" s="3">
        <v>45944</v>
      </c>
      <c r="S175" s="58">
        <v>0.66319444444444442</v>
      </c>
      <c r="T175" s="3"/>
      <c r="U175" s="2">
        <f t="shared" si="30"/>
        <v>26</v>
      </c>
      <c r="W175" s="27"/>
      <c r="X175" s="27"/>
      <c r="Y175" s="27"/>
      <c r="Z175" s="27"/>
      <c r="AA175" s="27"/>
      <c r="AB175" s="27" t="s">
        <v>354</v>
      </c>
      <c r="AC175" s="27" t="s">
        <v>353</v>
      </c>
      <c r="AD175" s="27">
        <v>21</v>
      </c>
      <c r="AE175" s="27" t="s">
        <v>55</v>
      </c>
      <c r="AF175" s="27" t="s">
        <v>55</v>
      </c>
      <c r="AG175" s="27" t="s">
        <v>55</v>
      </c>
      <c r="AH175" s="27" t="s">
        <v>55</v>
      </c>
      <c r="AI175" s="27" t="s">
        <v>55</v>
      </c>
      <c r="AJ175" s="27" t="s">
        <v>55</v>
      </c>
      <c r="AK175" s="27" t="s">
        <v>55</v>
      </c>
      <c r="AL175" s="27" t="s">
        <v>55</v>
      </c>
      <c r="AM175" s="27" t="s">
        <v>55</v>
      </c>
      <c r="AN175" s="27" t="s">
        <v>55</v>
      </c>
      <c r="AO175" s="27" t="s">
        <v>55</v>
      </c>
      <c r="AP175" s="27" t="s">
        <v>55</v>
      </c>
      <c r="AQ175" s="27" t="s">
        <v>55</v>
      </c>
      <c r="AR175" s="27" t="s">
        <v>55</v>
      </c>
      <c r="AS175" s="27" t="s">
        <v>55</v>
      </c>
    </row>
    <row r="176" spans="1:60" s="2" customFormat="1" ht="60" customHeight="1" x14ac:dyDescent="0.35">
      <c r="A176" s="32"/>
      <c r="B176" s="20"/>
      <c r="E176" s="44"/>
      <c r="F176" s="44"/>
      <c r="G176" s="44"/>
      <c r="H176" s="44"/>
      <c r="P176" s="2">
        <v>2.5</v>
      </c>
      <c r="R176" s="3">
        <v>45947</v>
      </c>
      <c r="S176" s="58">
        <v>0.49166666666666664</v>
      </c>
      <c r="U176" s="2">
        <f t="shared" si="30"/>
        <v>29</v>
      </c>
      <c r="W176" s="27"/>
      <c r="X176" s="27"/>
      <c r="Y176" s="27"/>
      <c r="Z176" s="27"/>
      <c r="AA176" s="27"/>
      <c r="AB176" s="27" t="s">
        <v>378</v>
      </c>
      <c r="AC176" s="27" t="s">
        <v>387</v>
      </c>
      <c r="AD176" s="27">
        <v>21</v>
      </c>
      <c r="AE176" s="27" t="s">
        <v>55</v>
      </c>
      <c r="AF176" s="27" t="s">
        <v>55</v>
      </c>
      <c r="AG176" s="27" t="s">
        <v>55</v>
      </c>
      <c r="AH176" s="27" t="s">
        <v>55</v>
      </c>
      <c r="AI176" s="27" t="s">
        <v>55</v>
      </c>
      <c r="AJ176" s="27" t="s">
        <v>55</v>
      </c>
      <c r="AK176" s="27" t="s">
        <v>55</v>
      </c>
      <c r="AL176" s="27" t="s">
        <v>55</v>
      </c>
      <c r="AM176" s="27" t="s">
        <v>55</v>
      </c>
      <c r="AN176" s="27" t="s">
        <v>55</v>
      </c>
      <c r="AO176" s="27" t="s">
        <v>55</v>
      </c>
      <c r="AP176" s="27" t="s">
        <v>55</v>
      </c>
      <c r="AQ176" s="27" t="s">
        <v>55</v>
      </c>
      <c r="AR176" s="27" t="s">
        <v>55</v>
      </c>
      <c r="AS176" s="27" t="s">
        <v>55</v>
      </c>
    </row>
    <row r="177" spans="1:61" s="2" customFormat="1" ht="60" customHeight="1" x14ac:dyDescent="0.35">
      <c r="A177" s="32"/>
      <c r="B177" s="20"/>
      <c r="E177" s="44"/>
      <c r="F177" s="44"/>
      <c r="G177" s="44"/>
      <c r="H177" s="44"/>
      <c r="P177" s="2">
        <v>2.5</v>
      </c>
      <c r="R177" s="3">
        <v>45951</v>
      </c>
      <c r="S177" s="58">
        <v>0.72638888888888886</v>
      </c>
      <c r="U177" s="2">
        <f t="shared" si="30"/>
        <v>33</v>
      </c>
      <c r="W177" s="27"/>
      <c r="X177" s="27"/>
      <c r="Y177" s="27"/>
      <c r="Z177" s="27"/>
      <c r="AA177" s="27"/>
      <c r="AB177" s="27" t="s">
        <v>55</v>
      </c>
      <c r="AC177" s="27" t="s">
        <v>421</v>
      </c>
      <c r="AD177" s="27">
        <v>21</v>
      </c>
      <c r="AE177" s="27" t="s">
        <v>55</v>
      </c>
      <c r="AF177" s="27" t="s">
        <v>55</v>
      </c>
      <c r="AG177" s="27" t="s">
        <v>55</v>
      </c>
      <c r="AH177" s="27" t="s">
        <v>55</v>
      </c>
      <c r="AI177" s="27" t="s">
        <v>55</v>
      </c>
      <c r="AJ177" s="27" t="s">
        <v>55</v>
      </c>
      <c r="AK177" s="27" t="s">
        <v>55</v>
      </c>
      <c r="AL177" s="27" t="s">
        <v>55</v>
      </c>
      <c r="AM177" s="27" t="s">
        <v>55</v>
      </c>
      <c r="AN177" s="27" t="s">
        <v>55</v>
      </c>
      <c r="AO177" s="27" t="s">
        <v>55</v>
      </c>
      <c r="AP177" s="27" t="s">
        <v>55</v>
      </c>
      <c r="AQ177" s="27" t="s">
        <v>55</v>
      </c>
      <c r="AR177" s="27" t="s">
        <v>55</v>
      </c>
      <c r="AS177" s="27" t="s">
        <v>55</v>
      </c>
    </row>
    <row r="178" spans="1:61" s="2" customFormat="1" ht="60" customHeight="1" x14ac:dyDescent="0.35">
      <c r="A178" s="32"/>
      <c r="B178" s="20"/>
      <c r="E178" s="44"/>
      <c r="F178" s="44"/>
      <c r="G178" s="44"/>
      <c r="H178" s="44"/>
      <c r="P178" s="2">
        <v>2.5</v>
      </c>
      <c r="R178" s="3">
        <v>45954</v>
      </c>
      <c r="S178" s="58">
        <v>0.6791666666666667</v>
      </c>
      <c r="U178" s="2">
        <f t="shared" si="30"/>
        <v>36</v>
      </c>
      <c r="W178" s="27"/>
      <c r="X178" s="27"/>
      <c r="Y178" s="27"/>
      <c r="Z178" s="27"/>
      <c r="AA178" s="27"/>
      <c r="AB178" s="27" t="s">
        <v>434</v>
      </c>
      <c r="AC178" s="27" t="s">
        <v>311</v>
      </c>
      <c r="AD178" s="27">
        <v>21</v>
      </c>
      <c r="AE178" s="27" t="s">
        <v>55</v>
      </c>
      <c r="AF178" s="27" t="s">
        <v>55</v>
      </c>
      <c r="AG178" s="27" t="s">
        <v>55</v>
      </c>
      <c r="AH178" s="27" t="s">
        <v>55</v>
      </c>
      <c r="AI178" s="27" t="s">
        <v>55</v>
      </c>
      <c r="AJ178" s="27" t="s">
        <v>55</v>
      </c>
      <c r="AK178" s="27" t="s">
        <v>55</v>
      </c>
      <c r="AL178" s="27" t="s">
        <v>55</v>
      </c>
      <c r="AM178" s="27" t="s">
        <v>55</v>
      </c>
      <c r="AN178" s="27" t="s">
        <v>55</v>
      </c>
      <c r="AO178" s="27" t="s">
        <v>55</v>
      </c>
      <c r="AP178" s="27" t="s">
        <v>55</v>
      </c>
      <c r="AQ178" s="27" t="s">
        <v>55</v>
      </c>
      <c r="AR178" s="27" t="s">
        <v>55</v>
      </c>
      <c r="AS178" s="27" t="s">
        <v>55</v>
      </c>
    </row>
    <row r="179" spans="1:61" s="2" customFormat="1" ht="60" customHeight="1" x14ac:dyDescent="0.35">
      <c r="A179" s="32"/>
      <c r="B179" s="20"/>
      <c r="E179" s="44"/>
      <c r="F179" s="44"/>
      <c r="G179" s="44"/>
      <c r="H179" s="44"/>
      <c r="P179" s="2">
        <v>2.5</v>
      </c>
      <c r="R179" s="3">
        <v>45958</v>
      </c>
      <c r="S179" s="61">
        <v>45958.750694444447</v>
      </c>
      <c r="U179" s="2">
        <f t="shared" si="30"/>
        <v>40</v>
      </c>
      <c r="W179" s="27"/>
      <c r="X179" s="27"/>
      <c r="Y179" s="27"/>
      <c r="Z179" s="27"/>
      <c r="AA179" s="27"/>
      <c r="AB179" s="27" t="s">
        <v>440</v>
      </c>
      <c r="AC179" s="27" t="s">
        <v>317</v>
      </c>
      <c r="AD179" s="27">
        <v>21</v>
      </c>
      <c r="AE179" s="27" t="s">
        <v>55</v>
      </c>
      <c r="AF179" s="27" t="s">
        <v>55</v>
      </c>
      <c r="AG179" s="27" t="s">
        <v>55</v>
      </c>
      <c r="AH179" s="27" t="s">
        <v>55</v>
      </c>
      <c r="AI179" s="27" t="s">
        <v>55</v>
      </c>
      <c r="AJ179" s="27" t="s">
        <v>55</v>
      </c>
      <c r="AK179" s="27" t="s">
        <v>55</v>
      </c>
      <c r="AL179" s="27" t="s">
        <v>55</v>
      </c>
      <c r="AM179" s="27" t="s">
        <v>55</v>
      </c>
      <c r="AN179" s="27" t="s">
        <v>55</v>
      </c>
      <c r="AO179" s="27" t="s">
        <v>55</v>
      </c>
      <c r="AP179" s="27" t="s">
        <v>55</v>
      </c>
      <c r="AQ179" s="27" t="s">
        <v>55</v>
      </c>
      <c r="AR179" s="27" t="s">
        <v>55</v>
      </c>
      <c r="AS179" s="27" t="s">
        <v>55</v>
      </c>
    </row>
    <row r="180" spans="1:61" s="2" customFormat="1" ht="60" customHeight="1" x14ac:dyDescent="0.35">
      <c r="A180" s="32"/>
      <c r="B180" s="20"/>
      <c r="E180" s="44"/>
      <c r="F180" s="44"/>
      <c r="G180" s="44"/>
      <c r="H180" s="44"/>
      <c r="P180" s="2">
        <v>2.25</v>
      </c>
      <c r="R180" s="3">
        <v>45961</v>
      </c>
      <c r="S180" s="61">
        <v>45961.701388888891</v>
      </c>
      <c r="T180" s="2">
        <f>S180-S179</f>
        <v>2.9506944444437977</v>
      </c>
      <c r="U180" s="2">
        <f t="shared" si="30"/>
        <v>43</v>
      </c>
      <c r="W180" s="27"/>
      <c r="X180" s="27"/>
      <c r="Y180" s="27"/>
      <c r="Z180" s="27"/>
      <c r="AA180" s="27"/>
      <c r="AB180" s="27" t="s">
        <v>317</v>
      </c>
      <c r="AC180" s="37" t="s">
        <v>515</v>
      </c>
      <c r="AD180" s="27">
        <v>21</v>
      </c>
      <c r="AE180" s="62">
        <f>$S$179+($T$180/2)</f>
        <v>45960.226041666669</v>
      </c>
      <c r="AF180" s="27">
        <f>$U$179+($T$180/2)</f>
        <v>41.475347222221899</v>
      </c>
      <c r="AG180" s="37" t="s">
        <v>514</v>
      </c>
      <c r="AH180" s="27" t="s">
        <v>55</v>
      </c>
      <c r="AI180" s="27" t="s">
        <v>55</v>
      </c>
      <c r="AJ180" s="27" t="s">
        <v>55</v>
      </c>
      <c r="AK180" s="27" t="s">
        <v>55</v>
      </c>
      <c r="AL180" s="27" t="s">
        <v>55</v>
      </c>
      <c r="AM180" s="27" t="s">
        <v>55</v>
      </c>
      <c r="AN180" s="27">
        <v>87.99</v>
      </c>
      <c r="AO180" s="27">
        <v>41.04</v>
      </c>
      <c r="AP180" s="27">
        <f>AN180-AO180</f>
        <v>46.949999999999996</v>
      </c>
      <c r="AQ180" s="27" t="s">
        <v>55</v>
      </c>
      <c r="AR180" s="27" t="s">
        <v>55</v>
      </c>
      <c r="AS180" s="27" t="s">
        <v>55</v>
      </c>
    </row>
    <row r="181" spans="1:61" s="2" customFormat="1" ht="60" customHeight="1" x14ac:dyDescent="0.35">
      <c r="A181" s="32"/>
      <c r="B181" s="20"/>
      <c r="E181" s="44"/>
      <c r="F181" s="44"/>
      <c r="G181" s="44"/>
      <c r="H181" s="44"/>
      <c r="P181" s="2">
        <v>2.25</v>
      </c>
      <c r="R181" s="3">
        <v>45964</v>
      </c>
      <c r="S181" s="58">
        <v>0.36041666666666666</v>
      </c>
      <c r="U181" s="2">
        <f t="shared" si="30"/>
        <v>46</v>
      </c>
      <c r="W181" s="27"/>
      <c r="X181" s="27"/>
      <c r="Y181" s="27"/>
      <c r="Z181" s="27"/>
      <c r="AA181" s="27"/>
      <c r="AB181" s="27" t="s">
        <v>79</v>
      </c>
      <c r="AC181" s="37" t="s">
        <v>243</v>
      </c>
      <c r="AD181" s="27">
        <v>21</v>
      </c>
      <c r="AE181" s="62">
        <f t="shared" ref="AE181:AE182" si="31">$S$179+($T$180/2)</f>
        <v>45960.226041666669</v>
      </c>
      <c r="AF181" s="27">
        <f t="shared" ref="AF181:AF182" si="32">$U$179+($T$180/2)</f>
        <v>41.475347222221899</v>
      </c>
      <c r="AG181" s="37" t="s">
        <v>553</v>
      </c>
      <c r="AH181" s="27" t="s">
        <v>55</v>
      </c>
      <c r="AI181" s="27" t="s">
        <v>55</v>
      </c>
      <c r="AJ181" s="27" t="s">
        <v>55</v>
      </c>
      <c r="AK181" s="27" t="s">
        <v>55</v>
      </c>
      <c r="AL181" s="27" t="s">
        <v>55</v>
      </c>
      <c r="AM181" s="27" t="s">
        <v>55</v>
      </c>
      <c r="AN181" s="27">
        <v>158.91999999999999</v>
      </c>
      <c r="AO181" s="27">
        <v>42.88</v>
      </c>
      <c r="AP181" s="27">
        <f>AN181-AO181</f>
        <v>116.03999999999999</v>
      </c>
      <c r="AQ181" s="27" t="s">
        <v>55</v>
      </c>
      <c r="AR181" s="27" t="s">
        <v>55</v>
      </c>
      <c r="AS181" s="27" t="s">
        <v>55</v>
      </c>
      <c r="BI181" s="2" t="s">
        <v>606</v>
      </c>
    </row>
    <row r="182" spans="1:61" s="2" customFormat="1" ht="60" customHeight="1" x14ac:dyDescent="0.35">
      <c r="A182" s="32"/>
      <c r="B182" s="20"/>
      <c r="E182" s="44"/>
      <c r="F182" s="44"/>
      <c r="G182" s="44"/>
      <c r="H182" s="44"/>
      <c r="P182" s="2">
        <v>2.25</v>
      </c>
      <c r="R182" s="3">
        <v>45968</v>
      </c>
      <c r="S182" s="58">
        <v>0.67083333333333328</v>
      </c>
      <c r="U182" s="2">
        <f t="shared" si="30"/>
        <v>50</v>
      </c>
      <c r="W182" s="27"/>
      <c r="X182" s="27"/>
      <c r="Y182" s="27"/>
      <c r="Z182" s="27"/>
      <c r="AA182" s="27"/>
      <c r="AB182" s="37" t="s">
        <v>567</v>
      </c>
      <c r="AC182" s="37" t="s">
        <v>568</v>
      </c>
      <c r="AD182" s="27">
        <v>21</v>
      </c>
      <c r="AE182" s="62">
        <f t="shared" si="31"/>
        <v>45960.226041666669</v>
      </c>
      <c r="AF182" s="27">
        <f t="shared" si="32"/>
        <v>41.475347222221899</v>
      </c>
      <c r="AG182" s="37" t="s">
        <v>569</v>
      </c>
      <c r="AH182" s="27" t="s">
        <v>55</v>
      </c>
      <c r="AI182" s="27" t="s">
        <v>55</v>
      </c>
      <c r="AJ182" s="27" t="s">
        <v>55</v>
      </c>
      <c r="AK182" s="27" t="s">
        <v>55</v>
      </c>
      <c r="AL182" s="27" t="s">
        <v>55</v>
      </c>
      <c r="AM182" s="27" t="s">
        <v>55</v>
      </c>
      <c r="AN182" s="27">
        <v>142.68</v>
      </c>
      <c r="AO182" s="27">
        <v>29.75</v>
      </c>
      <c r="AP182" s="27">
        <f>AN182-AO182</f>
        <v>112.93</v>
      </c>
      <c r="AQ182" s="27">
        <v>137.47999999999999</v>
      </c>
      <c r="AR182" s="27">
        <v>0</v>
      </c>
      <c r="AS182" s="27">
        <f>AQ182-AR182</f>
        <v>137.47999999999999</v>
      </c>
    </row>
    <row r="183" spans="1:61" s="2" customFormat="1" ht="60" customHeight="1" x14ac:dyDescent="0.35">
      <c r="A183" s="32"/>
      <c r="B183" s="20"/>
      <c r="E183" s="44"/>
      <c r="F183" s="44"/>
      <c r="G183" s="44"/>
      <c r="H183" s="44"/>
      <c r="R183" s="3"/>
      <c r="S183" s="58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</row>
    <row r="184" spans="1:61" s="2" customFormat="1" ht="60" customHeight="1" x14ac:dyDescent="0.35">
      <c r="A184" s="32">
        <v>13</v>
      </c>
      <c r="B184" s="57" t="s">
        <v>177</v>
      </c>
      <c r="C184" s="3">
        <v>45283</v>
      </c>
      <c r="D184" s="3">
        <v>45916</v>
      </c>
      <c r="E184" s="44">
        <f>D184-C184</f>
        <v>633</v>
      </c>
      <c r="F184" s="44">
        <f>E184/30</f>
        <v>21.1</v>
      </c>
      <c r="G184" s="44">
        <f t="shared" ref="G184" si="33">E184/365</f>
        <v>1.7342465753424658</v>
      </c>
      <c r="H184" s="44">
        <f t="shared" ref="H184" si="34">(E184-180)/240</f>
        <v>1.8875</v>
      </c>
      <c r="I184" s="2" t="s">
        <v>10</v>
      </c>
      <c r="J184" s="2">
        <v>2.3149999999999999</v>
      </c>
      <c r="K184" s="2">
        <v>4122</v>
      </c>
      <c r="L184" s="2" t="s">
        <v>10</v>
      </c>
      <c r="M184" s="2">
        <v>3.39</v>
      </c>
      <c r="N184" s="2">
        <v>4126</v>
      </c>
      <c r="R184" s="3">
        <v>45925</v>
      </c>
      <c r="S184" s="58">
        <v>0.76736111111111116</v>
      </c>
      <c r="T184" s="3"/>
      <c r="U184" s="2">
        <f t="shared" ref="U184:U191" si="35">R184-$D$184</f>
        <v>9</v>
      </c>
      <c r="V184" s="17">
        <f>R188-D184</f>
        <v>28</v>
      </c>
      <c r="W184" s="27"/>
      <c r="X184" s="27"/>
      <c r="Y184" s="27"/>
      <c r="Z184" s="27"/>
      <c r="AA184" s="27"/>
      <c r="AB184" s="27" t="s">
        <v>223</v>
      </c>
      <c r="AC184" s="27" t="s">
        <v>222</v>
      </c>
      <c r="AD184" s="27">
        <f>R184-D184</f>
        <v>9</v>
      </c>
      <c r="AE184" s="27" t="s">
        <v>55</v>
      </c>
      <c r="AF184" s="27" t="s">
        <v>55</v>
      </c>
      <c r="AG184" s="27" t="s">
        <v>55</v>
      </c>
      <c r="AH184" s="27" t="s">
        <v>55</v>
      </c>
      <c r="AI184" s="27" t="s">
        <v>55</v>
      </c>
      <c r="AJ184" s="27" t="s">
        <v>55</v>
      </c>
      <c r="AK184" s="27" t="s">
        <v>55</v>
      </c>
      <c r="AL184" s="27" t="s">
        <v>55</v>
      </c>
      <c r="AM184" s="27" t="s">
        <v>55</v>
      </c>
      <c r="AN184" s="27" t="s">
        <v>55</v>
      </c>
      <c r="AO184" s="27" t="s">
        <v>55</v>
      </c>
      <c r="AP184" s="27" t="s">
        <v>55</v>
      </c>
      <c r="AQ184" s="27" t="s">
        <v>55</v>
      </c>
      <c r="AR184" s="27" t="s">
        <v>55</v>
      </c>
      <c r="AS184" s="27" t="s">
        <v>55</v>
      </c>
      <c r="BI184" s="2" t="s">
        <v>221</v>
      </c>
    </row>
    <row r="185" spans="1:61" ht="60" customHeight="1" x14ac:dyDescent="0.5">
      <c r="E185" s="44"/>
      <c r="F185" s="44"/>
      <c r="G185" s="44"/>
      <c r="H185" s="44"/>
      <c r="P185" s="2">
        <v>2.5</v>
      </c>
      <c r="Q185" s="2"/>
      <c r="R185" s="3">
        <v>45930</v>
      </c>
      <c r="S185" s="58">
        <v>0.69513888888888886</v>
      </c>
      <c r="T185" s="3"/>
      <c r="U185" s="2">
        <f t="shared" si="35"/>
        <v>14</v>
      </c>
      <c r="V185" s="2"/>
      <c r="AB185" s="27" t="s">
        <v>240</v>
      </c>
      <c r="AC185" s="27" t="s">
        <v>129</v>
      </c>
      <c r="AD185" s="27">
        <v>9</v>
      </c>
      <c r="AE185" s="27" t="s">
        <v>55</v>
      </c>
      <c r="AF185" s="27" t="s">
        <v>55</v>
      </c>
      <c r="AG185" s="27" t="s">
        <v>55</v>
      </c>
      <c r="AH185" s="27" t="s">
        <v>55</v>
      </c>
      <c r="AI185" s="27" t="s">
        <v>55</v>
      </c>
      <c r="AJ185" s="27" t="s">
        <v>55</v>
      </c>
      <c r="AK185" s="27" t="s">
        <v>55</v>
      </c>
      <c r="AL185" s="27" t="s">
        <v>55</v>
      </c>
      <c r="AM185" s="27" t="s">
        <v>55</v>
      </c>
      <c r="AN185" s="27" t="s">
        <v>55</v>
      </c>
      <c r="AO185" s="27" t="s">
        <v>55</v>
      </c>
      <c r="AP185" s="27" t="s">
        <v>55</v>
      </c>
      <c r="AQ185" s="27" t="s">
        <v>55</v>
      </c>
      <c r="AR185" s="27" t="s">
        <v>55</v>
      </c>
      <c r="AS185" s="27" t="s">
        <v>55</v>
      </c>
      <c r="BI185" s="2" t="s">
        <v>221</v>
      </c>
    </row>
    <row r="186" spans="1:61" ht="60" customHeight="1" x14ac:dyDescent="0.5">
      <c r="E186" s="44"/>
      <c r="F186" s="44"/>
      <c r="G186" s="44"/>
      <c r="H186" s="44"/>
      <c r="P186" s="2">
        <v>2.5</v>
      </c>
      <c r="Q186" s="2"/>
      <c r="R186" s="3">
        <v>45936</v>
      </c>
      <c r="S186" s="58">
        <v>0.67500000000000004</v>
      </c>
      <c r="T186" s="3"/>
      <c r="U186" s="2">
        <f t="shared" si="35"/>
        <v>20</v>
      </c>
      <c r="V186" s="2"/>
      <c r="AB186" s="27" t="s">
        <v>276</v>
      </c>
      <c r="AC186" s="27" t="s">
        <v>288</v>
      </c>
      <c r="AD186" s="27">
        <v>9</v>
      </c>
      <c r="AE186" s="27" t="s">
        <v>55</v>
      </c>
      <c r="AF186" s="27" t="s">
        <v>55</v>
      </c>
      <c r="AG186" s="27" t="s">
        <v>55</v>
      </c>
      <c r="AH186" s="27" t="s">
        <v>55</v>
      </c>
      <c r="AI186" s="27" t="s">
        <v>55</v>
      </c>
      <c r="AJ186" s="27" t="s">
        <v>55</v>
      </c>
      <c r="AK186" s="27" t="s">
        <v>55</v>
      </c>
      <c r="AL186" s="27" t="s">
        <v>55</v>
      </c>
      <c r="AM186" s="27" t="s">
        <v>55</v>
      </c>
      <c r="AN186" s="27" t="s">
        <v>55</v>
      </c>
      <c r="AO186" s="27" t="s">
        <v>55</v>
      </c>
      <c r="AP186" s="27" t="s">
        <v>55</v>
      </c>
      <c r="AQ186" s="27" t="s">
        <v>55</v>
      </c>
      <c r="AR186" s="27" t="s">
        <v>55</v>
      </c>
      <c r="AS186" s="27" t="s">
        <v>55</v>
      </c>
    </row>
    <row r="187" spans="1:61" ht="60" customHeight="1" x14ac:dyDescent="0.5">
      <c r="E187" s="44"/>
      <c r="F187" s="44"/>
      <c r="G187" s="44"/>
      <c r="H187" s="44"/>
      <c r="P187" s="2">
        <v>2.5</v>
      </c>
      <c r="Q187" s="2" t="s">
        <v>431</v>
      </c>
      <c r="R187" s="3">
        <v>45939</v>
      </c>
      <c r="S187" s="111">
        <v>45939.354166666664</v>
      </c>
      <c r="T187" s="3"/>
      <c r="U187" s="2">
        <f t="shared" si="35"/>
        <v>23</v>
      </c>
      <c r="V187" s="2"/>
      <c r="AB187" s="27" t="s">
        <v>296</v>
      </c>
      <c r="AC187" s="27" t="s">
        <v>297</v>
      </c>
      <c r="AD187" s="27">
        <v>9</v>
      </c>
      <c r="AE187" s="27" t="s">
        <v>55</v>
      </c>
      <c r="AF187" s="27" t="s">
        <v>55</v>
      </c>
      <c r="AG187" s="27" t="s">
        <v>55</v>
      </c>
      <c r="AH187" s="27" t="s">
        <v>55</v>
      </c>
      <c r="AI187" s="27" t="s">
        <v>55</v>
      </c>
      <c r="AJ187" s="27" t="s">
        <v>55</v>
      </c>
      <c r="AK187" s="27" t="s">
        <v>55</v>
      </c>
      <c r="AL187" s="27" t="s">
        <v>55</v>
      </c>
      <c r="AM187" s="27" t="s">
        <v>55</v>
      </c>
      <c r="AN187" s="27" t="s">
        <v>55</v>
      </c>
      <c r="AO187" s="27" t="s">
        <v>55</v>
      </c>
      <c r="AP187" s="27" t="s">
        <v>55</v>
      </c>
      <c r="AQ187" s="27" t="s">
        <v>55</v>
      </c>
      <c r="AR187" s="27" t="s">
        <v>55</v>
      </c>
      <c r="AS187" s="27" t="s">
        <v>55</v>
      </c>
    </row>
    <row r="188" spans="1:61" ht="60" customHeight="1" x14ac:dyDescent="0.5">
      <c r="E188" s="44"/>
      <c r="F188" s="44"/>
      <c r="G188" s="44"/>
      <c r="H188" s="44"/>
      <c r="P188" s="2">
        <v>2.5</v>
      </c>
      <c r="Q188" s="2"/>
      <c r="R188" s="3">
        <v>45944</v>
      </c>
      <c r="S188" s="61">
        <v>45944.699305555558</v>
      </c>
      <c r="T188" s="2">
        <f>S188-S187</f>
        <v>5.3451388888934162</v>
      </c>
      <c r="U188" s="2">
        <f t="shared" si="35"/>
        <v>28</v>
      </c>
      <c r="V188" s="2"/>
      <c r="AB188" s="27" t="s">
        <v>345</v>
      </c>
      <c r="AC188" s="27" t="s">
        <v>347</v>
      </c>
      <c r="AD188" s="27">
        <v>9</v>
      </c>
      <c r="AE188" s="62">
        <f>$S$187+($T$188/2)</f>
        <v>45942.026736111111</v>
      </c>
      <c r="AF188" s="27">
        <f>$U$187+($T$188/2)</f>
        <v>25.672569444446708</v>
      </c>
      <c r="AG188" s="37" t="s">
        <v>346</v>
      </c>
      <c r="AH188" s="27" t="s">
        <v>55</v>
      </c>
      <c r="AI188" s="27" t="s">
        <v>55</v>
      </c>
      <c r="AJ188" s="27" t="s">
        <v>55</v>
      </c>
      <c r="AK188" s="27" t="s">
        <v>55</v>
      </c>
      <c r="AL188" s="27" t="s">
        <v>55</v>
      </c>
      <c r="AM188" s="27" t="s">
        <v>55</v>
      </c>
      <c r="AN188" s="37">
        <v>58.27</v>
      </c>
      <c r="AO188" s="37">
        <v>1.95</v>
      </c>
      <c r="AP188" s="37">
        <f>AN188-AO188</f>
        <v>56.32</v>
      </c>
      <c r="AQ188" s="27" t="s">
        <v>55</v>
      </c>
      <c r="AR188" s="27" t="s">
        <v>55</v>
      </c>
      <c r="AS188" s="27" t="s">
        <v>55</v>
      </c>
    </row>
    <row r="189" spans="1:61" ht="60" customHeight="1" x14ac:dyDescent="0.5">
      <c r="E189" s="44"/>
      <c r="F189" s="44"/>
      <c r="G189" s="44"/>
      <c r="H189" s="44"/>
      <c r="P189" s="2">
        <v>2.5</v>
      </c>
      <c r="Q189" s="2"/>
      <c r="R189" s="3">
        <v>45947</v>
      </c>
      <c r="S189" s="58">
        <v>0.49166666666666664</v>
      </c>
      <c r="U189" s="2">
        <f t="shared" si="35"/>
        <v>31</v>
      </c>
      <c r="V189" s="2"/>
      <c r="AB189" s="27" t="s">
        <v>112</v>
      </c>
      <c r="AC189" s="37" t="s">
        <v>414</v>
      </c>
      <c r="AD189" s="27">
        <v>9</v>
      </c>
      <c r="AE189" s="62">
        <f t="shared" ref="AE189:AE191" si="36">$S$187+($T$188/2)</f>
        <v>45942.026736111111</v>
      </c>
      <c r="AF189" s="27">
        <f t="shared" ref="AF189:AF191" si="37">$U$187+($T$188/2)</f>
        <v>25.672569444446708</v>
      </c>
      <c r="AG189" s="37" t="s">
        <v>390</v>
      </c>
      <c r="AH189" s="27" t="s">
        <v>55</v>
      </c>
      <c r="AI189" s="27" t="s">
        <v>55</v>
      </c>
      <c r="AJ189" s="27" t="s">
        <v>55</v>
      </c>
      <c r="AK189" s="27" t="s">
        <v>55</v>
      </c>
      <c r="AL189" s="27" t="s">
        <v>55</v>
      </c>
      <c r="AM189" s="27" t="s">
        <v>55</v>
      </c>
      <c r="AN189" s="37">
        <v>53.56</v>
      </c>
      <c r="AO189" s="37">
        <v>9.4499999999999993</v>
      </c>
      <c r="AP189" s="37">
        <f>AN189-AO189</f>
        <v>44.11</v>
      </c>
      <c r="AQ189" s="27" t="s">
        <v>55</v>
      </c>
      <c r="AR189" s="27" t="s">
        <v>55</v>
      </c>
      <c r="AS189" s="27" t="s">
        <v>55</v>
      </c>
      <c r="BI189" s="2" t="s">
        <v>391</v>
      </c>
    </row>
    <row r="190" spans="1:61" ht="60" customHeight="1" x14ac:dyDescent="0.5">
      <c r="E190" s="44"/>
      <c r="F190" s="44"/>
      <c r="G190" s="44"/>
      <c r="H190" s="44"/>
      <c r="P190" s="2">
        <v>2.5</v>
      </c>
      <c r="Q190" s="2"/>
      <c r="R190" s="3">
        <v>45951</v>
      </c>
      <c r="S190" s="58">
        <v>0.71805555555555556</v>
      </c>
      <c r="T190" s="2"/>
      <c r="U190" s="2">
        <f t="shared" si="35"/>
        <v>35</v>
      </c>
      <c r="V190" s="2"/>
      <c r="AB190" s="27" t="s">
        <v>415</v>
      </c>
      <c r="AC190" s="27" t="s">
        <v>242</v>
      </c>
      <c r="AD190" s="27">
        <v>9</v>
      </c>
      <c r="AE190" s="62">
        <f t="shared" si="36"/>
        <v>45942.026736111111</v>
      </c>
      <c r="AF190" s="27">
        <f t="shared" si="37"/>
        <v>25.672569444446708</v>
      </c>
      <c r="AG190" s="27" t="s">
        <v>55</v>
      </c>
      <c r="AH190" s="27" t="s">
        <v>55</v>
      </c>
      <c r="AI190" s="27" t="s">
        <v>55</v>
      </c>
      <c r="AJ190" s="27" t="s">
        <v>55</v>
      </c>
      <c r="AK190" s="27" t="s">
        <v>55</v>
      </c>
      <c r="AL190" s="27" t="s">
        <v>55</v>
      </c>
      <c r="AM190" s="27" t="s">
        <v>55</v>
      </c>
      <c r="AN190" s="27" t="s">
        <v>55</v>
      </c>
      <c r="AO190" s="27" t="s">
        <v>55</v>
      </c>
      <c r="AP190" s="27" t="s">
        <v>55</v>
      </c>
      <c r="AQ190" s="27" t="s">
        <v>55</v>
      </c>
      <c r="AR190" s="27" t="s">
        <v>55</v>
      </c>
      <c r="AS190" s="27" t="s">
        <v>55</v>
      </c>
      <c r="BI190" s="2" t="s">
        <v>416</v>
      </c>
    </row>
    <row r="191" spans="1:61" ht="60" customHeight="1" x14ac:dyDescent="0.5">
      <c r="E191" s="44"/>
      <c r="F191" s="44"/>
      <c r="G191" s="44"/>
      <c r="H191" s="44"/>
      <c r="P191" s="2">
        <v>2.5</v>
      </c>
      <c r="Q191" s="2"/>
      <c r="R191" s="3">
        <v>45954</v>
      </c>
      <c r="S191" s="58">
        <v>0.6875</v>
      </c>
      <c r="T191" s="2"/>
      <c r="U191" s="2">
        <f t="shared" si="35"/>
        <v>38</v>
      </c>
      <c r="V191" s="2"/>
      <c r="W191" s="27"/>
      <c r="X191" s="27"/>
      <c r="Y191" s="27"/>
      <c r="Z191" s="27"/>
      <c r="AA191" s="27"/>
      <c r="AB191" s="27" t="s">
        <v>319</v>
      </c>
      <c r="AC191" s="27" t="s">
        <v>233</v>
      </c>
      <c r="AD191" s="27">
        <v>9</v>
      </c>
      <c r="AE191" s="62">
        <f t="shared" si="36"/>
        <v>45942.026736111111</v>
      </c>
      <c r="AF191" s="27">
        <f t="shared" si="37"/>
        <v>25.672569444446708</v>
      </c>
      <c r="AG191" s="27">
        <v>65.63</v>
      </c>
      <c r="AH191" s="27">
        <v>65.63</v>
      </c>
      <c r="AI191" s="27">
        <v>0</v>
      </c>
      <c r="AJ191" s="27">
        <f>AH191-AI191</f>
        <v>65.63</v>
      </c>
      <c r="AK191" s="27" t="s">
        <v>55</v>
      </c>
      <c r="AL191" s="27" t="s">
        <v>55</v>
      </c>
      <c r="AM191" s="27" t="s">
        <v>55</v>
      </c>
      <c r="AN191" s="27" t="s">
        <v>55</v>
      </c>
      <c r="AO191" s="27" t="s">
        <v>55</v>
      </c>
      <c r="AP191" s="27" t="s">
        <v>55</v>
      </c>
      <c r="AQ191" s="27" t="s">
        <v>55</v>
      </c>
      <c r="AR191" s="27" t="s">
        <v>55</v>
      </c>
      <c r="AS191" s="27" t="s">
        <v>55</v>
      </c>
    </row>
    <row r="192" spans="1:61" ht="60" customHeight="1" x14ac:dyDescent="0.5">
      <c r="E192" s="44"/>
      <c r="F192" s="44"/>
      <c r="G192" s="44"/>
      <c r="H192" s="44"/>
    </row>
    <row r="193" spans="1:61" ht="60" customHeight="1" x14ac:dyDescent="0.35">
      <c r="A193" s="32">
        <v>14</v>
      </c>
      <c r="B193" s="57" t="s">
        <v>191</v>
      </c>
      <c r="C193" s="3">
        <v>43363</v>
      </c>
      <c r="D193" s="3">
        <v>45918</v>
      </c>
      <c r="E193" s="44">
        <f t="shared" si="25"/>
        <v>2555</v>
      </c>
      <c r="F193" s="44">
        <f>E193/30</f>
        <v>85.166666666666671</v>
      </c>
      <c r="G193" s="44">
        <f t="shared" si="22"/>
        <v>7</v>
      </c>
      <c r="H193" s="44">
        <f t="shared" si="23"/>
        <v>9.8958333333333339</v>
      </c>
      <c r="I193" s="2" t="s">
        <v>192</v>
      </c>
      <c r="J193" s="2">
        <v>3.2349999999999999</v>
      </c>
      <c r="K193" s="2">
        <v>4125</v>
      </c>
      <c r="P193" s="2">
        <v>2.25</v>
      </c>
      <c r="R193" s="3">
        <v>45925</v>
      </c>
      <c r="S193" s="58">
        <v>0.83472222222222225</v>
      </c>
      <c r="T193" s="3"/>
      <c r="U193" s="2">
        <f t="shared" ref="U193:U204" si="38">R193-$D$193</f>
        <v>7</v>
      </c>
      <c r="V193" s="17">
        <f>R201-D193</f>
        <v>40</v>
      </c>
      <c r="AB193" s="27" t="s">
        <v>235</v>
      </c>
      <c r="AC193" s="27" t="s">
        <v>55</v>
      </c>
      <c r="AD193" s="27">
        <f>R193-D193</f>
        <v>7</v>
      </c>
      <c r="AE193" s="27" t="s">
        <v>55</v>
      </c>
      <c r="AF193" s="27" t="s">
        <v>55</v>
      </c>
      <c r="AG193" s="27" t="s">
        <v>55</v>
      </c>
      <c r="AH193" s="27" t="s">
        <v>55</v>
      </c>
      <c r="AI193" s="27" t="s">
        <v>55</v>
      </c>
      <c r="AJ193" s="27" t="s">
        <v>55</v>
      </c>
      <c r="AK193" s="27" t="s">
        <v>55</v>
      </c>
      <c r="AL193" s="27" t="s">
        <v>55</v>
      </c>
      <c r="AM193" s="27" t="s">
        <v>55</v>
      </c>
      <c r="AN193" s="27" t="s">
        <v>55</v>
      </c>
      <c r="AO193" s="27" t="s">
        <v>55</v>
      </c>
      <c r="AP193" s="27" t="s">
        <v>55</v>
      </c>
      <c r="AQ193" s="27" t="s">
        <v>55</v>
      </c>
      <c r="AR193" s="27" t="s">
        <v>55</v>
      </c>
      <c r="AS193" s="27" t="s">
        <v>55</v>
      </c>
    </row>
    <row r="194" spans="1:61" ht="60" customHeight="1" x14ac:dyDescent="0.5">
      <c r="E194" s="44"/>
      <c r="F194" s="44"/>
      <c r="G194" s="44"/>
      <c r="H194" s="44"/>
      <c r="P194" s="2">
        <v>2.5</v>
      </c>
      <c r="R194" s="3">
        <v>45930</v>
      </c>
      <c r="S194" s="58">
        <v>0.69513888888888886</v>
      </c>
      <c r="T194" s="3"/>
      <c r="U194" s="2">
        <f t="shared" si="38"/>
        <v>12</v>
      </c>
      <c r="V194" s="2"/>
      <c r="AB194" s="27" t="s">
        <v>245</v>
      </c>
      <c r="AC194" s="27" t="s">
        <v>55</v>
      </c>
      <c r="AD194" s="27">
        <v>7</v>
      </c>
      <c r="AE194" s="27" t="s">
        <v>55</v>
      </c>
      <c r="AF194" s="27" t="s">
        <v>55</v>
      </c>
      <c r="AG194" s="27" t="s">
        <v>55</v>
      </c>
      <c r="AH194" s="27" t="s">
        <v>55</v>
      </c>
      <c r="AI194" s="27" t="s">
        <v>55</v>
      </c>
      <c r="AJ194" s="27" t="s">
        <v>55</v>
      </c>
      <c r="AK194" s="27" t="s">
        <v>55</v>
      </c>
      <c r="AL194" s="27" t="s">
        <v>55</v>
      </c>
      <c r="AM194" s="27" t="s">
        <v>55</v>
      </c>
      <c r="AN194" s="27" t="s">
        <v>55</v>
      </c>
      <c r="AO194" s="27" t="s">
        <v>55</v>
      </c>
      <c r="AP194" s="27" t="s">
        <v>55</v>
      </c>
      <c r="AQ194" s="27" t="s">
        <v>55</v>
      </c>
      <c r="AR194" s="27" t="s">
        <v>55</v>
      </c>
      <c r="AS194" s="27" t="s">
        <v>55</v>
      </c>
    </row>
    <row r="195" spans="1:61" ht="60" customHeight="1" x14ac:dyDescent="0.5">
      <c r="E195" s="44"/>
      <c r="F195" s="44"/>
      <c r="G195" s="44"/>
      <c r="H195" s="44"/>
      <c r="P195" s="2">
        <v>2.5</v>
      </c>
      <c r="R195" s="3">
        <v>45936</v>
      </c>
      <c r="S195" s="58">
        <v>0.67500000000000004</v>
      </c>
      <c r="T195" s="3"/>
      <c r="U195" s="2">
        <f t="shared" si="38"/>
        <v>18</v>
      </c>
      <c r="V195" s="2"/>
      <c r="AB195" s="27" t="s">
        <v>129</v>
      </c>
      <c r="AC195" s="27" t="s">
        <v>267</v>
      </c>
      <c r="AD195" s="27">
        <v>7</v>
      </c>
      <c r="AE195" s="27" t="s">
        <v>55</v>
      </c>
      <c r="AF195" s="27" t="s">
        <v>55</v>
      </c>
      <c r="AG195" s="27" t="s">
        <v>55</v>
      </c>
      <c r="AH195" s="27" t="s">
        <v>55</v>
      </c>
      <c r="AI195" s="27" t="s">
        <v>55</v>
      </c>
      <c r="AJ195" s="27" t="s">
        <v>55</v>
      </c>
      <c r="AK195" s="27" t="s">
        <v>55</v>
      </c>
      <c r="AL195" s="27" t="s">
        <v>55</v>
      </c>
      <c r="AM195" s="27" t="s">
        <v>55</v>
      </c>
      <c r="AN195" s="27" t="s">
        <v>55</v>
      </c>
      <c r="AO195" s="27" t="s">
        <v>55</v>
      </c>
      <c r="AP195" s="27" t="s">
        <v>55</v>
      </c>
      <c r="AQ195" s="27" t="s">
        <v>55</v>
      </c>
      <c r="AR195" s="27" t="s">
        <v>55</v>
      </c>
      <c r="AS195" s="27" t="s">
        <v>55</v>
      </c>
    </row>
    <row r="196" spans="1:61" ht="60" customHeight="1" x14ac:dyDescent="0.5">
      <c r="E196" s="44"/>
      <c r="F196" s="44"/>
      <c r="G196" s="44"/>
      <c r="H196" s="44"/>
      <c r="P196" s="2">
        <v>2.25</v>
      </c>
      <c r="Q196" s="2" t="s">
        <v>431</v>
      </c>
      <c r="R196" s="3">
        <v>45939</v>
      </c>
      <c r="S196" s="63">
        <v>0.35416666666666669</v>
      </c>
      <c r="T196" s="3"/>
      <c r="U196" s="2">
        <f t="shared" si="38"/>
        <v>21</v>
      </c>
      <c r="V196" s="2"/>
      <c r="AB196" s="27" t="s">
        <v>310</v>
      </c>
      <c r="AC196" s="27" t="s">
        <v>309</v>
      </c>
      <c r="AD196" s="27">
        <v>7</v>
      </c>
      <c r="AE196" s="27" t="s">
        <v>55</v>
      </c>
      <c r="AF196" s="27" t="s">
        <v>55</v>
      </c>
      <c r="AG196" s="27" t="s">
        <v>55</v>
      </c>
      <c r="AH196" s="27" t="s">
        <v>55</v>
      </c>
      <c r="AI196" s="27" t="s">
        <v>55</v>
      </c>
      <c r="AJ196" s="27" t="s">
        <v>55</v>
      </c>
      <c r="AK196" s="27" t="s">
        <v>55</v>
      </c>
      <c r="AL196" s="27" t="s">
        <v>55</v>
      </c>
      <c r="AM196" s="27" t="s">
        <v>55</v>
      </c>
      <c r="AN196" s="27" t="s">
        <v>55</v>
      </c>
      <c r="AO196" s="27" t="s">
        <v>55</v>
      </c>
      <c r="AP196" s="27" t="s">
        <v>55</v>
      </c>
      <c r="AQ196" s="27" t="s">
        <v>55</v>
      </c>
      <c r="AR196" s="27" t="s">
        <v>55</v>
      </c>
      <c r="AS196" s="27" t="s">
        <v>55</v>
      </c>
    </row>
    <row r="197" spans="1:61" ht="60" customHeight="1" x14ac:dyDescent="0.5">
      <c r="E197" s="44"/>
      <c r="F197" s="44"/>
      <c r="G197" s="44"/>
      <c r="H197" s="44"/>
      <c r="P197" s="2">
        <v>2.25</v>
      </c>
      <c r="R197" s="3">
        <v>45944</v>
      </c>
      <c r="S197" s="58">
        <v>0.66319444444444442</v>
      </c>
      <c r="T197" s="3"/>
      <c r="U197" s="2">
        <f t="shared" si="38"/>
        <v>26</v>
      </c>
      <c r="V197" s="2"/>
      <c r="AB197" s="27" t="s">
        <v>333</v>
      </c>
      <c r="AC197" s="27" t="s">
        <v>208</v>
      </c>
      <c r="AD197" s="27">
        <v>7</v>
      </c>
      <c r="AE197" s="27" t="s">
        <v>55</v>
      </c>
      <c r="AF197" s="27" t="s">
        <v>55</v>
      </c>
      <c r="AG197" s="27" t="s">
        <v>55</v>
      </c>
      <c r="AH197" s="27" t="s">
        <v>55</v>
      </c>
      <c r="AI197" s="27" t="s">
        <v>55</v>
      </c>
      <c r="AJ197" s="27" t="s">
        <v>55</v>
      </c>
      <c r="AK197" s="27" t="s">
        <v>55</v>
      </c>
      <c r="AL197" s="27" t="s">
        <v>55</v>
      </c>
      <c r="AM197" s="27" t="s">
        <v>55</v>
      </c>
      <c r="AN197" s="27" t="s">
        <v>55</v>
      </c>
      <c r="AO197" s="27" t="s">
        <v>55</v>
      </c>
      <c r="AP197" s="27" t="s">
        <v>55</v>
      </c>
      <c r="AQ197" s="27" t="s">
        <v>55</v>
      </c>
      <c r="AR197" s="27" t="s">
        <v>55</v>
      </c>
      <c r="AS197" s="27" t="s">
        <v>55</v>
      </c>
      <c r="BI197" s="2" t="s">
        <v>334</v>
      </c>
    </row>
    <row r="198" spans="1:61" ht="60" customHeight="1" x14ac:dyDescent="0.5">
      <c r="E198" s="44"/>
      <c r="F198" s="44"/>
      <c r="G198" s="44"/>
      <c r="H198" s="44"/>
      <c r="P198" s="2">
        <v>2.25</v>
      </c>
      <c r="R198" s="3">
        <v>45947</v>
      </c>
      <c r="S198" s="58">
        <v>0.49166666666666664</v>
      </c>
      <c r="U198" s="2">
        <f t="shared" si="38"/>
        <v>29</v>
      </c>
      <c r="V198" s="2"/>
      <c r="AB198" s="27" t="s">
        <v>378</v>
      </c>
      <c r="AC198" s="27" t="s">
        <v>379</v>
      </c>
      <c r="AD198" s="27">
        <v>7</v>
      </c>
      <c r="AE198" s="27" t="s">
        <v>55</v>
      </c>
      <c r="AF198" s="27" t="s">
        <v>55</v>
      </c>
      <c r="AG198" s="27" t="s">
        <v>55</v>
      </c>
      <c r="AH198" s="27" t="s">
        <v>55</v>
      </c>
      <c r="AI198" s="27" t="s">
        <v>55</v>
      </c>
      <c r="AJ198" s="27" t="s">
        <v>55</v>
      </c>
      <c r="AK198" s="27" t="s">
        <v>55</v>
      </c>
      <c r="AL198" s="27" t="s">
        <v>55</v>
      </c>
      <c r="AM198" s="27" t="s">
        <v>55</v>
      </c>
      <c r="AN198" s="27" t="s">
        <v>55</v>
      </c>
      <c r="AO198" s="27" t="s">
        <v>55</v>
      </c>
      <c r="AP198" s="27" t="s">
        <v>55</v>
      </c>
      <c r="AQ198" s="27" t="s">
        <v>55</v>
      </c>
      <c r="AR198" s="27" t="s">
        <v>55</v>
      </c>
      <c r="AS198" s="27" t="s">
        <v>55</v>
      </c>
      <c r="BI198" s="2" t="s">
        <v>380</v>
      </c>
    </row>
    <row r="199" spans="1:61" ht="60" customHeight="1" x14ac:dyDescent="0.5">
      <c r="E199" s="44"/>
      <c r="F199" s="44"/>
      <c r="G199" s="44"/>
      <c r="H199" s="44"/>
      <c r="P199" s="2">
        <v>2.25</v>
      </c>
      <c r="R199" s="3">
        <v>45951</v>
      </c>
      <c r="S199" s="58">
        <v>0.75624999999999998</v>
      </c>
      <c r="T199" s="2"/>
      <c r="U199" s="2">
        <f t="shared" si="38"/>
        <v>33</v>
      </c>
      <c r="V199" s="2"/>
      <c r="W199" s="27"/>
      <c r="X199" s="27"/>
      <c r="Y199" s="27"/>
      <c r="Z199" s="27"/>
      <c r="AA199" s="27"/>
      <c r="AB199" s="27" t="s">
        <v>200</v>
      </c>
      <c r="AC199" s="27" t="s">
        <v>430</v>
      </c>
      <c r="AD199" s="27">
        <v>7</v>
      </c>
      <c r="AE199" s="27" t="s">
        <v>55</v>
      </c>
      <c r="AF199" s="27" t="s">
        <v>55</v>
      </c>
      <c r="AG199" s="27" t="s">
        <v>55</v>
      </c>
      <c r="AH199" s="27" t="s">
        <v>55</v>
      </c>
      <c r="AI199" s="27" t="s">
        <v>55</v>
      </c>
      <c r="AJ199" s="27" t="s">
        <v>55</v>
      </c>
      <c r="AK199" s="27" t="s">
        <v>55</v>
      </c>
      <c r="AL199" s="27" t="s">
        <v>55</v>
      </c>
      <c r="AM199" s="27" t="s">
        <v>55</v>
      </c>
      <c r="AN199" s="27" t="s">
        <v>55</v>
      </c>
      <c r="AO199" s="27" t="s">
        <v>55</v>
      </c>
      <c r="AP199" s="27" t="s">
        <v>55</v>
      </c>
      <c r="AQ199" s="27" t="s">
        <v>55</v>
      </c>
      <c r="AR199" s="27" t="s">
        <v>55</v>
      </c>
      <c r="AS199" s="27" t="s">
        <v>55</v>
      </c>
    </row>
    <row r="200" spans="1:61" ht="60" customHeight="1" x14ac:dyDescent="0.35">
      <c r="A200" s="32"/>
      <c r="B200" s="20"/>
      <c r="D200" s="47"/>
      <c r="E200" s="44"/>
      <c r="F200" s="44"/>
      <c r="G200" s="44"/>
      <c r="H200" s="44"/>
      <c r="P200" s="2">
        <v>2.25</v>
      </c>
      <c r="Q200" s="2"/>
      <c r="R200" s="3">
        <v>45954</v>
      </c>
      <c r="S200" s="61">
        <v>45954.702777777777</v>
      </c>
      <c r="T200" s="2"/>
      <c r="U200" s="2">
        <f t="shared" si="38"/>
        <v>36</v>
      </c>
      <c r="V200" s="2"/>
      <c r="W200" s="27"/>
      <c r="X200" s="27"/>
      <c r="Y200" s="27"/>
      <c r="Z200" s="27"/>
      <c r="AA200" s="27"/>
      <c r="AB200" s="27" t="s">
        <v>111</v>
      </c>
      <c r="AC200" s="27" t="s">
        <v>446</v>
      </c>
      <c r="AD200" s="27">
        <v>7</v>
      </c>
      <c r="AE200" s="27" t="s">
        <v>55</v>
      </c>
      <c r="AF200" s="27" t="s">
        <v>55</v>
      </c>
      <c r="AG200" s="27" t="s">
        <v>55</v>
      </c>
      <c r="AH200" s="27" t="s">
        <v>55</v>
      </c>
      <c r="AI200" s="27" t="s">
        <v>55</v>
      </c>
      <c r="AJ200" s="27" t="s">
        <v>55</v>
      </c>
      <c r="AK200" s="27" t="s">
        <v>55</v>
      </c>
      <c r="AL200" s="27" t="s">
        <v>55</v>
      </c>
      <c r="AM200" s="27" t="s">
        <v>55</v>
      </c>
      <c r="AN200" s="27" t="s">
        <v>55</v>
      </c>
      <c r="AO200" s="27" t="s">
        <v>55</v>
      </c>
      <c r="AP200" s="27" t="s">
        <v>55</v>
      </c>
      <c r="AQ200" s="27" t="s">
        <v>55</v>
      </c>
      <c r="AR200" s="27" t="s">
        <v>55</v>
      </c>
      <c r="AS200" s="27" t="s">
        <v>55</v>
      </c>
    </row>
    <row r="201" spans="1:61" ht="60" customHeight="1" x14ac:dyDescent="0.5">
      <c r="E201" s="44"/>
      <c r="F201" s="44"/>
      <c r="G201" s="44"/>
      <c r="H201" s="44"/>
      <c r="P201" s="2">
        <v>2.25</v>
      </c>
      <c r="Q201" s="2"/>
      <c r="R201" s="3">
        <v>45958</v>
      </c>
      <c r="S201" s="61">
        <v>45958.744444444441</v>
      </c>
      <c r="T201" s="2">
        <f>S201-S200</f>
        <v>4.0416666666642413</v>
      </c>
      <c r="U201" s="2">
        <f t="shared" si="38"/>
        <v>40</v>
      </c>
      <c r="V201" s="2"/>
      <c r="W201" s="27"/>
      <c r="X201" s="27"/>
      <c r="Y201" s="27"/>
      <c r="Z201" s="27"/>
      <c r="AA201" s="27"/>
      <c r="AB201" s="27" t="s">
        <v>124</v>
      </c>
      <c r="AC201" s="37" t="s">
        <v>456</v>
      </c>
      <c r="AD201" s="27">
        <v>7</v>
      </c>
      <c r="AE201" s="62">
        <f>$S$200+($T$201/2)</f>
        <v>45956.723611111112</v>
      </c>
      <c r="AF201" s="27">
        <f>$U$200+($T$201/2)</f>
        <v>38.020833333332121</v>
      </c>
      <c r="AG201" s="27" t="s">
        <v>55</v>
      </c>
      <c r="AH201" s="27" t="s">
        <v>55</v>
      </c>
      <c r="AI201" s="27" t="s">
        <v>55</v>
      </c>
      <c r="AJ201" s="27" t="s">
        <v>55</v>
      </c>
      <c r="AK201" s="27" t="s">
        <v>55</v>
      </c>
      <c r="AL201" s="27" t="s">
        <v>55</v>
      </c>
      <c r="AM201" s="27" t="s">
        <v>55</v>
      </c>
      <c r="AN201" s="27" t="s">
        <v>55</v>
      </c>
      <c r="AO201" s="27" t="s">
        <v>55</v>
      </c>
      <c r="AP201" s="27" t="s">
        <v>55</v>
      </c>
      <c r="AQ201" s="27" t="s">
        <v>55</v>
      </c>
      <c r="AR201" s="27" t="s">
        <v>55</v>
      </c>
      <c r="AS201" s="27" t="s">
        <v>55</v>
      </c>
    </row>
    <row r="202" spans="1:61" ht="60" customHeight="1" x14ac:dyDescent="0.5">
      <c r="E202" s="44"/>
      <c r="F202" s="44"/>
      <c r="G202" s="44"/>
      <c r="H202" s="44"/>
      <c r="P202" s="2">
        <v>2.25</v>
      </c>
      <c r="Q202" s="2"/>
      <c r="R202" s="3">
        <v>45961</v>
      </c>
      <c r="S202" s="58">
        <v>0.73888888888888893</v>
      </c>
      <c r="T202" s="2"/>
      <c r="U202" s="2">
        <f t="shared" si="38"/>
        <v>43</v>
      </c>
      <c r="V202" s="2"/>
      <c r="AB202" s="27" t="s">
        <v>533</v>
      </c>
      <c r="AC202" s="27" t="s">
        <v>532</v>
      </c>
      <c r="AD202" s="27">
        <v>7</v>
      </c>
      <c r="AE202" s="62">
        <f t="shared" ref="AE202:AE204" si="39">$S$200+($T$201/2)</f>
        <v>45956.723611111112</v>
      </c>
      <c r="AF202" s="27">
        <f t="shared" ref="AF202:AF204" si="40">$U$200+($T$201/2)</f>
        <v>38.020833333332121</v>
      </c>
      <c r="AG202" s="27" t="s">
        <v>55</v>
      </c>
      <c r="AH202" s="27" t="s">
        <v>55</v>
      </c>
      <c r="AI202" s="27" t="s">
        <v>55</v>
      </c>
      <c r="AJ202" s="27" t="s">
        <v>55</v>
      </c>
      <c r="AK202" s="27" t="s">
        <v>55</v>
      </c>
      <c r="AL202" s="27" t="s">
        <v>55</v>
      </c>
      <c r="AM202" s="27" t="s">
        <v>55</v>
      </c>
      <c r="AN202" s="27" t="s">
        <v>55</v>
      </c>
      <c r="AO202" s="27" t="s">
        <v>55</v>
      </c>
      <c r="AP202" s="27" t="s">
        <v>55</v>
      </c>
      <c r="AQ202" s="27" t="s">
        <v>55</v>
      </c>
      <c r="AR202" s="27" t="s">
        <v>55</v>
      </c>
      <c r="AS202" s="27" t="s">
        <v>55</v>
      </c>
    </row>
    <row r="203" spans="1:61" s="2" customFormat="1" ht="60" customHeight="1" x14ac:dyDescent="0.35">
      <c r="A203" s="32"/>
      <c r="B203" s="20"/>
      <c r="E203" s="44"/>
      <c r="F203" s="44"/>
      <c r="G203" s="44"/>
      <c r="H203" s="44"/>
      <c r="P203" s="2">
        <v>2.25</v>
      </c>
      <c r="R203" s="3">
        <v>45964</v>
      </c>
      <c r="S203" s="58">
        <v>0.36805555555555558</v>
      </c>
      <c r="U203" s="2">
        <f t="shared" si="38"/>
        <v>46</v>
      </c>
      <c r="W203" s="27"/>
      <c r="X203" s="27"/>
      <c r="Y203" s="27"/>
      <c r="Z203" s="27"/>
      <c r="AA203" s="27"/>
      <c r="AB203" s="27" t="s">
        <v>55</v>
      </c>
      <c r="AC203" s="27" t="s">
        <v>405</v>
      </c>
      <c r="AD203" s="27">
        <v>7</v>
      </c>
      <c r="AE203" s="62">
        <f t="shared" si="39"/>
        <v>45956.723611111112</v>
      </c>
      <c r="AF203" s="27">
        <f t="shared" si="40"/>
        <v>38.020833333332121</v>
      </c>
      <c r="AG203" s="27" t="s">
        <v>55</v>
      </c>
      <c r="AH203" s="27" t="s">
        <v>55</v>
      </c>
      <c r="AI203" s="27" t="s">
        <v>55</v>
      </c>
      <c r="AJ203" s="27" t="s">
        <v>55</v>
      </c>
      <c r="AK203" s="27" t="s">
        <v>55</v>
      </c>
      <c r="AL203" s="27" t="s">
        <v>55</v>
      </c>
      <c r="AM203" s="27" t="s">
        <v>55</v>
      </c>
      <c r="AN203" s="27" t="s">
        <v>55</v>
      </c>
      <c r="AO203" s="27" t="s">
        <v>55</v>
      </c>
      <c r="AP203" s="27" t="s">
        <v>55</v>
      </c>
      <c r="AQ203" s="27" t="s">
        <v>55</v>
      </c>
      <c r="AR203" s="27" t="s">
        <v>55</v>
      </c>
      <c r="AS203" s="27" t="s">
        <v>55</v>
      </c>
      <c r="BI203" s="2" t="s">
        <v>606</v>
      </c>
    </row>
    <row r="204" spans="1:61" s="2" customFormat="1" ht="60" customHeight="1" x14ac:dyDescent="0.35">
      <c r="A204" s="32"/>
      <c r="B204" s="20"/>
      <c r="E204" s="44"/>
      <c r="F204" s="44"/>
      <c r="G204" s="44"/>
      <c r="H204" s="44"/>
      <c r="P204" s="2">
        <v>2.25</v>
      </c>
      <c r="R204" s="3">
        <v>45968</v>
      </c>
      <c r="S204" s="58">
        <v>0.6791666666666667</v>
      </c>
      <c r="U204" s="2">
        <f t="shared" si="38"/>
        <v>50</v>
      </c>
      <c r="W204" s="27"/>
      <c r="X204" s="27"/>
      <c r="Y204" s="27"/>
      <c r="Z204" s="27"/>
      <c r="AA204" s="27"/>
      <c r="AB204" s="27" t="s">
        <v>129</v>
      </c>
      <c r="AC204" s="27" t="s">
        <v>573</v>
      </c>
      <c r="AD204" s="27">
        <v>7</v>
      </c>
      <c r="AE204" s="62">
        <f t="shared" si="39"/>
        <v>45956.723611111112</v>
      </c>
      <c r="AF204" s="27">
        <f t="shared" si="40"/>
        <v>38.020833333332121</v>
      </c>
      <c r="AG204" s="37" t="s">
        <v>574</v>
      </c>
      <c r="AH204" s="27" t="s">
        <v>55</v>
      </c>
      <c r="AI204" s="27" t="s">
        <v>55</v>
      </c>
      <c r="AJ204" s="27" t="s">
        <v>55</v>
      </c>
      <c r="AK204" s="27" t="s">
        <v>55</v>
      </c>
      <c r="AL204" s="27" t="s">
        <v>55</v>
      </c>
      <c r="AM204" s="27" t="s">
        <v>55</v>
      </c>
      <c r="AN204" s="27">
        <v>67.040000000000006</v>
      </c>
      <c r="AO204" s="27">
        <v>0</v>
      </c>
      <c r="AP204" s="27">
        <f>AN204-AO204</f>
        <v>67.040000000000006</v>
      </c>
      <c r="AQ204" s="27">
        <v>56.11</v>
      </c>
      <c r="AR204" s="27">
        <v>0</v>
      </c>
      <c r="AS204" s="27">
        <f>AQ204-AR204</f>
        <v>56.11</v>
      </c>
    </row>
    <row r="205" spans="1:61" s="2" customFormat="1" ht="60" customHeight="1" x14ac:dyDescent="0.35">
      <c r="A205" s="32"/>
      <c r="B205" s="20"/>
      <c r="E205" s="44"/>
      <c r="F205" s="44"/>
      <c r="G205" s="44"/>
      <c r="H205" s="44"/>
      <c r="R205" s="3"/>
      <c r="S205" s="58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</row>
    <row r="206" spans="1:61" ht="60" customHeight="1" x14ac:dyDescent="0.35">
      <c r="A206" s="32">
        <v>15</v>
      </c>
      <c r="B206" s="57" t="s">
        <v>193</v>
      </c>
      <c r="C206" s="3">
        <v>43800</v>
      </c>
      <c r="D206" s="3">
        <v>45919</v>
      </c>
      <c r="E206" s="44">
        <f>D206-C206</f>
        <v>2119</v>
      </c>
      <c r="F206" s="44">
        <f>E206/30</f>
        <v>70.63333333333334</v>
      </c>
      <c r="G206" s="44">
        <f>E206/365</f>
        <v>5.8054794520547945</v>
      </c>
      <c r="H206" s="44">
        <f>(E206-180)/240</f>
        <v>8.0791666666666675</v>
      </c>
      <c r="I206" s="2" t="s">
        <v>11</v>
      </c>
      <c r="J206" s="2">
        <v>4.0999999999999996</v>
      </c>
      <c r="K206" s="2">
        <v>4130</v>
      </c>
      <c r="P206" s="2">
        <v>2.75</v>
      </c>
      <c r="R206" s="3">
        <v>45925</v>
      </c>
      <c r="S206" s="58">
        <v>0.76736111111111116</v>
      </c>
      <c r="T206" s="3"/>
      <c r="U206" s="2">
        <f t="shared" ref="U206:U213" si="41">R206-$D$206</f>
        <v>6</v>
      </c>
      <c r="V206" s="17">
        <f>R210-D206</f>
        <v>25</v>
      </c>
      <c r="AB206" s="27" t="s">
        <v>55</v>
      </c>
      <c r="AC206" s="27" t="s">
        <v>227</v>
      </c>
      <c r="AD206" s="27">
        <f>R206-D206</f>
        <v>6</v>
      </c>
      <c r="AE206" s="27" t="s">
        <v>55</v>
      </c>
      <c r="AF206" s="27" t="s">
        <v>55</v>
      </c>
      <c r="AG206" s="27" t="s">
        <v>55</v>
      </c>
      <c r="AH206" s="27" t="s">
        <v>55</v>
      </c>
      <c r="AI206" s="27" t="s">
        <v>55</v>
      </c>
      <c r="AJ206" s="27" t="s">
        <v>55</v>
      </c>
      <c r="AK206" s="27" t="s">
        <v>55</v>
      </c>
      <c r="AL206" s="27" t="s">
        <v>55</v>
      </c>
      <c r="AM206" s="27" t="s">
        <v>55</v>
      </c>
      <c r="AN206" s="27" t="s">
        <v>55</v>
      </c>
      <c r="AO206" s="27" t="s">
        <v>55</v>
      </c>
      <c r="AP206" s="27" t="s">
        <v>55</v>
      </c>
      <c r="AQ206" s="27" t="s">
        <v>55</v>
      </c>
      <c r="AR206" s="27" t="s">
        <v>55</v>
      </c>
      <c r="AS206" s="27" t="s">
        <v>55</v>
      </c>
    </row>
    <row r="207" spans="1:61" ht="60" customHeight="1" x14ac:dyDescent="0.5">
      <c r="E207" s="44"/>
      <c r="F207" s="44"/>
      <c r="G207" s="44"/>
      <c r="H207" s="44"/>
      <c r="P207" s="2">
        <v>2.75</v>
      </c>
      <c r="R207" s="3">
        <v>45930</v>
      </c>
      <c r="S207" s="58">
        <v>0.69513888888888886</v>
      </c>
      <c r="T207" s="3"/>
      <c r="U207" s="2">
        <f t="shared" si="41"/>
        <v>11</v>
      </c>
      <c r="V207" s="2"/>
      <c r="AB207" s="27" t="s">
        <v>255</v>
      </c>
      <c r="AC207" s="27" t="s">
        <v>254</v>
      </c>
      <c r="AD207" s="27">
        <v>6</v>
      </c>
      <c r="AE207" s="27" t="s">
        <v>55</v>
      </c>
      <c r="AF207" s="27" t="s">
        <v>55</v>
      </c>
      <c r="AG207" s="27" t="s">
        <v>55</v>
      </c>
      <c r="AH207" s="27" t="s">
        <v>55</v>
      </c>
      <c r="AI207" s="27" t="s">
        <v>55</v>
      </c>
      <c r="AJ207" s="27" t="s">
        <v>55</v>
      </c>
      <c r="AK207" s="27" t="s">
        <v>55</v>
      </c>
      <c r="AL207" s="27" t="s">
        <v>55</v>
      </c>
      <c r="AM207" s="27" t="s">
        <v>55</v>
      </c>
      <c r="AN207" s="27" t="s">
        <v>55</v>
      </c>
      <c r="AO207" s="27" t="s">
        <v>55</v>
      </c>
      <c r="AP207" s="27" t="s">
        <v>55</v>
      </c>
      <c r="AQ207" s="27" t="s">
        <v>55</v>
      </c>
      <c r="AR207" s="27" t="s">
        <v>55</v>
      </c>
      <c r="AS207" s="27" t="s">
        <v>55</v>
      </c>
    </row>
    <row r="208" spans="1:61" ht="60" customHeight="1" x14ac:dyDescent="0.5">
      <c r="E208" s="44"/>
      <c r="F208" s="44"/>
      <c r="G208" s="44"/>
      <c r="H208" s="44"/>
      <c r="P208" s="2">
        <v>2.75</v>
      </c>
      <c r="R208" s="3">
        <v>45936</v>
      </c>
      <c r="S208" s="58">
        <v>0.67500000000000004</v>
      </c>
      <c r="T208" s="3"/>
      <c r="U208" s="2">
        <f t="shared" si="41"/>
        <v>17</v>
      </c>
      <c r="V208" s="2"/>
      <c r="AB208" s="27" t="s">
        <v>280</v>
      </c>
      <c r="AC208" s="27" t="s">
        <v>279</v>
      </c>
      <c r="AD208" s="27">
        <v>6</v>
      </c>
      <c r="AE208" s="27" t="s">
        <v>55</v>
      </c>
      <c r="AF208" s="27" t="s">
        <v>55</v>
      </c>
      <c r="AG208" s="27" t="s">
        <v>55</v>
      </c>
      <c r="AH208" s="27" t="s">
        <v>55</v>
      </c>
      <c r="AI208" s="27" t="s">
        <v>55</v>
      </c>
      <c r="AJ208" s="27" t="s">
        <v>55</v>
      </c>
      <c r="AK208" s="27" t="s">
        <v>55</v>
      </c>
      <c r="AL208" s="27" t="s">
        <v>55</v>
      </c>
      <c r="AM208" s="27" t="s">
        <v>55</v>
      </c>
      <c r="AN208" s="27" t="s">
        <v>55</v>
      </c>
      <c r="AO208" s="27" t="s">
        <v>55</v>
      </c>
      <c r="AP208" s="27" t="s">
        <v>55</v>
      </c>
      <c r="AQ208" s="27" t="s">
        <v>55</v>
      </c>
      <c r="AR208" s="27" t="s">
        <v>55</v>
      </c>
      <c r="AS208" s="27" t="s">
        <v>55</v>
      </c>
    </row>
    <row r="209" spans="1:61" ht="60" customHeight="1" x14ac:dyDescent="0.5">
      <c r="E209" s="44"/>
      <c r="F209" s="44"/>
      <c r="G209" s="44"/>
      <c r="H209" s="44"/>
      <c r="P209" s="2">
        <v>2.25</v>
      </c>
      <c r="Q209" s="2" t="s">
        <v>431</v>
      </c>
      <c r="R209" s="3">
        <v>45939</v>
      </c>
      <c r="S209" s="111">
        <v>45939.354166666664</v>
      </c>
      <c r="T209" s="3"/>
      <c r="U209" s="2">
        <f t="shared" si="41"/>
        <v>20</v>
      </c>
      <c r="V209" s="2"/>
      <c r="AB209" s="27" t="s">
        <v>317</v>
      </c>
      <c r="AC209" s="27" t="s">
        <v>316</v>
      </c>
      <c r="AD209" s="27">
        <v>6</v>
      </c>
      <c r="AE209" s="27" t="s">
        <v>55</v>
      </c>
      <c r="AF209" s="27" t="s">
        <v>55</v>
      </c>
      <c r="AG209" s="27" t="s">
        <v>55</v>
      </c>
      <c r="AH209" s="27" t="s">
        <v>55</v>
      </c>
      <c r="AI209" s="27" t="s">
        <v>55</v>
      </c>
      <c r="AJ209" s="27" t="s">
        <v>55</v>
      </c>
      <c r="AK209" s="27" t="s">
        <v>55</v>
      </c>
      <c r="AL209" s="27" t="s">
        <v>55</v>
      </c>
      <c r="AM209" s="27" t="s">
        <v>55</v>
      </c>
      <c r="AN209" s="27" t="s">
        <v>55</v>
      </c>
      <c r="AO209" s="27" t="s">
        <v>55</v>
      </c>
      <c r="AP209" s="27" t="s">
        <v>55</v>
      </c>
      <c r="AQ209" s="27" t="s">
        <v>55</v>
      </c>
      <c r="AR209" s="27" t="s">
        <v>55</v>
      </c>
      <c r="AS209" s="27" t="s">
        <v>55</v>
      </c>
    </row>
    <row r="210" spans="1:61" ht="60" customHeight="1" x14ac:dyDescent="0.5">
      <c r="E210" s="44"/>
      <c r="F210" s="44"/>
      <c r="G210" s="44"/>
      <c r="H210" s="44"/>
      <c r="P210" s="2">
        <v>2.25</v>
      </c>
      <c r="R210" s="3">
        <v>45944</v>
      </c>
      <c r="S210" s="61">
        <v>45944.663194444445</v>
      </c>
      <c r="T210" s="2">
        <f>S210-S209</f>
        <v>5.3090277777810115</v>
      </c>
      <c r="U210" s="2">
        <f t="shared" si="41"/>
        <v>25</v>
      </c>
      <c r="V210" s="2"/>
      <c r="AB210" s="27" t="s">
        <v>343</v>
      </c>
      <c r="AC210" s="37" t="s">
        <v>342</v>
      </c>
      <c r="AD210" s="27">
        <v>6</v>
      </c>
      <c r="AE210" s="62">
        <f>$S$209+($T$210/2)</f>
        <v>45942.008680555555</v>
      </c>
      <c r="AF210" s="27">
        <f>$U$209+($T$210/2)</f>
        <v>22.654513888890506</v>
      </c>
      <c r="AG210" s="37" t="s">
        <v>539</v>
      </c>
      <c r="AH210" s="27" t="s">
        <v>55</v>
      </c>
      <c r="AI210" s="27" t="s">
        <v>55</v>
      </c>
      <c r="AJ210" s="27" t="s">
        <v>55</v>
      </c>
      <c r="AK210" s="27" t="s">
        <v>55</v>
      </c>
      <c r="AL210" s="27" t="s">
        <v>55</v>
      </c>
      <c r="AM210" s="27" t="s">
        <v>55</v>
      </c>
      <c r="AN210" s="37">
        <v>47.9</v>
      </c>
      <c r="AO210" s="37">
        <v>0</v>
      </c>
      <c r="AP210" s="37">
        <f>AN210-AO210</f>
        <v>47.9</v>
      </c>
      <c r="AQ210" s="37">
        <v>47.12</v>
      </c>
      <c r="AR210" s="37">
        <v>0</v>
      </c>
      <c r="AS210" s="37">
        <f>AQ210-AR210</f>
        <v>47.12</v>
      </c>
    </row>
    <row r="211" spans="1:61" ht="60" customHeight="1" x14ac:dyDescent="0.5">
      <c r="E211" s="44"/>
      <c r="F211" s="44"/>
      <c r="G211" s="44"/>
      <c r="H211" s="44"/>
      <c r="P211" s="2">
        <v>2.5</v>
      </c>
      <c r="R211" s="3">
        <v>45947</v>
      </c>
      <c r="S211" s="58">
        <v>45947.52847222222</v>
      </c>
      <c r="U211" s="2">
        <f t="shared" si="41"/>
        <v>28</v>
      </c>
      <c r="V211" s="2"/>
      <c r="AB211" s="27" t="s">
        <v>233</v>
      </c>
      <c r="AC211" s="37" t="s">
        <v>432</v>
      </c>
      <c r="AD211" s="27">
        <v>6</v>
      </c>
      <c r="AE211" s="62">
        <f t="shared" ref="AE211:AE213" si="42">$S$209+($T$210/2)</f>
        <v>45942.008680555555</v>
      </c>
      <c r="AF211" s="27">
        <f t="shared" ref="AF211:AF213" si="43">$U$209+($T$210/2)</f>
        <v>22.654513888890506</v>
      </c>
      <c r="AG211" s="37" t="s">
        <v>385</v>
      </c>
      <c r="AH211" s="27" t="s">
        <v>55</v>
      </c>
      <c r="AI211" s="27" t="s">
        <v>55</v>
      </c>
      <c r="AJ211" s="27" t="s">
        <v>55</v>
      </c>
      <c r="AK211" s="27" t="s">
        <v>55</v>
      </c>
      <c r="AL211" s="27" t="s">
        <v>55</v>
      </c>
      <c r="AM211" s="27" t="s">
        <v>55</v>
      </c>
      <c r="AN211" s="37">
        <v>34.1</v>
      </c>
      <c r="AO211" s="37">
        <v>5.41</v>
      </c>
      <c r="AP211" s="37">
        <f>AN211-AO211</f>
        <v>28.69</v>
      </c>
      <c r="AQ211" s="37" t="s">
        <v>55</v>
      </c>
      <c r="AR211" s="37" t="s">
        <v>55</v>
      </c>
      <c r="AS211" s="37" t="s">
        <v>55</v>
      </c>
      <c r="BI211" s="2" t="s">
        <v>334</v>
      </c>
    </row>
    <row r="212" spans="1:61" ht="60" customHeight="1" x14ac:dyDescent="0.5">
      <c r="E212" s="44"/>
      <c r="F212" s="44"/>
      <c r="G212" s="44"/>
      <c r="H212" s="44"/>
      <c r="P212" s="2">
        <v>2.75</v>
      </c>
      <c r="Q212" s="2"/>
      <c r="R212" s="3">
        <v>45951</v>
      </c>
      <c r="S212" s="58">
        <v>45951.734722222223</v>
      </c>
      <c r="T212" s="2"/>
      <c r="U212" s="2">
        <f t="shared" si="41"/>
        <v>32</v>
      </c>
      <c r="V212" s="2"/>
      <c r="W212" s="27"/>
      <c r="X212" s="27"/>
      <c r="Y212" s="27"/>
      <c r="Z212" s="27"/>
      <c r="AA212" s="27"/>
      <c r="AB212" s="27" t="s">
        <v>426</v>
      </c>
      <c r="AC212" s="27" t="s">
        <v>425</v>
      </c>
      <c r="AD212" s="27">
        <v>6</v>
      </c>
      <c r="AE212" s="62">
        <f t="shared" si="42"/>
        <v>45942.008680555555</v>
      </c>
      <c r="AF212" s="27">
        <f t="shared" si="43"/>
        <v>22.654513888890506</v>
      </c>
      <c r="AG212" s="27" t="s">
        <v>55</v>
      </c>
      <c r="AH212" s="27" t="s">
        <v>55</v>
      </c>
      <c r="AI212" s="27" t="s">
        <v>55</v>
      </c>
      <c r="AJ212" s="27" t="s">
        <v>55</v>
      </c>
      <c r="AK212" s="27" t="s">
        <v>55</v>
      </c>
      <c r="AL212" s="27" t="s">
        <v>55</v>
      </c>
      <c r="AM212" s="27" t="s">
        <v>55</v>
      </c>
      <c r="AN212" s="27" t="s">
        <v>55</v>
      </c>
      <c r="AO212" s="27" t="s">
        <v>55</v>
      </c>
      <c r="AP212" s="27" t="s">
        <v>55</v>
      </c>
      <c r="AQ212" s="27" t="s">
        <v>55</v>
      </c>
      <c r="AR212" s="27" t="s">
        <v>55</v>
      </c>
      <c r="AS212" s="27" t="s">
        <v>55</v>
      </c>
    </row>
    <row r="213" spans="1:61" ht="60" customHeight="1" x14ac:dyDescent="0.5">
      <c r="E213" s="44"/>
      <c r="F213" s="44"/>
      <c r="G213" s="44"/>
      <c r="H213" s="44"/>
      <c r="P213" s="2">
        <v>2.75</v>
      </c>
      <c r="R213" s="3">
        <v>45954</v>
      </c>
      <c r="S213" s="58">
        <v>0.7</v>
      </c>
      <c r="T213" s="2"/>
      <c r="U213" s="2">
        <f t="shared" si="41"/>
        <v>35</v>
      </c>
      <c r="V213" s="2"/>
      <c r="W213" s="27"/>
      <c r="X213" s="27"/>
      <c r="Y213" s="27"/>
      <c r="Z213" s="27"/>
      <c r="AA213" s="27"/>
      <c r="AB213" s="27" t="s">
        <v>332</v>
      </c>
      <c r="AC213" s="27" t="s">
        <v>272</v>
      </c>
      <c r="AD213" s="27">
        <v>6</v>
      </c>
      <c r="AE213" s="62">
        <f t="shared" si="42"/>
        <v>45942.008680555555</v>
      </c>
      <c r="AF213" s="27">
        <f t="shared" si="43"/>
        <v>22.654513888890506</v>
      </c>
      <c r="AG213" s="37" t="s">
        <v>445</v>
      </c>
      <c r="AH213" s="37">
        <v>79.5</v>
      </c>
      <c r="AI213" s="37">
        <v>7.39</v>
      </c>
      <c r="AJ213" s="37">
        <f>AH213-AI213</f>
        <v>72.11</v>
      </c>
      <c r="AK213" s="27" t="s">
        <v>55</v>
      </c>
      <c r="AL213" s="27" t="s">
        <v>55</v>
      </c>
      <c r="AM213" s="27" t="s">
        <v>55</v>
      </c>
      <c r="AN213" s="37">
        <v>94.07</v>
      </c>
      <c r="AO213" s="37">
        <v>8.81</v>
      </c>
      <c r="AP213" s="37">
        <f>AN213-AO213</f>
        <v>85.259999999999991</v>
      </c>
      <c r="AQ213" s="27" t="s">
        <v>55</v>
      </c>
      <c r="AR213" s="27" t="s">
        <v>55</v>
      </c>
      <c r="AS213" s="27" t="s">
        <v>55</v>
      </c>
    </row>
    <row r="214" spans="1:61" ht="60" customHeight="1" x14ac:dyDescent="0.5">
      <c r="E214" s="44"/>
      <c r="F214" s="44"/>
      <c r="G214" s="44"/>
      <c r="H214" s="44"/>
    </row>
    <row r="215" spans="1:61" ht="60" customHeight="1" x14ac:dyDescent="0.35">
      <c r="A215" s="32">
        <v>16</v>
      </c>
      <c r="B215" s="57" t="s">
        <v>194</v>
      </c>
      <c r="C215" s="3">
        <v>45170</v>
      </c>
      <c r="D215" s="3">
        <v>45918</v>
      </c>
      <c r="E215" s="44">
        <f t="shared" ref="E215:E290" si="44">D215-C215</f>
        <v>748</v>
      </c>
      <c r="F215" s="44">
        <f>E215/30</f>
        <v>24.933333333333334</v>
      </c>
      <c r="G215" s="44">
        <f t="shared" ref="G215:G290" si="45">E215/365</f>
        <v>2.0493150684931507</v>
      </c>
      <c r="H215" s="44">
        <f t="shared" ref="H215:H290" si="46">(E215-180)/240</f>
        <v>2.3666666666666667</v>
      </c>
      <c r="P215" s="2">
        <v>2.5</v>
      </c>
      <c r="R215" s="3">
        <v>45925</v>
      </c>
      <c r="S215" s="58">
        <v>0.76736111111111116</v>
      </c>
      <c r="T215" s="3"/>
      <c r="U215" s="2">
        <f t="shared" ref="U215:U226" si="47">R215-$D$215</f>
        <v>7</v>
      </c>
      <c r="V215" s="17">
        <f>R223-D215</f>
        <v>40</v>
      </c>
      <c r="AB215" s="27" t="s">
        <v>55</v>
      </c>
      <c r="AC215" s="27" t="s">
        <v>55</v>
      </c>
      <c r="AD215" s="27" t="s">
        <v>55</v>
      </c>
      <c r="AE215" s="27" t="s">
        <v>55</v>
      </c>
      <c r="AF215" s="27" t="s">
        <v>55</v>
      </c>
      <c r="AG215" s="27" t="s">
        <v>55</v>
      </c>
      <c r="AH215" s="27" t="s">
        <v>55</v>
      </c>
      <c r="AI215" s="27" t="s">
        <v>55</v>
      </c>
      <c r="AJ215" s="27" t="s">
        <v>55</v>
      </c>
      <c r="AK215" s="27" t="s">
        <v>55</v>
      </c>
      <c r="AL215" s="27" t="s">
        <v>55</v>
      </c>
      <c r="AM215" s="27" t="s">
        <v>55</v>
      </c>
      <c r="AN215" s="27" t="s">
        <v>55</v>
      </c>
      <c r="AO215" s="27" t="s">
        <v>55</v>
      </c>
      <c r="AP215" s="27" t="s">
        <v>55</v>
      </c>
      <c r="AQ215" s="27" t="s">
        <v>55</v>
      </c>
      <c r="AR215" s="27" t="s">
        <v>55</v>
      </c>
      <c r="AS215" s="27" t="s">
        <v>55</v>
      </c>
    </row>
    <row r="216" spans="1:61" ht="60" customHeight="1" x14ac:dyDescent="0.5">
      <c r="E216" s="44"/>
      <c r="F216" s="44"/>
      <c r="G216" s="44"/>
      <c r="H216" s="44"/>
      <c r="P216" s="2">
        <v>2.75</v>
      </c>
      <c r="R216" s="3">
        <v>45930</v>
      </c>
      <c r="S216" s="58">
        <v>0.69513888888888886</v>
      </c>
      <c r="T216" s="3"/>
      <c r="U216" s="2">
        <f t="shared" si="47"/>
        <v>12</v>
      </c>
      <c r="V216" s="2"/>
      <c r="AB216" s="27" t="s">
        <v>55</v>
      </c>
      <c r="AC216" s="27" t="s">
        <v>55</v>
      </c>
      <c r="AD216" s="27" t="s">
        <v>55</v>
      </c>
      <c r="AE216" s="27" t="s">
        <v>55</v>
      </c>
      <c r="AF216" s="27" t="s">
        <v>55</v>
      </c>
      <c r="AG216" s="27" t="s">
        <v>55</v>
      </c>
      <c r="AH216" s="27" t="s">
        <v>55</v>
      </c>
      <c r="AI216" s="27" t="s">
        <v>55</v>
      </c>
      <c r="AJ216" s="27" t="s">
        <v>55</v>
      </c>
      <c r="AK216" s="27" t="s">
        <v>55</v>
      </c>
      <c r="AL216" s="27" t="s">
        <v>55</v>
      </c>
      <c r="AM216" s="27" t="s">
        <v>55</v>
      </c>
      <c r="AN216" s="27" t="s">
        <v>55</v>
      </c>
      <c r="AO216" s="27" t="s">
        <v>55</v>
      </c>
      <c r="AP216" s="27" t="s">
        <v>55</v>
      </c>
      <c r="AQ216" s="27" t="s">
        <v>55</v>
      </c>
      <c r="AR216" s="27" t="s">
        <v>55</v>
      </c>
      <c r="AS216" s="27" t="s">
        <v>55</v>
      </c>
    </row>
    <row r="217" spans="1:61" ht="60" customHeight="1" x14ac:dyDescent="0.5">
      <c r="E217" s="44"/>
      <c r="F217" s="44"/>
      <c r="G217" s="44"/>
      <c r="H217" s="44"/>
      <c r="P217" s="2">
        <v>2.75</v>
      </c>
      <c r="R217" s="3">
        <v>45936</v>
      </c>
      <c r="S217" s="58">
        <v>0.67500000000000004</v>
      </c>
      <c r="T217" s="3"/>
      <c r="U217" s="2">
        <f t="shared" si="47"/>
        <v>18</v>
      </c>
      <c r="V217" s="2"/>
      <c r="AB217" s="27" t="s">
        <v>266</v>
      </c>
      <c r="AC217" s="27" t="s">
        <v>88</v>
      </c>
      <c r="AD217" s="27">
        <f>R217-D215</f>
        <v>18</v>
      </c>
      <c r="AE217" s="27" t="s">
        <v>55</v>
      </c>
      <c r="AF217" s="27" t="s">
        <v>55</v>
      </c>
      <c r="AG217" s="27" t="s">
        <v>55</v>
      </c>
      <c r="AH217" s="27" t="s">
        <v>55</v>
      </c>
      <c r="AI217" s="27" t="s">
        <v>55</v>
      </c>
      <c r="AJ217" s="27" t="s">
        <v>55</v>
      </c>
      <c r="AK217" s="27" t="s">
        <v>55</v>
      </c>
      <c r="AL217" s="27" t="s">
        <v>55</v>
      </c>
      <c r="AM217" s="27" t="s">
        <v>55</v>
      </c>
      <c r="AN217" s="27" t="s">
        <v>55</v>
      </c>
      <c r="AO217" s="27" t="s">
        <v>55</v>
      </c>
      <c r="AP217" s="27" t="s">
        <v>55</v>
      </c>
      <c r="AQ217" s="27" t="s">
        <v>55</v>
      </c>
      <c r="AR217" s="27" t="s">
        <v>55</v>
      </c>
      <c r="AS217" s="27" t="s">
        <v>55</v>
      </c>
    </row>
    <row r="218" spans="1:61" ht="60" customHeight="1" x14ac:dyDescent="0.5">
      <c r="E218" s="44"/>
      <c r="F218" s="44"/>
      <c r="G218" s="44"/>
      <c r="H218" s="44"/>
      <c r="P218" s="2">
        <v>2.75</v>
      </c>
      <c r="Q218" s="2" t="s">
        <v>431</v>
      </c>
      <c r="R218" s="3">
        <v>45939</v>
      </c>
      <c r="S218" s="63">
        <v>0.35416666666666669</v>
      </c>
      <c r="T218" s="3"/>
      <c r="U218" s="2">
        <f t="shared" si="47"/>
        <v>21</v>
      </c>
      <c r="V218" s="2"/>
      <c r="AB218" s="27" t="s">
        <v>300</v>
      </c>
      <c r="AC218" s="27" t="s">
        <v>184</v>
      </c>
      <c r="AD218" s="27">
        <v>18</v>
      </c>
      <c r="AE218" s="27" t="s">
        <v>55</v>
      </c>
      <c r="AF218" s="27" t="s">
        <v>55</v>
      </c>
      <c r="AG218" s="27" t="s">
        <v>55</v>
      </c>
      <c r="AH218" s="27" t="s">
        <v>55</v>
      </c>
      <c r="AI218" s="27" t="s">
        <v>55</v>
      </c>
      <c r="AJ218" s="27" t="s">
        <v>55</v>
      </c>
      <c r="AK218" s="27" t="s">
        <v>55</v>
      </c>
      <c r="AL218" s="27" t="s">
        <v>55</v>
      </c>
      <c r="AM218" s="27" t="s">
        <v>55</v>
      </c>
      <c r="AN218" s="27" t="s">
        <v>55</v>
      </c>
      <c r="AO218" s="27" t="s">
        <v>55</v>
      </c>
      <c r="AP218" s="27" t="s">
        <v>55</v>
      </c>
      <c r="AQ218" s="27" t="s">
        <v>55</v>
      </c>
      <c r="AR218" s="27" t="s">
        <v>55</v>
      </c>
      <c r="AS218" s="27" t="s">
        <v>55</v>
      </c>
    </row>
    <row r="219" spans="1:61" ht="60" customHeight="1" x14ac:dyDescent="0.5">
      <c r="E219" s="44"/>
      <c r="F219" s="44"/>
      <c r="G219" s="44"/>
      <c r="H219" s="44"/>
      <c r="P219" s="2">
        <v>2.75</v>
      </c>
      <c r="Q219" s="2"/>
      <c r="R219" s="3">
        <v>45944</v>
      </c>
      <c r="S219" s="58">
        <v>0.66319444444444442</v>
      </c>
      <c r="T219" s="3"/>
      <c r="U219" s="2">
        <f t="shared" si="47"/>
        <v>26</v>
      </c>
      <c r="V219" s="2"/>
      <c r="AB219" s="27" t="s">
        <v>124</v>
      </c>
      <c r="AC219" s="27" t="s">
        <v>344</v>
      </c>
      <c r="AD219" s="27">
        <v>18</v>
      </c>
      <c r="AE219" s="27" t="s">
        <v>55</v>
      </c>
      <c r="AF219" s="27" t="s">
        <v>55</v>
      </c>
      <c r="AG219" s="27" t="s">
        <v>55</v>
      </c>
      <c r="AH219" s="27" t="s">
        <v>55</v>
      </c>
      <c r="AI219" s="27" t="s">
        <v>55</v>
      </c>
      <c r="AJ219" s="27" t="s">
        <v>55</v>
      </c>
      <c r="AK219" s="27" t="s">
        <v>55</v>
      </c>
      <c r="AL219" s="27" t="s">
        <v>55</v>
      </c>
      <c r="AM219" s="27" t="s">
        <v>55</v>
      </c>
      <c r="AN219" s="27" t="s">
        <v>55</v>
      </c>
      <c r="AO219" s="27" t="s">
        <v>55</v>
      </c>
      <c r="AP219" s="27" t="s">
        <v>55</v>
      </c>
      <c r="AQ219" s="27" t="s">
        <v>55</v>
      </c>
      <c r="AR219" s="27" t="s">
        <v>55</v>
      </c>
      <c r="AS219" s="27" t="s">
        <v>55</v>
      </c>
    </row>
    <row r="220" spans="1:61" ht="60" customHeight="1" x14ac:dyDescent="0.5">
      <c r="E220" s="44"/>
      <c r="F220" s="44"/>
      <c r="G220" s="44"/>
      <c r="H220" s="44"/>
      <c r="P220" s="2">
        <v>2.75</v>
      </c>
      <c r="R220" s="3">
        <v>45947</v>
      </c>
      <c r="S220" s="58">
        <v>0.49166666666666664</v>
      </c>
      <c r="T220" s="2"/>
      <c r="U220" s="2">
        <f t="shared" si="47"/>
        <v>29</v>
      </c>
      <c r="V220" s="2"/>
      <c r="AB220" s="27" t="s">
        <v>241</v>
      </c>
      <c r="AC220" s="27" t="s">
        <v>388</v>
      </c>
      <c r="AD220" s="27">
        <v>18</v>
      </c>
      <c r="AE220" s="27" t="s">
        <v>55</v>
      </c>
      <c r="AF220" s="27" t="s">
        <v>55</v>
      </c>
      <c r="AG220" s="27" t="s">
        <v>55</v>
      </c>
      <c r="AH220" s="27" t="s">
        <v>55</v>
      </c>
      <c r="AI220" s="27" t="s">
        <v>55</v>
      </c>
      <c r="AJ220" s="27" t="s">
        <v>55</v>
      </c>
      <c r="AK220" s="27" t="s">
        <v>55</v>
      </c>
      <c r="AL220" s="27" t="s">
        <v>55</v>
      </c>
      <c r="AM220" s="27" t="s">
        <v>55</v>
      </c>
      <c r="AN220" s="27" t="s">
        <v>55</v>
      </c>
      <c r="AO220" s="27" t="s">
        <v>55</v>
      </c>
      <c r="AP220" s="27" t="s">
        <v>55</v>
      </c>
      <c r="AQ220" s="27" t="s">
        <v>55</v>
      </c>
      <c r="AR220" s="27" t="s">
        <v>55</v>
      </c>
      <c r="AS220" s="27" t="s">
        <v>55</v>
      </c>
      <c r="BI220" s="2" t="s">
        <v>389</v>
      </c>
    </row>
    <row r="221" spans="1:61" ht="60" customHeight="1" x14ac:dyDescent="0.5">
      <c r="E221" s="44"/>
      <c r="F221" s="44"/>
      <c r="G221" s="44"/>
      <c r="H221" s="44"/>
      <c r="P221" s="2">
        <v>2.5</v>
      </c>
      <c r="R221" s="3">
        <v>45951</v>
      </c>
      <c r="S221" s="58">
        <v>0.6875</v>
      </c>
      <c r="T221" s="2"/>
      <c r="U221" s="2">
        <f t="shared" si="47"/>
        <v>33</v>
      </c>
      <c r="V221" s="2"/>
      <c r="AB221" s="27" t="s">
        <v>406</v>
      </c>
      <c r="AC221" s="27" t="s">
        <v>407</v>
      </c>
      <c r="AD221" s="27">
        <v>18</v>
      </c>
      <c r="AE221" s="27" t="s">
        <v>55</v>
      </c>
      <c r="AF221" s="27" t="s">
        <v>55</v>
      </c>
      <c r="AG221" s="27" t="s">
        <v>55</v>
      </c>
      <c r="AH221" s="27" t="s">
        <v>55</v>
      </c>
      <c r="AI221" s="27" t="s">
        <v>55</v>
      </c>
      <c r="AJ221" s="27" t="s">
        <v>55</v>
      </c>
      <c r="AK221" s="27" t="s">
        <v>55</v>
      </c>
      <c r="AL221" s="27" t="s">
        <v>55</v>
      </c>
      <c r="AM221" s="27" t="s">
        <v>55</v>
      </c>
      <c r="AN221" s="27" t="s">
        <v>55</v>
      </c>
      <c r="AO221" s="27" t="s">
        <v>55</v>
      </c>
      <c r="AP221" s="27" t="s">
        <v>55</v>
      </c>
      <c r="AQ221" s="27" t="s">
        <v>55</v>
      </c>
      <c r="AR221" s="27" t="s">
        <v>55</v>
      </c>
      <c r="AS221" s="27" t="s">
        <v>55</v>
      </c>
    </row>
    <row r="222" spans="1:61" ht="60" customHeight="1" x14ac:dyDescent="0.5">
      <c r="E222" s="44"/>
      <c r="F222" s="44"/>
      <c r="G222" s="44"/>
      <c r="H222" s="44"/>
      <c r="P222" s="2">
        <v>2.5</v>
      </c>
      <c r="Q222" s="2"/>
      <c r="R222" s="3">
        <v>45954</v>
      </c>
      <c r="S222" s="61">
        <v>45954.713194444441</v>
      </c>
      <c r="T222" s="2"/>
      <c r="U222" s="2">
        <f t="shared" si="47"/>
        <v>36</v>
      </c>
      <c r="V222" s="2"/>
      <c r="W222" s="27"/>
      <c r="X222" s="27"/>
      <c r="Y222" s="27"/>
      <c r="Z222" s="27"/>
      <c r="AA222" s="27"/>
      <c r="AB222" s="27" t="s">
        <v>452</v>
      </c>
      <c r="AC222" s="27" t="s">
        <v>453</v>
      </c>
      <c r="AD222" s="27">
        <v>18</v>
      </c>
      <c r="AE222" s="27" t="s">
        <v>55</v>
      </c>
      <c r="AF222" s="27" t="s">
        <v>55</v>
      </c>
      <c r="AG222" s="27" t="s">
        <v>55</v>
      </c>
      <c r="AH222" s="27" t="s">
        <v>55</v>
      </c>
      <c r="AI222" s="27" t="s">
        <v>55</v>
      </c>
      <c r="AJ222" s="27" t="s">
        <v>55</v>
      </c>
      <c r="AK222" s="27" t="s">
        <v>55</v>
      </c>
      <c r="AL222" s="27" t="s">
        <v>55</v>
      </c>
      <c r="AM222" s="27" t="s">
        <v>55</v>
      </c>
      <c r="AN222" s="27" t="s">
        <v>55</v>
      </c>
      <c r="AO222" s="27" t="s">
        <v>55</v>
      </c>
      <c r="AP222" s="27" t="s">
        <v>55</v>
      </c>
      <c r="AQ222" s="27" t="s">
        <v>55</v>
      </c>
      <c r="AR222" s="27" t="s">
        <v>55</v>
      </c>
      <c r="AS222" s="27" t="s">
        <v>55</v>
      </c>
    </row>
    <row r="223" spans="1:61" ht="60" customHeight="1" x14ac:dyDescent="0.5">
      <c r="E223" s="44"/>
      <c r="F223" s="44"/>
      <c r="G223" s="44"/>
      <c r="H223" s="44"/>
      <c r="P223" s="2">
        <v>2.75</v>
      </c>
      <c r="Q223" s="2"/>
      <c r="R223" s="3">
        <v>45958</v>
      </c>
      <c r="S223" s="61">
        <v>45958.75277777778</v>
      </c>
      <c r="T223" s="2">
        <f>S223-S222</f>
        <v>4.039583333338669</v>
      </c>
      <c r="U223" s="2">
        <f t="shared" si="47"/>
        <v>40</v>
      </c>
      <c r="V223" s="2"/>
      <c r="AB223" s="27" t="s">
        <v>461</v>
      </c>
      <c r="AC223" s="27" t="s">
        <v>631</v>
      </c>
      <c r="AD223" s="27">
        <v>18</v>
      </c>
      <c r="AE223" s="62">
        <f>$S$222+($T$223/2)</f>
        <v>45956.732986111107</v>
      </c>
      <c r="AF223" s="27">
        <f>$U$222+($T$223/2)</f>
        <v>38.019791666669335</v>
      </c>
      <c r="AG223" s="27" t="s">
        <v>55</v>
      </c>
      <c r="AH223" s="27" t="s">
        <v>55</v>
      </c>
      <c r="AI223" s="27" t="s">
        <v>55</v>
      </c>
      <c r="AJ223" s="27" t="s">
        <v>55</v>
      </c>
      <c r="AK223" s="27" t="s">
        <v>55</v>
      </c>
      <c r="AL223" s="27" t="s">
        <v>55</v>
      </c>
      <c r="AM223" s="27" t="s">
        <v>55</v>
      </c>
      <c r="AN223" s="27" t="s">
        <v>55</v>
      </c>
      <c r="AO223" s="27" t="s">
        <v>55</v>
      </c>
      <c r="AP223" s="27" t="s">
        <v>55</v>
      </c>
      <c r="AQ223" s="27" t="s">
        <v>55</v>
      </c>
      <c r="AR223" s="27" t="s">
        <v>55</v>
      </c>
      <c r="AS223" s="27" t="s">
        <v>55</v>
      </c>
    </row>
    <row r="224" spans="1:61" ht="60" customHeight="1" x14ac:dyDescent="0.5">
      <c r="E224" s="44"/>
      <c r="F224" s="44"/>
      <c r="G224" s="44"/>
      <c r="H224" s="44"/>
      <c r="P224" s="2">
        <v>2.75</v>
      </c>
      <c r="R224" s="3">
        <v>45961</v>
      </c>
      <c r="S224" s="58">
        <v>0.72986111111111107</v>
      </c>
      <c r="T224" s="2"/>
      <c r="U224" s="2">
        <f t="shared" si="47"/>
        <v>43</v>
      </c>
      <c r="V224" s="2"/>
      <c r="AA224" s="27"/>
      <c r="AB224" s="27" t="s">
        <v>528</v>
      </c>
      <c r="AC224" s="27" t="s">
        <v>319</v>
      </c>
      <c r="AD224" s="27">
        <v>18</v>
      </c>
      <c r="AE224" s="62">
        <f t="shared" ref="AE224:AE226" si="48">$S$222+($T$223/2)</f>
        <v>45956.732986111107</v>
      </c>
      <c r="AF224" s="27">
        <f t="shared" ref="AF224:AF226" si="49">$U$222+($T$223/2)</f>
        <v>38.019791666669335</v>
      </c>
      <c r="AG224" s="37" t="s">
        <v>527</v>
      </c>
      <c r="AH224" s="27">
        <v>63.12</v>
      </c>
      <c r="AI224" s="27">
        <v>29.65</v>
      </c>
      <c r="AJ224" s="27">
        <f>AH224-AI224</f>
        <v>33.47</v>
      </c>
      <c r="AK224" s="27" t="s">
        <v>55</v>
      </c>
      <c r="AL224" s="27" t="s">
        <v>55</v>
      </c>
      <c r="AM224" s="27" t="s">
        <v>55</v>
      </c>
      <c r="AN224" s="27">
        <v>47.48</v>
      </c>
      <c r="AO224" s="27">
        <v>21.93</v>
      </c>
      <c r="AP224" s="27">
        <f>AN224-AO224</f>
        <v>25.549999999999997</v>
      </c>
      <c r="AQ224" s="27" t="s">
        <v>55</v>
      </c>
      <c r="AR224" s="27" t="s">
        <v>55</v>
      </c>
      <c r="AS224" s="27" t="s">
        <v>55</v>
      </c>
      <c r="BI224" s="2" t="s">
        <v>526</v>
      </c>
    </row>
    <row r="225" spans="1:61" s="2" customFormat="1" ht="60" customHeight="1" x14ac:dyDescent="0.35">
      <c r="A225" s="32"/>
      <c r="B225" s="20"/>
      <c r="E225" s="44"/>
      <c r="F225" s="44"/>
      <c r="G225" s="44"/>
      <c r="H225" s="44"/>
      <c r="P225" s="2">
        <v>2.5</v>
      </c>
      <c r="R225" s="3">
        <v>45964</v>
      </c>
      <c r="S225" s="58">
        <v>0.375</v>
      </c>
      <c r="U225" s="2">
        <f t="shared" si="47"/>
        <v>46</v>
      </c>
      <c r="W225" s="27"/>
      <c r="X225" s="27"/>
      <c r="Y225" s="27"/>
      <c r="Z225" s="27"/>
      <c r="AA225" s="27"/>
      <c r="AB225" s="27" t="s">
        <v>554</v>
      </c>
      <c r="AC225" s="27" t="s">
        <v>302</v>
      </c>
      <c r="AD225" s="27">
        <v>18</v>
      </c>
      <c r="AE225" s="62">
        <f t="shared" si="48"/>
        <v>45956.732986111107</v>
      </c>
      <c r="AF225" s="27">
        <f t="shared" si="49"/>
        <v>38.019791666669335</v>
      </c>
      <c r="AG225" s="37" t="s">
        <v>555</v>
      </c>
      <c r="AH225" s="27">
        <v>38.53</v>
      </c>
      <c r="AI225" s="27">
        <v>8.74</v>
      </c>
      <c r="AJ225" s="27">
        <f>AH225-AI225</f>
        <v>29.79</v>
      </c>
      <c r="AK225" s="27" t="s">
        <v>55</v>
      </c>
      <c r="AL225" s="27" t="s">
        <v>55</v>
      </c>
      <c r="AM225" s="27" t="s">
        <v>55</v>
      </c>
      <c r="AN225" s="27">
        <v>86.92</v>
      </c>
      <c r="AO225" s="27">
        <v>14.79</v>
      </c>
      <c r="AP225" s="27">
        <f>AN225-AO225</f>
        <v>72.13</v>
      </c>
      <c r="AQ225" s="27" t="s">
        <v>55</v>
      </c>
      <c r="AR225" s="27" t="s">
        <v>55</v>
      </c>
      <c r="AS225" s="27" t="s">
        <v>55</v>
      </c>
      <c r="BI225" s="2" t="s">
        <v>606</v>
      </c>
    </row>
    <row r="226" spans="1:61" s="2" customFormat="1" ht="60" customHeight="1" x14ac:dyDescent="0.35">
      <c r="A226" s="32"/>
      <c r="B226" s="20"/>
      <c r="E226" s="44"/>
      <c r="F226" s="44"/>
      <c r="G226" s="44"/>
      <c r="H226" s="44"/>
      <c r="P226" s="2">
        <v>2.5</v>
      </c>
      <c r="R226" s="3">
        <v>45968</v>
      </c>
      <c r="S226" s="58">
        <v>0.67361111111111116</v>
      </c>
      <c r="U226" s="2">
        <f t="shared" si="47"/>
        <v>50</v>
      </c>
      <c r="W226" s="27"/>
      <c r="X226" s="27"/>
      <c r="Y226" s="27"/>
      <c r="Z226" s="27"/>
      <c r="AA226" s="27"/>
      <c r="AB226" s="27" t="s">
        <v>319</v>
      </c>
      <c r="AC226" s="37" t="s">
        <v>582</v>
      </c>
      <c r="AD226" s="27">
        <v>18</v>
      </c>
      <c r="AE226" s="62">
        <f t="shared" si="48"/>
        <v>45956.732986111107</v>
      </c>
      <c r="AF226" s="27">
        <f t="shared" si="49"/>
        <v>38.019791666669335</v>
      </c>
      <c r="AG226" s="37" t="s">
        <v>570</v>
      </c>
      <c r="AH226" s="27">
        <v>85.79</v>
      </c>
      <c r="AI226" s="27">
        <v>0</v>
      </c>
      <c r="AJ226" s="27">
        <f>AH226-AI226</f>
        <v>85.79</v>
      </c>
      <c r="AK226" s="27" t="s">
        <v>55</v>
      </c>
      <c r="AL226" s="27" t="s">
        <v>55</v>
      </c>
      <c r="AM226" s="27" t="s">
        <v>55</v>
      </c>
      <c r="AN226" s="27">
        <v>91.91</v>
      </c>
      <c r="AO226" s="27">
        <v>0</v>
      </c>
      <c r="AP226" s="27">
        <f>AN226-AO226</f>
        <v>91.91</v>
      </c>
      <c r="AQ226" s="27" t="s">
        <v>55</v>
      </c>
      <c r="AR226" s="27" t="s">
        <v>55</v>
      </c>
      <c r="AS226" s="27" t="s">
        <v>55</v>
      </c>
    </row>
    <row r="227" spans="1:61" ht="60" customHeight="1" x14ac:dyDescent="0.5">
      <c r="E227" s="44"/>
      <c r="F227" s="44"/>
      <c r="G227" s="44"/>
      <c r="H227" s="44"/>
      <c r="AC227" s="27"/>
    </row>
    <row r="228" spans="1:61" ht="60" customHeight="1" x14ac:dyDescent="0.35">
      <c r="A228" s="32">
        <v>17</v>
      </c>
      <c r="B228" s="57" t="s">
        <v>257</v>
      </c>
      <c r="C228" s="3">
        <v>45170</v>
      </c>
      <c r="D228" s="3">
        <v>45929</v>
      </c>
      <c r="E228" s="44">
        <f t="shared" si="44"/>
        <v>759</v>
      </c>
      <c r="F228" s="44">
        <f>E228/30</f>
        <v>25.3</v>
      </c>
      <c r="G228" s="44">
        <f t="shared" si="45"/>
        <v>2.0794520547945203</v>
      </c>
      <c r="H228" s="44">
        <f t="shared" si="46"/>
        <v>2.4125000000000001</v>
      </c>
      <c r="J228" s="2">
        <v>1.73</v>
      </c>
      <c r="K228" s="2">
        <v>4128</v>
      </c>
      <c r="M228" s="2">
        <v>1.9950000000000001</v>
      </c>
      <c r="N228" s="2">
        <v>4131</v>
      </c>
      <c r="P228" s="2">
        <v>2.75</v>
      </c>
      <c r="R228" s="3">
        <v>45930</v>
      </c>
      <c r="S228" s="58">
        <v>0.69513888888888886</v>
      </c>
      <c r="T228" s="3"/>
      <c r="U228" s="2">
        <f t="shared" ref="U228:U236" si="50">R228-$D$228</f>
        <v>1</v>
      </c>
      <c r="V228" s="17">
        <f>R235-D228</f>
        <v>29</v>
      </c>
      <c r="AB228" s="27" t="s">
        <v>55</v>
      </c>
      <c r="AC228" s="27" t="s">
        <v>55</v>
      </c>
      <c r="AD228" s="27" t="s">
        <v>55</v>
      </c>
      <c r="AE228" s="27" t="s">
        <v>55</v>
      </c>
      <c r="AF228" s="27" t="s">
        <v>55</v>
      </c>
      <c r="AG228" s="27" t="s">
        <v>55</v>
      </c>
      <c r="AH228" s="27" t="s">
        <v>55</v>
      </c>
      <c r="AI228" s="27" t="s">
        <v>55</v>
      </c>
      <c r="AJ228" s="27" t="s">
        <v>55</v>
      </c>
      <c r="AK228" s="27" t="s">
        <v>55</v>
      </c>
      <c r="AL228" s="27" t="s">
        <v>55</v>
      </c>
      <c r="AM228" s="27" t="s">
        <v>55</v>
      </c>
      <c r="AN228" s="27" t="s">
        <v>55</v>
      </c>
      <c r="AO228" s="27" t="s">
        <v>55</v>
      </c>
      <c r="AP228" s="27" t="s">
        <v>55</v>
      </c>
      <c r="AQ228" s="27" t="s">
        <v>55</v>
      </c>
      <c r="AR228" s="27" t="s">
        <v>55</v>
      </c>
      <c r="AS228" s="27" t="s">
        <v>55</v>
      </c>
    </row>
    <row r="229" spans="1:61" ht="60" customHeight="1" x14ac:dyDescent="0.5">
      <c r="E229" s="44"/>
      <c r="F229" s="44"/>
      <c r="G229" s="44"/>
      <c r="H229" s="44"/>
      <c r="P229" s="2">
        <v>2.75</v>
      </c>
      <c r="R229" s="3">
        <v>45936</v>
      </c>
      <c r="S229" s="58">
        <v>0.67500000000000004</v>
      </c>
      <c r="T229" s="3"/>
      <c r="U229" s="2">
        <f t="shared" si="50"/>
        <v>7</v>
      </c>
      <c r="V229" s="2"/>
      <c r="AB229" s="27" t="s">
        <v>55</v>
      </c>
      <c r="AC229" s="27" t="s">
        <v>55</v>
      </c>
      <c r="AD229" s="27" t="s">
        <v>55</v>
      </c>
      <c r="AE229" s="27" t="s">
        <v>55</v>
      </c>
      <c r="AF229" s="27" t="s">
        <v>55</v>
      </c>
      <c r="AG229" s="27" t="s">
        <v>55</v>
      </c>
      <c r="AH229" s="27" t="s">
        <v>55</v>
      </c>
      <c r="AI229" s="27" t="s">
        <v>55</v>
      </c>
      <c r="AJ229" s="27" t="s">
        <v>55</v>
      </c>
      <c r="AK229" s="27" t="s">
        <v>55</v>
      </c>
      <c r="AL229" s="27" t="s">
        <v>55</v>
      </c>
      <c r="AM229" s="27" t="s">
        <v>55</v>
      </c>
      <c r="AN229" s="27" t="s">
        <v>55</v>
      </c>
      <c r="AO229" s="27" t="s">
        <v>55</v>
      </c>
      <c r="AP229" s="27" t="s">
        <v>55</v>
      </c>
      <c r="AQ229" s="27" t="s">
        <v>55</v>
      </c>
      <c r="AR229" s="27" t="s">
        <v>55</v>
      </c>
      <c r="AS229" s="27" t="s">
        <v>55</v>
      </c>
    </row>
    <row r="230" spans="1:61" ht="60" customHeight="1" x14ac:dyDescent="0.5">
      <c r="E230" s="44"/>
      <c r="F230" s="44"/>
      <c r="G230" s="44"/>
      <c r="H230" s="44"/>
      <c r="P230" s="2">
        <v>2.5</v>
      </c>
      <c r="Q230" s="2" t="s">
        <v>431</v>
      </c>
      <c r="R230" s="3">
        <v>45939</v>
      </c>
      <c r="S230" s="63">
        <v>0.35416666666666669</v>
      </c>
      <c r="T230" s="3"/>
      <c r="U230" s="2">
        <f t="shared" si="50"/>
        <v>10</v>
      </c>
      <c r="V230" s="2"/>
      <c r="AB230" s="27" t="s">
        <v>308</v>
      </c>
      <c r="AC230" s="27" t="s">
        <v>285</v>
      </c>
      <c r="AD230" s="27">
        <f>R230-D228</f>
        <v>10</v>
      </c>
      <c r="AE230" s="27" t="s">
        <v>55</v>
      </c>
      <c r="AF230" s="27" t="s">
        <v>55</v>
      </c>
      <c r="AG230" s="27" t="s">
        <v>55</v>
      </c>
      <c r="AH230" s="27" t="s">
        <v>55</v>
      </c>
      <c r="AI230" s="27" t="s">
        <v>55</v>
      </c>
      <c r="AJ230" s="27" t="s">
        <v>55</v>
      </c>
      <c r="AK230" s="27" t="s">
        <v>55</v>
      </c>
      <c r="AL230" s="27" t="s">
        <v>55</v>
      </c>
      <c r="AM230" s="27" t="s">
        <v>55</v>
      </c>
      <c r="AN230" s="27" t="s">
        <v>55</v>
      </c>
      <c r="AO230" s="27" t="s">
        <v>55</v>
      </c>
      <c r="AP230" s="27" t="s">
        <v>55</v>
      </c>
      <c r="AQ230" s="27" t="s">
        <v>55</v>
      </c>
      <c r="AR230" s="27" t="s">
        <v>55</v>
      </c>
      <c r="AS230" s="27" t="s">
        <v>55</v>
      </c>
    </row>
    <row r="231" spans="1:61" ht="60" customHeight="1" x14ac:dyDescent="0.5">
      <c r="E231" s="44"/>
      <c r="F231" s="44"/>
      <c r="G231" s="44"/>
      <c r="H231" s="44"/>
      <c r="P231" s="2">
        <v>2.5</v>
      </c>
      <c r="R231" s="3">
        <v>45944</v>
      </c>
      <c r="S231" s="58">
        <v>0.66319444444444442</v>
      </c>
      <c r="T231" s="3"/>
      <c r="U231" s="2">
        <f t="shared" si="50"/>
        <v>15</v>
      </c>
      <c r="V231" s="2"/>
      <c r="AB231" s="27" t="s">
        <v>135</v>
      </c>
      <c r="AC231" s="27" t="s">
        <v>336</v>
      </c>
      <c r="AD231" s="27">
        <v>10</v>
      </c>
      <c r="AE231" s="27" t="s">
        <v>55</v>
      </c>
      <c r="AF231" s="27" t="s">
        <v>55</v>
      </c>
      <c r="AG231" s="27" t="s">
        <v>55</v>
      </c>
      <c r="AH231" s="27" t="s">
        <v>55</v>
      </c>
      <c r="AI231" s="27" t="s">
        <v>55</v>
      </c>
      <c r="AJ231" s="27" t="s">
        <v>55</v>
      </c>
      <c r="AK231" s="27" t="s">
        <v>55</v>
      </c>
      <c r="AL231" s="27" t="s">
        <v>55</v>
      </c>
      <c r="AM231" s="27" t="s">
        <v>55</v>
      </c>
      <c r="AN231" s="27" t="s">
        <v>55</v>
      </c>
      <c r="AO231" s="27" t="s">
        <v>55</v>
      </c>
      <c r="AP231" s="27" t="s">
        <v>55</v>
      </c>
      <c r="AQ231" s="27" t="s">
        <v>55</v>
      </c>
      <c r="AR231" s="27" t="s">
        <v>55</v>
      </c>
      <c r="AS231" s="27" t="s">
        <v>55</v>
      </c>
    </row>
    <row r="232" spans="1:61" ht="60" customHeight="1" x14ac:dyDescent="0.5">
      <c r="E232" s="44"/>
      <c r="F232" s="44"/>
      <c r="G232" s="44"/>
      <c r="H232" s="44"/>
      <c r="P232" s="2">
        <v>2.5</v>
      </c>
      <c r="Q232" s="2"/>
      <c r="R232" s="3">
        <v>45947</v>
      </c>
      <c r="S232" s="58">
        <v>0.54374999999999996</v>
      </c>
      <c r="T232" s="2"/>
      <c r="U232" s="2">
        <f t="shared" si="50"/>
        <v>18</v>
      </c>
      <c r="V232" s="2"/>
      <c r="W232" s="27"/>
      <c r="X232" s="27"/>
      <c r="Y232" s="27"/>
      <c r="Z232" s="27"/>
      <c r="AA232" s="27"/>
      <c r="AB232" s="27" t="s">
        <v>393</v>
      </c>
      <c r="AC232" s="27" t="s">
        <v>86</v>
      </c>
      <c r="AD232" s="27">
        <v>10</v>
      </c>
      <c r="AE232" s="27" t="s">
        <v>55</v>
      </c>
      <c r="AF232" s="27" t="s">
        <v>55</v>
      </c>
      <c r="AG232" s="27" t="s">
        <v>55</v>
      </c>
      <c r="AH232" s="27" t="s">
        <v>55</v>
      </c>
      <c r="AI232" s="27" t="s">
        <v>55</v>
      </c>
      <c r="AJ232" s="27" t="s">
        <v>55</v>
      </c>
      <c r="AK232" s="27" t="s">
        <v>55</v>
      </c>
      <c r="AL232" s="27" t="s">
        <v>55</v>
      </c>
      <c r="AM232" s="27" t="s">
        <v>55</v>
      </c>
      <c r="AN232" s="27" t="s">
        <v>55</v>
      </c>
      <c r="AO232" s="27" t="s">
        <v>55</v>
      </c>
      <c r="AP232" s="27" t="s">
        <v>55</v>
      </c>
      <c r="AQ232" s="27" t="s">
        <v>55</v>
      </c>
      <c r="AR232" s="27" t="s">
        <v>55</v>
      </c>
      <c r="AS232" s="27" t="s">
        <v>55</v>
      </c>
    </row>
    <row r="233" spans="1:61" ht="60" customHeight="1" x14ac:dyDescent="0.5">
      <c r="E233" s="44"/>
      <c r="F233" s="44"/>
      <c r="G233" s="44"/>
      <c r="H233" s="44"/>
      <c r="P233" s="2">
        <v>2.5</v>
      </c>
      <c r="R233" s="3">
        <v>45951</v>
      </c>
      <c r="S233" s="58">
        <v>0.68541666666666667</v>
      </c>
      <c r="T233" s="2"/>
      <c r="U233" s="2">
        <f t="shared" si="50"/>
        <v>22</v>
      </c>
      <c r="V233" s="2"/>
      <c r="AB233" s="27" t="s">
        <v>405</v>
      </c>
      <c r="AC233" s="27" t="s">
        <v>404</v>
      </c>
      <c r="AD233" s="27">
        <v>10</v>
      </c>
      <c r="AE233" s="27" t="s">
        <v>55</v>
      </c>
      <c r="AF233" s="27" t="s">
        <v>55</v>
      </c>
      <c r="AG233" s="27" t="s">
        <v>55</v>
      </c>
      <c r="AH233" s="27" t="s">
        <v>55</v>
      </c>
      <c r="AI233" s="27" t="s">
        <v>55</v>
      </c>
      <c r="AJ233" s="27" t="s">
        <v>55</v>
      </c>
      <c r="AK233" s="27" t="s">
        <v>55</v>
      </c>
      <c r="AL233" s="27" t="s">
        <v>55</v>
      </c>
      <c r="AM233" s="27" t="s">
        <v>55</v>
      </c>
      <c r="AN233" s="27" t="s">
        <v>55</v>
      </c>
      <c r="AO233" s="27" t="s">
        <v>55</v>
      </c>
      <c r="AP233" s="27" t="s">
        <v>55</v>
      </c>
      <c r="AQ233" s="27" t="s">
        <v>55</v>
      </c>
      <c r="AR233" s="27" t="s">
        <v>55</v>
      </c>
      <c r="AS233" s="27" t="s">
        <v>55</v>
      </c>
    </row>
    <row r="234" spans="1:61" ht="60" customHeight="1" x14ac:dyDescent="0.5">
      <c r="E234" s="44"/>
      <c r="F234" s="44"/>
      <c r="G234" s="44"/>
      <c r="H234" s="44"/>
      <c r="P234" s="41" t="s">
        <v>442</v>
      </c>
      <c r="R234" s="3">
        <v>45954</v>
      </c>
      <c r="S234" s="61">
        <v>45954.694444444445</v>
      </c>
      <c r="T234" s="2"/>
      <c r="U234" s="2">
        <f t="shared" si="50"/>
        <v>25</v>
      </c>
      <c r="V234" s="2"/>
      <c r="AB234" s="27" t="s">
        <v>98</v>
      </c>
      <c r="AC234" s="27" t="s">
        <v>443</v>
      </c>
      <c r="AD234" s="27">
        <v>10</v>
      </c>
      <c r="AE234" s="27" t="s">
        <v>55</v>
      </c>
      <c r="AF234" s="27" t="s">
        <v>55</v>
      </c>
      <c r="AG234" s="27" t="s">
        <v>55</v>
      </c>
      <c r="AH234" s="27" t="s">
        <v>55</v>
      </c>
      <c r="AI234" s="27" t="s">
        <v>55</v>
      </c>
      <c r="AJ234" s="27" t="s">
        <v>55</v>
      </c>
      <c r="AK234" s="27" t="s">
        <v>55</v>
      </c>
      <c r="AL234" s="27" t="s">
        <v>55</v>
      </c>
      <c r="AM234" s="27" t="s">
        <v>55</v>
      </c>
      <c r="AN234" s="27" t="s">
        <v>55</v>
      </c>
      <c r="AO234" s="27" t="s">
        <v>55</v>
      </c>
      <c r="AP234" s="27" t="s">
        <v>55</v>
      </c>
      <c r="AQ234" s="27" t="s">
        <v>55</v>
      </c>
      <c r="AR234" s="27" t="s">
        <v>55</v>
      </c>
      <c r="AS234" s="27" t="s">
        <v>55</v>
      </c>
    </row>
    <row r="235" spans="1:61" ht="60" customHeight="1" x14ac:dyDescent="0.5">
      <c r="E235" s="44"/>
      <c r="F235" s="44"/>
      <c r="G235" s="44"/>
      <c r="H235" s="44"/>
      <c r="P235" s="2">
        <v>2.75</v>
      </c>
      <c r="Q235" s="2"/>
      <c r="R235" s="3">
        <v>45958</v>
      </c>
      <c r="S235" s="61">
        <v>45958.76458333333</v>
      </c>
      <c r="T235" s="2">
        <f>S235-S234</f>
        <v>4.070138888884685</v>
      </c>
      <c r="U235" s="2">
        <f t="shared" si="50"/>
        <v>29</v>
      </c>
      <c r="V235" s="2"/>
      <c r="W235" s="27"/>
      <c r="X235" s="27"/>
      <c r="Y235" s="27"/>
      <c r="Z235" s="27"/>
      <c r="AA235" s="27"/>
      <c r="AB235" s="27" t="s">
        <v>87</v>
      </c>
      <c r="AC235" s="37" t="s">
        <v>466</v>
      </c>
      <c r="AD235" s="27">
        <v>10</v>
      </c>
      <c r="AE235" s="62">
        <f>$S$234+($T$235/2)</f>
        <v>45956.729513888888</v>
      </c>
      <c r="AF235" s="27">
        <f>$U$234+($T$235/2)</f>
        <v>27.035069444442343</v>
      </c>
      <c r="AG235" s="37" t="s">
        <v>630</v>
      </c>
      <c r="AH235" s="27" t="s">
        <v>55</v>
      </c>
      <c r="AI235" s="27" t="s">
        <v>55</v>
      </c>
      <c r="AJ235" s="27" t="s">
        <v>55</v>
      </c>
      <c r="AK235" s="27" t="s">
        <v>55</v>
      </c>
      <c r="AL235" s="27" t="s">
        <v>55</v>
      </c>
      <c r="AM235" s="27" t="s">
        <v>55</v>
      </c>
      <c r="AN235" s="37">
        <v>71.89</v>
      </c>
      <c r="AO235" s="37">
        <v>12.1</v>
      </c>
      <c r="AP235" s="37">
        <f>AN235-AO235</f>
        <v>59.79</v>
      </c>
      <c r="AQ235" s="37">
        <v>86.15</v>
      </c>
      <c r="AR235" s="37">
        <v>35.630000000000003</v>
      </c>
      <c r="AS235" s="37">
        <f>AQ235-AR235</f>
        <v>50.52</v>
      </c>
    </row>
    <row r="236" spans="1:61" ht="60" customHeight="1" x14ac:dyDescent="0.5">
      <c r="E236" s="44"/>
      <c r="F236" s="44"/>
      <c r="G236" s="44"/>
      <c r="H236" s="44"/>
      <c r="P236" s="2">
        <v>2.5</v>
      </c>
      <c r="Q236" s="2"/>
      <c r="R236" s="3">
        <v>45961</v>
      </c>
      <c r="S236" s="58">
        <v>0.71527777777777779</v>
      </c>
      <c r="T236" s="2"/>
      <c r="U236" s="2">
        <f t="shared" si="50"/>
        <v>32</v>
      </c>
      <c r="V236" s="2"/>
      <c r="W236" s="27"/>
      <c r="X236" s="27"/>
      <c r="Y236" s="27"/>
      <c r="Z236" s="27"/>
      <c r="AA236" s="27"/>
      <c r="AB236" s="27" t="s">
        <v>521</v>
      </c>
      <c r="AC236" s="37" t="s">
        <v>520</v>
      </c>
      <c r="AD236" s="27">
        <v>10</v>
      </c>
      <c r="AE236" s="62">
        <f>$S$234+($T$235/2)</f>
        <v>45956.729513888888</v>
      </c>
      <c r="AF236" s="27">
        <f>$U$234+($T$235/2)</f>
        <v>27.035069444442343</v>
      </c>
      <c r="AG236" s="37" t="s">
        <v>519</v>
      </c>
      <c r="AH236" s="27" t="s">
        <v>55</v>
      </c>
      <c r="AI236" s="27" t="s">
        <v>55</v>
      </c>
      <c r="AJ236" s="27" t="s">
        <v>55</v>
      </c>
      <c r="AK236" s="27" t="s">
        <v>55</v>
      </c>
      <c r="AL236" s="27" t="s">
        <v>55</v>
      </c>
      <c r="AM236" s="27" t="s">
        <v>55</v>
      </c>
      <c r="AN236" s="27">
        <v>107.62</v>
      </c>
      <c r="AO236" s="27">
        <v>14.51</v>
      </c>
      <c r="AP236" s="37">
        <f>AN236-AO236</f>
        <v>93.11</v>
      </c>
      <c r="AQ236" s="27">
        <v>100.9</v>
      </c>
      <c r="AR236" s="27">
        <v>30.74</v>
      </c>
      <c r="AS236" s="37">
        <f>AQ236-AR236</f>
        <v>70.160000000000011</v>
      </c>
      <c r="BI236" s="2" t="s">
        <v>540</v>
      </c>
    </row>
    <row r="237" spans="1:61" ht="60" customHeight="1" x14ac:dyDescent="0.5">
      <c r="E237" s="44"/>
      <c r="F237" s="44"/>
      <c r="G237" s="44"/>
      <c r="H237" s="44"/>
    </row>
    <row r="238" spans="1:61" ht="60" customHeight="1" x14ac:dyDescent="0.35">
      <c r="A238" s="32">
        <v>18</v>
      </c>
      <c r="B238" s="57" t="s">
        <v>256</v>
      </c>
      <c r="C238" s="3">
        <v>44428</v>
      </c>
      <c r="D238" s="3">
        <v>45930</v>
      </c>
      <c r="E238" s="44">
        <f t="shared" si="44"/>
        <v>1502</v>
      </c>
      <c r="F238" s="44">
        <f>E238/30</f>
        <v>50.06666666666667</v>
      </c>
      <c r="G238" s="44">
        <f t="shared" si="45"/>
        <v>4.1150684931506847</v>
      </c>
      <c r="H238" s="44">
        <f t="shared" si="46"/>
        <v>5.5083333333333337</v>
      </c>
      <c r="J238" s="2">
        <v>2.5499999999999998</v>
      </c>
      <c r="K238" s="2">
        <v>4133</v>
      </c>
      <c r="M238" s="2">
        <v>2.86</v>
      </c>
      <c r="N238" s="2">
        <v>4134</v>
      </c>
      <c r="P238" s="2">
        <v>3</v>
      </c>
      <c r="R238" s="3">
        <v>45936</v>
      </c>
      <c r="S238" s="58">
        <v>0.67500000000000004</v>
      </c>
      <c r="T238" s="3"/>
      <c r="U238" s="2">
        <f t="shared" ref="U238:U247" si="51">R238-$D$238</f>
        <v>6</v>
      </c>
      <c r="V238" s="17">
        <f>R244-D238</f>
        <v>28</v>
      </c>
      <c r="AB238" s="27" t="s">
        <v>55</v>
      </c>
      <c r="AC238" s="27" t="s">
        <v>55</v>
      </c>
      <c r="AD238" s="27" t="s">
        <v>55</v>
      </c>
      <c r="AE238" s="27" t="s">
        <v>55</v>
      </c>
      <c r="AF238" s="27" t="s">
        <v>55</v>
      </c>
      <c r="AG238" s="27" t="s">
        <v>55</v>
      </c>
      <c r="AH238" s="27" t="s">
        <v>55</v>
      </c>
      <c r="AI238" s="27" t="s">
        <v>55</v>
      </c>
      <c r="AJ238" s="27" t="s">
        <v>55</v>
      </c>
      <c r="AK238" s="27" t="s">
        <v>55</v>
      </c>
      <c r="AL238" s="27" t="s">
        <v>55</v>
      </c>
      <c r="AM238" s="27" t="s">
        <v>55</v>
      </c>
      <c r="AN238" s="27" t="s">
        <v>55</v>
      </c>
      <c r="AO238" s="27" t="s">
        <v>55</v>
      </c>
      <c r="AP238" s="27" t="s">
        <v>55</v>
      </c>
      <c r="AQ238" s="27" t="s">
        <v>55</v>
      </c>
      <c r="AR238" s="27" t="s">
        <v>55</v>
      </c>
      <c r="AS238" s="27" t="s">
        <v>55</v>
      </c>
    </row>
    <row r="239" spans="1:61" ht="60" customHeight="1" x14ac:dyDescent="0.5">
      <c r="E239" s="44"/>
      <c r="F239" s="44"/>
      <c r="G239" s="44"/>
      <c r="H239" s="44"/>
      <c r="P239" s="2">
        <v>2.75</v>
      </c>
      <c r="Q239" s="2" t="s">
        <v>431</v>
      </c>
      <c r="R239" s="3">
        <v>45939</v>
      </c>
      <c r="S239" s="63">
        <v>0.35416666666666669</v>
      </c>
      <c r="T239" s="3"/>
      <c r="U239" s="2">
        <f t="shared" si="51"/>
        <v>9</v>
      </c>
      <c r="V239" s="2"/>
      <c r="AB239" s="27" t="s">
        <v>131</v>
      </c>
      <c r="AC239" s="27" t="s">
        <v>322</v>
      </c>
      <c r="AD239" s="27">
        <f>R239-D238</f>
        <v>9</v>
      </c>
      <c r="AE239" s="27" t="s">
        <v>55</v>
      </c>
      <c r="AF239" s="27" t="s">
        <v>55</v>
      </c>
      <c r="AG239" s="27" t="s">
        <v>55</v>
      </c>
      <c r="AH239" s="27" t="s">
        <v>55</v>
      </c>
      <c r="AI239" s="27" t="s">
        <v>55</v>
      </c>
      <c r="AJ239" s="27" t="s">
        <v>55</v>
      </c>
      <c r="AK239" s="27" t="s">
        <v>55</v>
      </c>
      <c r="AL239" s="27" t="s">
        <v>55</v>
      </c>
      <c r="AM239" s="27" t="s">
        <v>55</v>
      </c>
      <c r="AN239" s="27" t="s">
        <v>55</v>
      </c>
      <c r="AO239" s="27" t="s">
        <v>55</v>
      </c>
      <c r="AP239" s="27" t="s">
        <v>55</v>
      </c>
      <c r="AQ239" s="27" t="s">
        <v>55</v>
      </c>
      <c r="AR239" s="27" t="s">
        <v>55</v>
      </c>
      <c r="AS239" s="27" t="s">
        <v>55</v>
      </c>
    </row>
    <row r="240" spans="1:61" ht="60" customHeight="1" x14ac:dyDescent="0.5">
      <c r="E240" s="44"/>
      <c r="F240" s="44"/>
      <c r="G240" s="44"/>
      <c r="H240" s="44"/>
      <c r="P240" s="2">
        <v>2.75</v>
      </c>
      <c r="R240" s="3">
        <v>45944</v>
      </c>
      <c r="S240" s="58">
        <v>0.66319444444444442</v>
      </c>
      <c r="T240" s="3"/>
      <c r="U240" s="2">
        <f t="shared" si="51"/>
        <v>14</v>
      </c>
      <c r="V240" s="2"/>
      <c r="AB240" s="27" t="s">
        <v>301</v>
      </c>
      <c r="AC240" s="27" t="s">
        <v>352</v>
      </c>
      <c r="AD240" s="27">
        <v>9</v>
      </c>
      <c r="AE240" s="27" t="s">
        <v>55</v>
      </c>
      <c r="AF240" s="27" t="s">
        <v>55</v>
      </c>
      <c r="AG240" s="27" t="s">
        <v>55</v>
      </c>
      <c r="AH240" s="27" t="s">
        <v>55</v>
      </c>
      <c r="AI240" s="27" t="s">
        <v>55</v>
      </c>
      <c r="AJ240" s="27" t="s">
        <v>55</v>
      </c>
      <c r="AK240" s="27" t="s">
        <v>55</v>
      </c>
      <c r="AL240" s="27" t="s">
        <v>55</v>
      </c>
      <c r="AM240" s="27" t="s">
        <v>55</v>
      </c>
      <c r="AN240" s="27" t="s">
        <v>55</v>
      </c>
      <c r="AO240" s="27" t="s">
        <v>55</v>
      </c>
      <c r="AP240" s="27" t="s">
        <v>55</v>
      </c>
      <c r="AQ240" s="27" t="s">
        <v>55</v>
      </c>
      <c r="AR240" s="27" t="s">
        <v>55</v>
      </c>
      <c r="AS240" s="27" t="s">
        <v>55</v>
      </c>
    </row>
    <row r="241" spans="1:61" ht="60" customHeight="1" x14ac:dyDescent="0.5">
      <c r="E241" s="44"/>
      <c r="F241" s="44"/>
      <c r="G241" s="44"/>
      <c r="H241" s="44"/>
      <c r="P241" s="2">
        <v>2.75</v>
      </c>
      <c r="R241" s="3">
        <v>45947</v>
      </c>
      <c r="S241" s="58">
        <v>0.49166666666666664</v>
      </c>
      <c r="U241" s="2">
        <f t="shared" si="51"/>
        <v>17</v>
      </c>
      <c r="V241" s="2"/>
      <c r="AB241" s="27" t="s">
        <v>131</v>
      </c>
      <c r="AC241" s="27" t="s">
        <v>392</v>
      </c>
      <c r="AD241" s="27">
        <v>9</v>
      </c>
      <c r="AE241" s="27" t="s">
        <v>55</v>
      </c>
      <c r="AF241" s="27" t="s">
        <v>55</v>
      </c>
      <c r="AG241" s="27" t="s">
        <v>55</v>
      </c>
      <c r="AH241" s="27" t="s">
        <v>55</v>
      </c>
      <c r="AI241" s="27" t="s">
        <v>55</v>
      </c>
      <c r="AJ241" s="27" t="s">
        <v>55</v>
      </c>
      <c r="AK241" s="27" t="s">
        <v>55</v>
      </c>
      <c r="AL241" s="27" t="s">
        <v>55</v>
      </c>
      <c r="AM241" s="27" t="s">
        <v>55</v>
      </c>
      <c r="AN241" s="27" t="s">
        <v>55</v>
      </c>
      <c r="AO241" s="27" t="s">
        <v>55</v>
      </c>
      <c r="AP241" s="27" t="s">
        <v>55</v>
      </c>
      <c r="AQ241" s="27" t="s">
        <v>55</v>
      </c>
      <c r="AR241" s="27" t="s">
        <v>55</v>
      </c>
      <c r="AS241" s="27" t="s">
        <v>55</v>
      </c>
    </row>
    <row r="242" spans="1:61" ht="60" customHeight="1" x14ac:dyDescent="0.5">
      <c r="E242" s="44"/>
      <c r="F242" s="44"/>
      <c r="G242" s="44"/>
      <c r="H242" s="44"/>
      <c r="P242" s="2">
        <v>2.75</v>
      </c>
      <c r="R242" s="3">
        <v>45951</v>
      </c>
      <c r="S242" s="58">
        <v>0.73958333333333337</v>
      </c>
      <c r="T242" s="2"/>
      <c r="U242" s="2">
        <f t="shared" si="51"/>
        <v>21</v>
      </c>
      <c r="V242" s="2"/>
      <c r="AB242" s="27" t="s">
        <v>428</v>
      </c>
      <c r="AC242" s="27" t="s">
        <v>429</v>
      </c>
      <c r="AD242" s="27">
        <v>9</v>
      </c>
      <c r="AE242" s="27" t="s">
        <v>55</v>
      </c>
      <c r="AF242" s="27" t="s">
        <v>55</v>
      </c>
      <c r="AG242" s="27" t="s">
        <v>55</v>
      </c>
      <c r="AH242" s="27" t="s">
        <v>55</v>
      </c>
      <c r="AI242" s="27" t="s">
        <v>55</v>
      </c>
      <c r="AJ242" s="27" t="s">
        <v>55</v>
      </c>
      <c r="AK242" s="27" t="s">
        <v>55</v>
      </c>
      <c r="AL242" s="27" t="s">
        <v>55</v>
      </c>
      <c r="AM242" s="27" t="s">
        <v>55</v>
      </c>
      <c r="AN242" s="27" t="s">
        <v>55</v>
      </c>
      <c r="AO242" s="27" t="s">
        <v>55</v>
      </c>
      <c r="AP242" s="27" t="s">
        <v>55</v>
      </c>
      <c r="AQ242" s="27" t="s">
        <v>55</v>
      </c>
      <c r="AR242" s="27" t="s">
        <v>55</v>
      </c>
      <c r="AS242" s="27" t="s">
        <v>55</v>
      </c>
    </row>
    <row r="243" spans="1:61" ht="60" customHeight="1" x14ac:dyDescent="0.5">
      <c r="E243" s="44"/>
      <c r="F243" s="44"/>
      <c r="G243" s="44"/>
      <c r="H243" s="44"/>
      <c r="P243" s="2">
        <v>2.75</v>
      </c>
      <c r="Q243" s="2"/>
      <c r="R243" s="3">
        <v>45954</v>
      </c>
      <c r="S243" s="61">
        <v>45954.702777777777</v>
      </c>
      <c r="T243" s="2"/>
      <c r="U243" s="2">
        <f t="shared" si="51"/>
        <v>24</v>
      </c>
      <c r="V243" s="2"/>
      <c r="W243" s="27"/>
      <c r="X243" s="27"/>
      <c r="Y243" s="27"/>
      <c r="Z243" s="27"/>
      <c r="AA243" s="27"/>
      <c r="AB243" s="27" t="s">
        <v>448</v>
      </c>
      <c r="AC243" s="27" t="s">
        <v>447</v>
      </c>
      <c r="AD243" s="27">
        <v>9</v>
      </c>
      <c r="AE243" s="27" t="s">
        <v>55</v>
      </c>
      <c r="AF243" s="27" t="s">
        <v>55</v>
      </c>
      <c r="AG243" s="27" t="s">
        <v>55</v>
      </c>
      <c r="AH243" s="27" t="s">
        <v>55</v>
      </c>
      <c r="AI243" s="27" t="s">
        <v>55</v>
      </c>
      <c r="AJ243" s="27" t="s">
        <v>55</v>
      </c>
      <c r="AK243" s="27" t="s">
        <v>55</v>
      </c>
      <c r="AL243" s="27" t="s">
        <v>55</v>
      </c>
      <c r="AM243" s="27" t="s">
        <v>55</v>
      </c>
      <c r="AN243" s="27" t="s">
        <v>55</v>
      </c>
      <c r="AO243" s="27" t="s">
        <v>55</v>
      </c>
      <c r="AP243" s="27" t="s">
        <v>55</v>
      </c>
      <c r="AQ243" s="27" t="s">
        <v>55</v>
      </c>
      <c r="AR243" s="27" t="s">
        <v>55</v>
      </c>
      <c r="AS243" s="27" t="s">
        <v>55</v>
      </c>
    </row>
    <row r="244" spans="1:61" ht="60" customHeight="1" x14ac:dyDescent="0.5">
      <c r="E244" s="44"/>
      <c r="F244" s="44"/>
      <c r="G244" s="44"/>
      <c r="H244" s="44"/>
      <c r="P244" s="2">
        <v>2.75</v>
      </c>
      <c r="R244" s="3">
        <v>45958</v>
      </c>
      <c r="S244" s="61">
        <v>45958.768055555556</v>
      </c>
      <c r="T244" s="2">
        <f>S244-S243</f>
        <v>4.0652777777795563</v>
      </c>
      <c r="U244" s="2">
        <f t="shared" si="51"/>
        <v>28</v>
      </c>
      <c r="V244" s="2"/>
      <c r="AB244" s="27" t="s">
        <v>468</v>
      </c>
      <c r="AC244" s="27" t="s">
        <v>467</v>
      </c>
      <c r="AD244" s="27">
        <v>9</v>
      </c>
      <c r="AE244" s="62">
        <f>$S$243+($T$244/2)</f>
        <v>45956.735416666663</v>
      </c>
      <c r="AF244" s="27">
        <f>$U$243+($T$244/2)</f>
        <v>26.032638888889778</v>
      </c>
      <c r="AG244" s="27">
        <v>38.14</v>
      </c>
      <c r="AH244" s="27" t="s">
        <v>55</v>
      </c>
      <c r="AI244" s="27" t="s">
        <v>55</v>
      </c>
      <c r="AJ244" s="27" t="s">
        <v>55</v>
      </c>
      <c r="AK244" s="27" t="s">
        <v>55</v>
      </c>
      <c r="AL244" s="27" t="s">
        <v>55</v>
      </c>
      <c r="AM244" s="27" t="s">
        <v>55</v>
      </c>
      <c r="AN244" s="27">
        <v>38.14</v>
      </c>
      <c r="AO244" s="27">
        <v>0</v>
      </c>
      <c r="AP244" s="27">
        <f>AN244-AO244</f>
        <v>38.14</v>
      </c>
      <c r="AQ244" s="27" t="s">
        <v>55</v>
      </c>
      <c r="AR244" s="27" t="s">
        <v>55</v>
      </c>
      <c r="AS244" s="27" t="s">
        <v>55</v>
      </c>
    </row>
    <row r="245" spans="1:61" ht="60" customHeight="1" x14ac:dyDescent="0.5">
      <c r="E245" s="44"/>
      <c r="F245" s="44"/>
      <c r="G245" s="44"/>
      <c r="H245" s="44"/>
      <c r="P245" s="2">
        <v>2.75</v>
      </c>
      <c r="R245" s="3">
        <v>45961</v>
      </c>
      <c r="S245" s="58">
        <v>0.73541666666666672</v>
      </c>
      <c r="T245" s="2"/>
      <c r="U245" s="2">
        <f t="shared" si="51"/>
        <v>31</v>
      </c>
      <c r="V245" s="2"/>
      <c r="AB245" s="27" t="s">
        <v>530</v>
      </c>
      <c r="AC245" s="27" t="s">
        <v>531</v>
      </c>
      <c r="AD245" s="27">
        <v>9</v>
      </c>
      <c r="AE245" s="62">
        <f t="shared" ref="AE245:AE247" si="52">$S$243+($T$244/2)</f>
        <v>45956.735416666663</v>
      </c>
      <c r="AF245" s="27">
        <f t="shared" ref="AF245:AF247" si="53">$U$243+($T$244/2)</f>
        <v>26.032638888889778</v>
      </c>
      <c r="AG245" s="27" t="s">
        <v>55</v>
      </c>
      <c r="AH245" s="27" t="s">
        <v>55</v>
      </c>
      <c r="AI245" s="27" t="s">
        <v>55</v>
      </c>
      <c r="AJ245" s="27" t="s">
        <v>55</v>
      </c>
      <c r="AK245" s="27" t="s">
        <v>55</v>
      </c>
      <c r="AL245" s="27" t="s">
        <v>55</v>
      </c>
      <c r="AM245" s="27" t="s">
        <v>55</v>
      </c>
      <c r="AN245" s="27" t="s">
        <v>55</v>
      </c>
      <c r="AO245" s="27" t="s">
        <v>55</v>
      </c>
      <c r="AP245" s="27" t="s">
        <v>55</v>
      </c>
      <c r="AQ245" s="27" t="s">
        <v>55</v>
      </c>
      <c r="AR245" s="27" t="s">
        <v>55</v>
      </c>
      <c r="AS245" s="27" t="s">
        <v>55</v>
      </c>
      <c r="BI245" s="2" t="s">
        <v>416</v>
      </c>
    </row>
    <row r="246" spans="1:61" s="2" customFormat="1" ht="60" customHeight="1" x14ac:dyDescent="0.35">
      <c r="A246" s="32"/>
      <c r="B246" s="20"/>
      <c r="E246" s="44"/>
      <c r="F246" s="44"/>
      <c r="G246" s="44"/>
      <c r="H246" s="44"/>
      <c r="P246" s="2">
        <v>2.75</v>
      </c>
      <c r="R246" s="3">
        <v>45964</v>
      </c>
      <c r="S246" s="58">
        <v>0.41111111111111109</v>
      </c>
      <c r="U246" s="2">
        <f t="shared" si="51"/>
        <v>34</v>
      </c>
      <c r="W246" s="27"/>
      <c r="X246" s="27"/>
      <c r="Y246" s="27"/>
      <c r="Z246" s="27"/>
      <c r="AA246" s="27"/>
      <c r="AB246" s="27" t="s">
        <v>185</v>
      </c>
      <c r="AC246" s="27" t="s">
        <v>561</v>
      </c>
      <c r="AD246" s="27">
        <v>9</v>
      </c>
      <c r="AE246" s="62">
        <f t="shared" si="52"/>
        <v>45956.735416666663</v>
      </c>
      <c r="AF246" s="27">
        <f t="shared" si="53"/>
        <v>26.032638888889778</v>
      </c>
      <c r="AG246" s="27" t="s">
        <v>55</v>
      </c>
      <c r="AH246" s="27" t="s">
        <v>55</v>
      </c>
      <c r="AI246" s="27" t="s">
        <v>55</v>
      </c>
      <c r="AJ246" s="27" t="s">
        <v>55</v>
      </c>
      <c r="AK246" s="27" t="s">
        <v>55</v>
      </c>
      <c r="AL246" s="27" t="s">
        <v>55</v>
      </c>
      <c r="AM246" s="27" t="s">
        <v>55</v>
      </c>
      <c r="AN246" s="27" t="s">
        <v>55</v>
      </c>
      <c r="AO246" s="27" t="s">
        <v>55</v>
      </c>
      <c r="AP246" s="27" t="s">
        <v>55</v>
      </c>
      <c r="AQ246" s="27" t="s">
        <v>55</v>
      </c>
      <c r="AR246" s="27" t="s">
        <v>55</v>
      </c>
      <c r="AS246" s="27" t="s">
        <v>55</v>
      </c>
      <c r="BI246" s="2" t="s">
        <v>608</v>
      </c>
    </row>
    <row r="247" spans="1:61" s="2" customFormat="1" ht="60" customHeight="1" x14ac:dyDescent="0.35">
      <c r="A247" s="32"/>
      <c r="B247" s="20"/>
      <c r="E247" s="44"/>
      <c r="F247" s="44"/>
      <c r="G247" s="44"/>
      <c r="H247" s="44"/>
      <c r="P247" s="2">
        <v>2.75</v>
      </c>
      <c r="R247" s="3">
        <v>45968</v>
      </c>
      <c r="S247" s="58">
        <v>0.67569444444444449</v>
      </c>
      <c r="U247" s="2">
        <f t="shared" si="51"/>
        <v>38</v>
      </c>
      <c r="W247" s="27"/>
      <c r="X247" s="27"/>
      <c r="Y247" s="27"/>
      <c r="Z247" s="27"/>
      <c r="AA247" s="27"/>
      <c r="AB247" s="27" t="s">
        <v>572</v>
      </c>
      <c r="AC247" s="27" t="s">
        <v>571</v>
      </c>
      <c r="AD247" s="27">
        <v>9</v>
      </c>
      <c r="AE247" s="62">
        <f t="shared" si="52"/>
        <v>45956.735416666663</v>
      </c>
      <c r="AF247" s="27">
        <f t="shared" si="53"/>
        <v>26.032638888889778</v>
      </c>
      <c r="AG247" s="37" t="s">
        <v>583</v>
      </c>
      <c r="AH247" s="27">
        <v>89.01</v>
      </c>
      <c r="AI247" s="27">
        <v>0</v>
      </c>
      <c r="AJ247" s="27">
        <f>AH247-AI247</f>
        <v>89.01</v>
      </c>
      <c r="AK247" s="27" t="s">
        <v>55</v>
      </c>
      <c r="AL247" s="27" t="s">
        <v>55</v>
      </c>
      <c r="AM247" s="27" t="s">
        <v>55</v>
      </c>
      <c r="AN247" s="27">
        <v>80.7</v>
      </c>
      <c r="AO247" s="27">
        <v>0</v>
      </c>
      <c r="AP247" s="27">
        <f>AN247-AO247</f>
        <v>80.7</v>
      </c>
      <c r="AQ247" s="27" t="s">
        <v>55</v>
      </c>
      <c r="AR247" s="27" t="s">
        <v>55</v>
      </c>
      <c r="AS247" s="27" t="s">
        <v>55</v>
      </c>
    </row>
    <row r="248" spans="1:61" ht="60" customHeight="1" x14ac:dyDescent="0.5">
      <c r="E248" s="44"/>
      <c r="F248" s="44"/>
      <c r="G248" s="44"/>
      <c r="H248" s="44"/>
    </row>
    <row r="249" spans="1:61" ht="60" customHeight="1" x14ac:dyDescent="0.35">
      <c r="A249" s="32">
        <v>19</v>
      </c>
      <c r="B249" s="57" t="s">
        <v>263</v>
      </c>
      <c r="C249" s="43">
        <v>44661</v>
      </c>
      <c r="D249" s="3">
        <v>45932</v>
      </c>
      <c r="E249" s="44">
        <f t="shared" si="44"/>
        <v>1271</v>
      </c>
      <c r="F249" s="44">
        <f>E249/30</f>
        <v>42.366666666666667</v>
      </c>
      <c r="G249" s="44">
        <f t="shared" si="45"/>
        <v>3.4821917808219176</v>
      </c>
      <c r="H249" s="44">
        <f t="shared" si="46"/>
        <v>4.5458333333333334</v>
      </c>
      <c r="P249" s="2">
        <v>2.5</v>
      </c>
      <c r="R249" s="3">
        <v>45936</v>
      </c>
      <c r="S249" s="58">
        <v>0.67500000000000004</v>
      </c>
      <c r="T249" s="3"/>
      <c r="U249" s="2">
        <f t="shared" ref="U249:U255" si="54">R249-$D$249</f>
        <v>4</v>
      </c>
      <c r="V249" s="17">
        <f>R253-D249</f>
        <v>19</v>
      </c>
      <c r="AB249" s="27" t="s">
        <v>55</v>
      </c>
      <c r="AC249" s="27" t="s">
        <v>55</v>
      </c>
      <c r="AD249" s="27" t="s">
        <v>55</v>
      </c>
      <c r="AE249" s="27" t="s">
        <v>55</v>
      </c>
      <c r="AF249" s="27" t="s">
        <v>55</v>
      </c>
      <c r="AG249" s="27" t="s">
        <v>55</v>
      </c>
      <c r="AH249" s="27" t="s">
        <v>55</v>
      </c>
      <c r="AI249" s="27" t="s">
        <v>55</v>
      </c>
      <c r="AJ249" s="27" t="s">
        <v>55</v>
      </c>
      <c r="AK249" s="27" t="s">
        <v>55</v>
      </c>
      <c r="AL249" s="27" t="s">
        <v>55</v>
      </c>
      <c r="AM249" s="27" t="s">
        <v>55</v>
      </c>
      <c r="AN249" s="27" t="s">
        <v>55</v>
      </c>
      <c r="AO249" s="27" t="s">
        <v>55</v>
      </c>
      <c r="AP249" s="27" t="s">
        <v>55</v>
      </c>
      <c r="AQ249" s="27" t="s">
        <v>55</v>
      </c>
      <c r="AR249" s="27" t="s">
        <v>55</v>
      </c>
      <c r="AS249" s="27" t="s">
        <v>55</v>
      </c>
    </row>
    <row r="250" spans="1:61" ht="60" customHeight="1" x14ac:dyDescent="0.5">
      <c r="E250" s="44"/>
      <c r="F250" s="44"/>
      <c r="G250" s="44"/>
      <c r="H250" s="44"/>
      <c r="P250" s="2">
        <v>2.5</v>
      </c>
      <c r="Q250" s="2" t="s">
        <v>431</v>
      </c>
      <c r="R250" s="3">
        <v>45939</v>
      </c>
      <c r="S250" s="63">
        <v>0.35416666666666669</v>
      </c>
      <c r="T250" s="3"/>
      <c r="U250" s="2">
        <f t="shared" si="54"/>
        <v>7</v>
      </c>
      <c r="V250" s="2"/>
      <c r="AB250" s="27" t="s">
        <v>55</v>
      </c>
      <c r="AC250" s="27" t="s">
        <v>301</v>
      </c>
      <c r="AD250" s="27">
        <f>R250-D249</f>
        <v>7</v>
      </c>
      <c r="AE250" s="27" t="s">
        <v>55</v>
      </c>
      <c r="AF250" s="27" t="s">
        <v>55</v>
      </c>
      <c r="AG250" s="27" t="s">
        <v>55</v>
      </c>
      <c r="AH250" s="27" t="s">
        <v>55</v>
      </c>
      <c r="AI250" s="27" t="s">
        <v>55</v>
      </c>
      <c r="AJ250" s="27" t="s">
        <v>55</v>
      </c>
      <c r="AK250" s="27" t="s">
        <v>55</v>
      </c>
      <c r="AL250" s="27" t="s">
        <v>55</v>
      </c>
      <c r="AM250" s="27" t="s">
        <v>55</v>
      </c>
      <c r="AN250" s="27" t="s">
        <v>55</v>
      </c>
      <c r="AO250" s="27" t="s">
        <v>55</v>
      </c>
      <c r="AP250" s="27" t="s">
        <v>55</v>
      </c>
      <c r="AQ250" s="27" t="s">
        <v>55</v>
      </c>
      <c r="AR250" s="27" t="s">
        <v>55</v>
      </c>
      <c r="AS250" s="27" t="s">
        <v>55</v>
      </c>
    </row>
    <row r="251" spans="1:61" ht="60" customHeight="1" x14ac:dyDescent="0.5">
      <c r="E251" s="44"/>
      <c r="F251" s="44"/>
      <c r="G251" s="44"/>
      <c r="H251" s="44"/>
      <c r="P251" s="2">
        <v>2.5</v>
      </c>
      <c r="R251" s="3">
        <v>45944</v>
      </c>
      <c r="S251" s="58">
        <v>0.66319444444444442</v>
      </c>
      <c r="T251" s="3"/>
      <c r="U251" s="2">
        <f t="shared" si="54"/>
        <v>12</v>
      </c>
      <c r="V251" s="2"/>
      <c r="AB251" s="27" t="s">
        <v>232</v>
      </c>
      <c r="AC251" s="27" t="s">
        <v>335</v>
      </c>
      <c r="AD251" s="27">
        <v>7</v>
      </c>
      <c r="AE251" s="27" t="s">
        <v>55</v>
      </c>
      <c r="AF251" s="27" t="s">
        <v>55</v>
      </c>
      <c r="AG251" s="27" t="s">
        <v>55</v>
      </c>
      <c r="AH251" s="27" t="s">
        <v>55</v>
      </c>
      <c r="AI251" s="27" t="s">
        <v>55</v>
      </c>
      <c r="AJ251" s="27" t="s">
        <v>55</v>
      </c>
      <c r="AK251" s="27" t="s">
        <v>55</v>
      </c>
      <c r="AL251" s="27" t="s">
        <v>55</v>
      </c>
      <c r="AM251" s="27" t="s">
        <v>55</v>
      </c>
      <c r="AN251" s="27" t="s">
        <v>55</v>
      </c>
      <c r="AO251" s="27" t="s">
        <v>55</v>
      </c>
      <c r="AP251" s="27" t="s">
        <v>55</v>
      </c>
      <c r="AQ251" s="27" t="s">
        <v>55</v>
      </c>
      <c r="AR251" s="27" t="s">
        <v>55</v>
      </c>
      <c r="AS251" s="27" t="s">
        <v>55</v>
      </c>
    </row>
    <row r="252" spans="1:61" ht="60" customHeight="1" x14ac:dyDescent="0.5">
      <c r="E252" s="44"/>
      <c r="F252" s="44"/>
      <c r="G252" s="44"/>
      <c r="H252" s="44"/>
      <c r="P252" s="2">
        <v>2.5</v>
      </c>
      <c r="Q252" s="2"/>
      <c r="R252" s="3">
        <v>45947</v>
      </c>
      <c r="S252" s="61">
        <v>45947.513888888891</v>
      </c>
      <c r="T252" s="2"/>
      <c r="U252" s="2">
        <f t="shared" si="54"/>
        <v>15</v>
      </c>
      <c r="V252" s="2"/>
      <c r="AB252" s="27" t="s">
        <v>267</v>
      </c>
      <c r="AC252" s="27" t="s">
        <v>384</v>
      </c>
      <c r="AD252" s="27">
        <v>7</v>
      </c>
      <c r="AE252" s="27" t="s">
        <v>55</v>
      </c>
      <c r="AF252" s="27" t="s">
        <v>55</v>
      </c>
      <c r="AG252" s="27" t="s">
        <v>55</v>
      </c>
      <c r="AH252" s="27" t="s">
        <v>55</v>
      </c>
      <c r="AI252" s="27" t="s">
        <v>55</v>
      </c>
      <c r="AJ252" s="27" t="s">
        <v>55</v>
      </c>
      <c r="AK252" s="27" t="s">
        <v>55</v>
      </c>
      <c r="AL252" s="27" t="s">
        <v>55</v>
      </c>
      <c r="AM252" s="27" t="s">
        <v>55</v>
      </c>
      <c r="AN252" s="27" t="s">
        <v>55</v>
      </c>
      <c r="AO252" s="27" t="s">
        <v>55</v>
      </c>
      <c r="AP252" s="27" t="s">
        <v>55</v>
      </c>
      <c r="AQ252" s="27" t="s">
        <v>55</v>
      </c>
      <c r="AR252" s="27" t="s">
        <v>55</v>
      </c>
      <c r="AS252" s="27" t="s">
        <v>55</v>
      </c>
    </row>
    <row r="253" spans="1:61" ht="60" customHeight="1" x14ac:dyDescent="0.5">
      <c r="E253" s="44"/>
      <c r="F253" s="44"/>
      <c r="G253" s="44"/>
      <c r="H253" s="44"/>
      <c r="P253" s="2">
        <v>2.5</v>
      </c>
      <c r="R253" s="3">
        <v>45951</v>
      </c>
      <c r="S253" s="61">
        <v>45951.724305555559</v>
      </c>
      <c r="T253" s="2">
        <f>S253-S252</f>
        <v>4.2104166666686069</v>
      </c>
      <c r="U253" s="2">
        <f t="shared" si="54"/>
        <v>19</v>
      </c>
      <c r="V253" s="2"/>
      <c r="AB253" s="27" t="s">
        <v>420</v>
      </c>
      <c r="AC253" s="27" t="s">
        <v>419</v>
      </c>
      <c r="AD253" s="27">
        <v>7</v>
      </c>
      <c r="AE253" s="62">
        <f>$S$252+($T$253/2)</f>
        <v>45949.619097222225</v>
      </c>
      <c r="AF253" s="27">
        <f>$U$252+($T$253/2)</f>
        <v>17.105208333334303</v>
      </c>
      <c r="AG253" s="27" t="s">
        <v>55</v>
      </c>
      <c r="AH253" s="27" t="s">
        <v>55</v>
      </c>
      <c r="AI253" s="27" t="s">
        <v>55</v>
      </c>
      <c r="AJ253" s="27" t="s">
        <v>55</v>
      </c>
      <c r="AK253" s="27" t="s">
        <v>55</v>
      </c>
      <c r="AL253" s="27" t="s">
        <v>55</v>
      </c>
      <c r="AM253" s="27" t="s">
        <v>55</v>
      </c>
      <c r="AN253" s="27" t="s">
        <v>55</v>
      </c>
      <c r="AO253" s="27" t="s">
        <v>55</v>
      </c>
      <c r="AP253" s="27" t="s">
        <v>55</v>
      </c>
      <c r="AQ253" s="27" t="s">
        <v>55</v>
      </c>
      <c r="AR253" s="27" t="s">
        <v>55</v>
      </c>
      <c r="AS253" s="27" t="s">
        <v>55</v>
      </c>
    </row>
    <row r="254" spans="1:61" ht="60" customHeight="1" x14ac:dyDescent="0.5">
      <c r="E254" s="44"/>
      <c r="F254" s="44"/>
      <c r="G254" s="44"/>
      <c r="H254" s="44"/>
      <c r="P254" s="2">
        <v>2.75</v>
      </c>
      <c r="Q254" s="2"/>
      <c r="R254" s="3">
        <v>45954</v>
      </c>
      <c r="S254" s="58">
        <v>0.7104166666666667</v>
      </c>
      <c r="T254" s="2"/>
      <c r="U254" s="2">
        <f t="shared" si="54"/>
        <v>22</v>
      </c>
      <c r="V254" s="2"/>
      <c r="W254" s="27"/>
      <c r="X254" s="27"/>
      <c r="Y254" s="27"/>
      <c r="Z254" s="27"/>
      <c r="AA254" s="27"/>
      <c r="AB254" s="27" t="s">
        <v>435</v>
      </c>
      <c r="AC254" s="27" t="s">
        <v>452</v>
      </c>
      <c r="AD254" s="27">
        <v>7</v>
      </c>
      <c r="AE254" s="62">
        <f t="shared" ref="AE254:AE255" si="55">$S$252+($T$253/2)</f>
        <v>45949.619097222225</v>
      </c>
      <c r="AF254" s="27">
        <f t="shared" ref="AF254:AF255" si="56">$U$252+($T$253/2)</f>
        <v>17.105208333334303</v>
      </c>
      <c r="AG254" s="27" t="s">
        <v>55</v>
      </c>
      <c r="AH254" s="27" t="s">
        <v>55</v>
      </c>
      <c r="AI254" s="27" t="s">
        <v>55</v>
      </c>
      <c r="AJ254" s="27" t="s">
        <v>55</v>
      </c>
      <c r="AK254" s="27" t="s">
        <v>55</v>
      </c>
      <c r="AL254" s="27" t="s">
        <v>55</v>
      </c>
      <c r="AM254" s="27" t="s">
        <v>55</v>
      </c>
      <c r="AN254" s="27" t="s">
        <v>55</v>
      </c>
      <c r="AO254" s="27" t="s">
        <v>55</v>
      </c>
      <c r="AP254" s="27" t="s">
        <v>55</v>
      </c>
      <c r="AQ254" s="27" t="s">
        <v>55</v>
      </c>
      <c r="AR254" s="27" t="s">
        <v>55</v>
      </c>
      <c r="AS254" s="27" t="s">
        <v>55</v>
      </c>
    </row>
    <row r="255" spans="1:61" ht="60" customHeight="1" x14ac:dyDescent="0.5">
      <c r="E255" s="44"/>
      <c r="F255" s="44"/>
      <c r="G255" s="44"/>
      <c r="H255" s="44"/>
      <c r="P255" s="2">
        <v>2.75</v>
      </c>
      <c r="Q255" s="2"/>
      <c r="R255" s="3">
        <v>45958</v>
      </c>
      <c r="S255" s="58">
        <v>0.74583333333333335</v>
      </c>
      <c r="T255" s="2"/>
      <c r="U255" s="2">
        <f t="shared" si="54"/>
        <v>26</v>
      </c>
      <c r="V255" s="2"/>
      <c r="W255" s="27"/>
      <c r="X255" s="27"/>
      <c r="Y255" s="27"/>
      <c r="Z255" s="27"/>
      <c r="AA255" s="27"/>
      <c r="AB255" s="27" t="s">
        <v>98</v>
      </c>
      <c r="AC255" s="27" t="s">
        <v>458</v>
      </c>
      <c r="AD255" s="27">
        <v>7</v>
      </c>
      <c r="AE255" s="62">
        <f t="shared" si="55"/>
        <v>45949.619097222225</v>
      </c>
      <c r="AF255" s="27">
        <f t="shared" si="56"/>
        <v>17.105208333334303</v>
      </c>
      <c r="AG255" s="37" t="s">
        <v>457</v>
      </c>
      <c r="AH255" s="27" t="s">
        <v>55</v>
      </c>
      <c r="AI255" s="27" t="s">
        <v>55</v>
      </c>
      <c r="AJ255" s="27" t="s">
        <v>55</v>
      </c>
      <c r="AK255" s="27" t="s">
        <v>55</v>
      </c>
      <c r="AL255" s="27" t="s">
        <v>55</v>
      </c>
      <c r="AM255" s="27" t="s">
        <v>55</v>
      </c>
      <c r="AN255" s="37">
        <v>61.59</v>
      </c>
      <c r="AO255" s="37">
        <v>0</v>
      </c>
      <c r="AP255" s="37">
        <f>AN255-AO255</f>
        <v>61.59</v>
      </c>
      <c r="AQ255" s="37">
        <v>53.24</v>
      </c>
      <c r="AR255" s="37">
        <v>0</v>
      </c>
      <c r="AS255" s="37">
        <f>AQ255-AR255</f>
        <v>53.24</v>
      </c>
      <c r="BI255" s="2" t="s">
        <v>584</v>
      </c>
    </row>
    <row r="256" spans="1:61" ht="60" customHeight="1" x14ac:dyDescent="0.5">
      <c r="E256" s="44"/>
      <c r="F256" s="44"/>
      <c r="G256" s="44"/>
      <c r="H256" s="44"/>
      <c r="P256" s="2"/>
      <c r="R256" s="3"/>
      <c r="S256" s="58"/>
      <c r="U256" s="2"/>
      <c r="V256" s="2"/>
    </row>
    <row r="257" spans="1:61" ht="60" customHeight="1" x14ac:dyDescent="0.5">
      <c r="E257" s="44"/>
      <c r="F257" s="44"/>
      <c r="G257" s="44"/>
      <c r="H257" s="44"/>
    </row>
    <row r="258" spans="1:61" ht="60" customHeight="1" x14ac:dyDescent="0.35">
      <c r="A258" s="32">
        <v>20</v>
      </c>
      <c r="B258" s="57" t="s">
        <v>262</v>
      </c>
      <c r="C258" s="3">
        <v>45283</v>
      </c>
      <c r="D258" s="3">
        <v>45932</v>
      </c>
      <c r="E258" s="44">
        <f t="shared" si="44"/>
        <v>649</v>
      </c>
      <c r="F258" s="44">
        <f>E258/30</f>
        <v>21.633333333333333</v>
      </c>
      <c r="G258" s="44">
        <f t="shared" si="45"/>
        <v>1.7780821917808218</v>
      </c>
      <c r="H258" s="44">
        <f t="shared" si="46"/>
        <v>1.9541666666666666</v>
      </c>
      <c r="P258" s="2">
        <v>2.75</v>
      </c>
      <c r="Q258" s="2" t="s">
        <v>431</v>
      </c>
      <c r="R258" s="3">
        <v>45939</v>
      </c>
      <c r="S258" s="63">
        <v>0.35416666666666669</v>
      </c>
      <c r="T258" s="3"/>
      <c r="U258" s="2">
        <f>R258-$D$258</f>
        <v>7</v>
      </c>
      <c r="V258" s="17">
        <f>R263-D258</f>
        <v>26</v>
      </c>
      <c r="AB258" s="27" t="s">
        <v>55</v>
      </c>
      <c r="AC258" s="27" t="s">
        <v>55</v>
      </c>
      <c r="AD258" s="27" t="s">
        <v>55</v>
      </c>
      <c r="AE258" s="27" t="s">
        <v>55</v>
      </c>
      <c r="AF258" s="27" t="s">
        <v>55</v>
      </c>
      <c r="AG258" s="27" t="s">
        <v>55</v>
      </c>
      <c r="AH258" s="27" t="s">
        <v>55</v>
      </c>
      <c r="AI258" s="27" t="s">
        <v>55</v>
      </c>
      <c r="AJ258" s="27" t="s">
        <v>55</v>
      </c>
      <c r="AK258" s="27" t="s">
        <v>55</v>
      </c>
      <c r="AL258" s="27" t="s">
        <v>55</v>
      </c>
      <c r="AM258" s="27" t="s">
        <v>55</v>
      </c>
      <c r="AN258" s="27" t="s">
        <v>55</v>
      </c>
      <c r="AO258" s="27" t="s">
        <v>55</v>
      </c>
      <c r="AP258" s="27" t="s">
        <v>55</v>
      </c>
      <c r="AQ258" s="27" t="s">
        <v>55</v>
      </c>
      <c r="AR258" s="27" t="s">
        <v>55</v>
      </c>
      <c r="AS258" s="27" t="s">
        <v>55</v>
      </c>
      <c r="BI258" s="2" t="s">
        <v>326</v>
      </c>
    </row>
    <row r="259" spans="1:61" ht="60" customHeight="1" x14ac:dyDescent="0.5">
      <c r="E259" s="44"/>
      <c r="F259" s="44"/>
      <c r="G259" s="44"/>
      <c r="H259" s="44"/>
      <c r="P259" s="2">
        <v>2.75</v>
      </c>
      <c r="R259" s="3">
        <v>45944</v>
      </c>
      <c r="S259" s="58">
        <v>0.66319444444444442</v>
      </c>
      <c r="T259" s="3"/>
      <c r="U259" s="2">
        <f t="shared" ref="U259:U264" si="57">R259-$D$258</f>
        <v>12</v>
      </c>
      <c r="V259" s="2"/>
      <c r="AB259" s="27" t="s">
        <v>55</v>
      </c>
      <c r="AC259" s="27" t="s">
        <v>55</v>
      </c>
      <c r="AD259" s="27" t="s">
        <v>55</v>
      </c>
      <c r="AE259" s="27" t="s">
        <v>55</v>
      </c>
      <c r="AF259" s="27" t="s">
        <v>55</v>
      </c>
      <c r="AG259" s="27" t="s">
        <v>55</v>
      </c>
      <c r="AH259" s="27" t="s">
        <v>55</v>
      </c>
      <c r="AI259" s="27" t="s">
        <v>55</v>
      </c>
      <c r="AJ259" s="27" t="s">
        <v>55</v>
      </c>
      <c r="AK259" s="27" t="s">
        <v>55</v>
      </c>
      <c r="AL259" s="27" t="s">
        <v>55</v>
      </c>
      <c r="AM259" s="27" t="s">
        <v>55</v>
      </c>
      <c r="AN259" s="27" t="s">
        <v>55</v>
      </c>
      <c r="AO259" s="27" t="s">
        <v>55</v>
      </c>
      <c r="AP259" s="27" t="s">
        <v>55</v>
      </c>
      <c r="AQ259" s="27" t="s">
        <v>55</v>
      </c>
      <c r="AR259" s="27" t="s">
        <v>55</v>
      </c>
      <c r="AS259" s="27" t="s">
        <v>55</v>
      </c>
    </row>
    <row r="260" spans="1:61" ht="60" customHeight="1" x14ac:dyDescent="0.5">
      <c r="E260" s="44"/>
      <c r="F260" s="44"/>
      <c r="G260" s="44"/>
      <c r="H260" s="44"/>
      <c r="P260" s="2">
        <v>2.75</v>
      </c>
      <c r="R260" s="3">
        <v>45947</v>
      </c>
      <c r="S260" s="58">
        <v>0.49166666666666664</v>
      </c>
      <c r="T260" s="2"/>
      <c r="U260" s="2">
        <f t="shared" si="57"/>
        <v>15</v>
      </c>
      <c r="V260" s="2"/>
      <c r="AB260" s="27" t="s">
        <v>374</v>
      </c>
      <c r="AC260" s="27" t="s">
        <v>85</v>
      </c>
      <c r="AD260" s="27">
        <v>15</v>
      </c>
      <c r="AE260" s="27" t="s">
        <v>55</v>
      </c>
      <c r="AF260" s="27" t="s">
        <v>55</v>
      </c>
      <c r="AG260" s="27" t="s">
        <v>55</v>
      </c>
      <c r="AH260" s="27" t="s">
        <v>55</v>
      </c>
      <c r="AI260" s="27" t="s">
        <v>55</v>
      </c>
      <c r="AJ260" s="27" t="s">
        <v>55</v>
      </c>
      <c r="AK260" s="27" t="s">
        <v>55</v>
      </c>
      <c r="AL260" s="27" t="s">
        <v>55</v>
      </c>
      <c r="AM260" s="27" t="s">
        <v>55</v>
      </c>
      <c r="AN260" s="27" t="s">
        <v>55</v>
      </c>
      <c r="AO260" s="27" t="s">
        <v>55</v>
      </c>
      <c r="AP260" s="27" t="s">
        <v>55</v>
      </c>
      <c r="AQ260" s="27" t="s">
        <v>55</v>
      </c>
      <c r="AR260" s="27" t="s">
        <v>55</v>
      </c>
      <c r="AS260" s="27" t="s">
        <v>55</v>
      </c>
      <c r="BI260" s="2" t="s">
        <v>373</v>
      </c>
    </row>
    <row r="261" spans="1:61" ht="60" customHeight="1" x14ac:dyDescent="0.5">
      <c r="E261" s="44"/>
      <c r="F261" s="44"/>
      <c r="G261" s="44"/>
      <c r="H261" s="44"/>
      <c r="P261" s="2">
        <v>2.75</v>
      </c>
      <c r="R261" s="3">
        <v>45951</v>
      </c>
      <c r="S261" s="58">
        <v>0.72847222222222219</v>
      </c>
      <c r="U261" s="2">
        <f t="shared" si="57"/>
        <v>19</v>
      </c>
      <c r="V261" s="2"/>
      <c r="AB261" s="27" t="s">
        <v>422</v>
      </c>
      <c r="AC261" s="27" t="s">
        <v>134</v>
      </c>
      <c r="AD261" s="27">
        <v>15</v>
      </c>
      <c r="AE261" s="27" t="s">
        <v>55</v>
      </c>
      <c r="AF261" s="27" t="s">
        <v>55</v>
      </c>
      <c r="AG261" s="27" t="s">
        <v>55</v>
      </c>
      <c r="AH261" s="27" t="s">
        <v>55</v>
      </c>
      <c r="AI261" s="27" t="s">
        <v>55</v>
      </c>
      <c r="AJ261" s="27" t="s">
        <v>55</v>
      </c>
      <c r="AK261" s="27" t="s">
        <v>55</v>
      </c>
      <c r="AL261" s="27" t="s">
        <v>55</v>
      </c>
      <c r="AM261" s="27" t="s">
        <v>55</v>
      </c>
      <c r="AN261" s="27" t="s">
        <v>55</v>
      </c>
      <c r="AO261" s="27" t="s">
        <v>55</v>
      </c>
      <c r="AP261" s="27" t="s">
        <v>55</v>
      </c>
      <c r="AQ261" s="27" t="s">
        <v>55</v>
      </c>
      <c r="AR261" s="27" t="s">
        <v>55</v>
      </c>
      <c r="AS261" s="27" t="s">
        <v>55</v>
      </c>
    </row>
    <row r="262" spans="1:61" ht="60" customHeight="1" x14ac:dyDescent="0.5">
      <c r="E262" s="44"/>
      <c r="F262" s="44"/>
      <c r="G262" s="44"/>
      <c r="H262" s="44"/>
      <c r="P262" s="2">
        <v>2.75</v>
      </c>
      <c r="Q262" s="2"/>
      <c r="R262" s="3">
        <v>45954</v>
      </c>
      <c r="S262" s="61">
        <v>45954.71597222222</v>
      </c>
      <c r="T262" s="2"/>
      <c r="U262" s="2">
        <f t="shared" si="57"/>
        <v>22</v>
      </c>
      <c r="V262" s="2"/>
      <c r="W262" s="27"/>
      <c r="X262" s="27"/>
      <c r="Y262" s="27"/>
      <c r="Z262" s="27"/>
      <c r="AA262" s="27"/>
      <c r="AB262" s="27" t="s">
        <v>352</v>
      </c>
      <c r="AC262" s="27" t="s">
        <v>131</v>
      </c>
      <c r="AD262" s="27">
        <v>15</v>
      </c>
      <c r="AE262" s="27" t="s">
        <v>55</v>
      </c>
      <c r="AF262" s="27" t="s">
        <v>55</v>
      </c>
      <c r="AG262" s="27" t="s">
        <v>55</v>
      </c>
      <c r="AH262" s="27" t="s">
        <v>55</v>
      </c>
      <c r="AI262" s="27" t="s">
        <v>55</v>
      </c>
      <c r="AJ262" s="27" t="s">
        <v>55</v>
      </c>
      <c r="AK262" s="27" t="s">
        <v>55</v>
      </c>
      <c r="AL262" s="27" t="s">
        <v>55</v>
      </c>
      <c r="AM262" s="27" t="s">
        <v>55</v>
      </c>
      <c r="AN262" s="27" t="s">
        <v>55</v>
      </c>
      <c r="AO262" s="27" t="s">
        <v>55</v>
      </c>
      <c r="AP262" s="27" t="s">
        <v>55</v>
      </c>
      <c r="AQ262" s="27" t="s">
        <v>55</v>
      </c>
      <c r="AR262" s="27" t="s">
        <v>55</v>
      </c>
      <c r="AS262" s="27" t="s">
        <v>55</v>
      </c>
      <c r="AT262" s="2"/>
      <c r="AU262" s="2"/>
      <c r="AV262" s="2"/>
      <c r="AW262" s="2"/>
    </row>
    <row r="263" spans="1:61" ht="60" customHeight="1" x14ac:dyDescent="0.5">
      <c r="E263" s="44"/>
      <c r="F263" s="44"/>
      <c r="G263" s="44"/>
      <c r="H263" s="44"/>
      <c r="P263" s="2">
        <v>2.75</v>
      </c>
      <c r="Q263" s="2"/>
      <c r="R263" s="3">
        <v>45958</v>
      </c>
      <c r="S263" s="61">
        <v>45958.760416666664</v>
      </c>
      <c r="T263" s="2">
        <f>S263-S262</f>
        <v>4.0444444444437977</v>
      </c>
      <c r="U263" s="2">
        <f t="shared" si="57"/>
        <v>26</v>
      </c>
      <c r="V263" s="2"/>
      <c r="AB263" s="27" t="s">
        <v>465</v>
      </c>
      <c r="AC263" s="27" t="s">
        <v>111</v>
      </c>
      <c r="AD263" s="27">
        <v>15</v>
      </c>
      <c r="AE263" s="62">
        <f>$S$262+($T$263/2)</f>
        <v>45956.738194444442</v>
      </c>
      <c r="AF263" s="27">
        <f>$U$262+($T$263/2)</f>
        <v>24.022222222221899</v>
      </c>
      <c r="AG263" s="27" t="s">
        <v>55</v>
      </c>
      <c r="AH263" s="27" t="s">
        <v>55</v>
      </c>
      <c r="AI263" s="27" t="s">
        <v>55</v>
      </c>
      <c r="AJ263" s="27" t="s">
        <v>55</v>
      </c>
      <c r="AK263" s="27" t="s">
        <v>55</v>
      </c>
      <c r="AL263" s="27" t="s">
        <v>55</v>
      </c>
      <c r="AM263" s="27" t="s">
        <v>55</v>
      </c>
      <c r="AN263" s="27" t="s">
        <v>55</v>
      </c>
      <c r="AO263" s="27" t="s">
        <v>55</v>
      </c>
      <c r="AP263" s="27" t="s">
        <v>55</v>
      </c>
      <c r="AQ263" s="27" t="s">
        <v>55</v>
      </c>
      <c r="AR263" s="27" t="s">
        <v>55</v>
      </c>
      <c r="AS263" s="27" t="s">
        <v>55</v>
      </c>
    </row>
    <row r="264" spans="1:61" ht="60" customHeight="1" x14ac:dyDescent="0.5">
      <c r="E264" s="44"/>
      <c r="F264" s="44"/>
      <c r="G264" s="44"/>
      <c r="H264" s="44"/>
      <c r="P264" s="2">
        <v>2.75</v>
      </c>
      <c r="Q264" s="2"/>
      <c r="R264" s="3">
        <v>45961</v>
      </c>
      <c r="S264" s="58">
        <v>0.74930555555555556</v>
      </c>
      <c r="T264" s="2"/>
      <c r="U264" s="2">
        <f t="shared" si="57"/>
        <v>29</v>
      </c>
      <c r="V264" s="2"/>
      <c r="AB264" s="37" t="s">
        <v>538</v>
      </c>
      <c r="AC264" s="27" t="s">
        <v>139</v>
      </c>
      <c r="AD264" s="27">
        <v>15</v>
      </c>
      <c r="AE264" s="62">
        <f>$S$262+($T$263/2)</f>
        <v>45956.738194444442</v>
      </c>
      <c r="AF264" s="27">
        <f>$U$262+($T$263/2)</f>
        <v>24.022222222221899</v>
      </c>
      <c r="AG264" s="37" t="s">
        <v>537</v>
      </c>
      <c r="AH264" s="27">
        <v>50.1</v>
      </c>
      <c r="AI264" s="27">
        <v>11.67</v>
      </c>
      <c r="AJ264" s="27">
        <f>AH264-AI264</f>
        <v>38.43</v>
      </c>
      <c r="AK264" s="27" t="s">
        <v>55</v>
      </c>
      <c r="AL264" s="27" t="s">
        <v>55</v>
      </c>
      <c r="AM264" s="27" t="s">
        <v>55</v>
      </c>
      <c r="AN264" s="27" t="s">
        <v>55</v>
      </c>
      <c r="AO264" s="27" t="s">
        <v>55</v>
      </c>
      <c r="AP264" s="27" t="s">
        <v>55</v>
      </c>
      <c r="AQ264" s="27" t="s">
        <v>55</v>
      </c>
      <c r="AR264" s="27" t="s">
        <v>55</v>
      </c>
      <c r="AS264" s="27" t="s">
        <v>55</v>
      </c>
    </row>
    <row r="265" spans="1:61" ht="60" customHeight="1" x14ac:dyDescent="0.5">
      <c r="E265" s="44"/>
      <c r="F265" s="44"/>
      <c r="G265" s="44"/>
      <c r="H265" s="44"/>
    </row>
    <row r="266" spans="1:61" ht="60" customHeight="1" x14ac:dyDescent="0.35">
      <c r="A266" s="32">
        <v>21</v>
      </c>
      <c r="B266" s="57" t="s">
        <v>261</v>
      </c>
      <c r="C266" s="3">
        <v>43363</v>
      </c>
      <c r="D266" s="3">
        <v>45932</v>
      </c>
      <c r="E266" s="44">
        <f t="shared" si="44"/>
        <v>2569</v>
      </c>
      <c r="F266" s="44">
        <f>E266/30</f>
        <v>85.63333333333334</v>
      </c>
      <c r="G266" s="44">
        <f t="shared" si="45"/>
        <v>7.0383561643835613</v>
      </c>
      <c r="H266" s="44">
        <f t="shared" si="46"/>
        <v>9.9541666666666675</v>
      </c>
      <c r="P266" s="2">
        <v>3.25</v>
      </c>
      <c r="R266" s="3">
        <v>45936</v>
      </c>
      <c r="S266" s="58">
        <v>0.67500000000000004</v>
      </c>
      <c r="T266" s="3"/>
      <c r="U266" s="2">
        <f t="shared" ref="U266:U276" si="58">R266-$D$266</f>
        <v>4</v>
      </c>
      <c r="V266" s="17">
        <f>R273-D266</f>
        <v>29</v>
      </c>
      <c r="AB266" s="27" t="s">
        <v>55</v>
      </c>
      <c r="AC266" s="27" t="s">
        <v>55</v>
      </c>
      <c r="AD266" s="27" t="s">
        <v>55</v>
      </c>
      <c r="AE266" s="27" t="s">
        <v>55</v>
      </c>
      <c r="AF266" s="27" t="s">
        <v>55</v>
      </c>
      <c r="AG266" s="27" t="s">
        <v>55</v>
      </c>
      <c r="AH266" s="27" t="s">
        <v>55</v>
      </c>
      <c r="AI266" s="27" t="s">
        <v>55</v>
      </c>
      <c r="AJ266" s="27" t="s">
        <v>55</v>
      </c>
      <c r="AK266" s="27" t="s">
        <v>55</v>
      </c>
      <c r="AL266" s="27" t="s">
        <v>55</v>
      </c>
      <c r="AM266" s="27" t="s">
        <v>55</v>
      </c>
      <c r="AN266" s="27" t="s">
        <v>55</v>
      </c>
      <c r="AO266" s="27" t="s">
        <v>55</v>
      </c>
      <c r="AP266" s="27" t="s">
        <v>55</v>
      </c>
      <c r="AQ266" s="27" t="s">
        <v>55</v>
      </c>
      <c r="AR266" s="27" t="s">
        <v>55</v>
      </c>
      <c r="AS266" s="27" t="s">
        <v>55</v>
      </c>
    </row>
    <row r="267" spans="1:61" ht="60" customHeight="1" x14ac:dyDescent="0.5">
      <c r="B267" s="20"/>
      <c r="E267" s="44"/>
      <c r="F267" s="44"/>
      <c r="G267" s="44"/>
      <c r="H267" s="44"/>
      <c r="P267" s="2">
        <v>3.25</v>
      </c>
      <c r="Q267" s="2" t="s">
        <v>431</v>
      </c>
      <c r="R267" s="3">
        <v>45939</v>
      </c>
      <c r="S267" s="63">
        <v>0.35416666666666669</v>
      </c>
      <c r="T267" s="3"/>
      <c r="U267" s="2">
        <f t="shared" si="58"/>
        <v>7</v>
      </c>
      <c r="V267" s="2"/>
      <c r="AB267" s="27" t="s">
        <v>55</v>
      </c>
      <c r="AC267" s="27" t="s">
        <v>55</v>
      </c>
      <c r="AD267" s="27" t="s">
        <v>55</v>
      </c>
      <c r="AE267" s="27" t="s">
        <v>55</v>
      </c>
      <c r="AF267" s="27" t="s">
        <v>55</v>
      </c>
      <c r="AG267" s="27" t="s">
        <v>55</v>
      </c>
      <c r="AH267" s="27" t="s">
        <v>55</v>
      </c>
      <c r="AI267" s="27" t="s">
        <v>55</v>
      </c>
      <c r="AJ267" s="27" t="s">
        <v>55</v>
      </c>
      <c r="AK267" s="27" t="s">
        <v>55</v>
      </c>
      <c r="AL267" s="27" t="s">
        <v>55</v>
      </c>
      <c r="AM267" s="27" t="s">
        <v>55</v>
      </c>
      <c r="AN267" s="27" t="s">
        <v>55</v>
      </c>
      <c r="AO267" s="27" t="s">
        <v>55</v>
      </c>
      <c r="AP267" s="27" t="s">
        <v>55</v>
      </c>
      <c r="AQ267" s="27" t="s">
        <v>55</v>
      </c>
      <c r="AR267" s="27" t="s">
        <v>55</v>
      </c>
      <c r="AS267" s="27" t="s">
        <v>55</v>
      </c>
    </row>
    <row r="268" spans="1:61" ht="60" customHeight="1" x14ac:dyDescent="0.5">
      <c r="E268" s="44"/>
      <c r="F268" s="44"/>
      <c r="G268" s="44"/>
      <c r="H268" s="44"/>
      <c r="P268" s="2">
        <v>3.25</v>
      </c>
      <c r="R268" s="3">
        <v>45944</v>
      </c>
      <c r="S268" s="58">
        <v>0.66319444444444442</v>
      </c>
      <c r="T268" s="3"/>
      <c r="U268" s="2">
        <f t="shared" si="58"/>
        <v>12</v>
      </c>
      <c r="V268" s="2"/>
      <c r="AB268" s="27" t="s">
        <v>55</v>
      </c>
      <c r="AC268" s="27" t="s">
        <v>55</v>
      </c>
      <c r="AD268" s="27" t="s">
        <v>55</v>
      </c>
      <c r="AE268" s="27" t="s">
        <v>55</v>
      </c>
      <c r="AF268" s="27" t="s">
        <v>55</v>
      </c>
      <c r="AG268" s="27" t="s">
        <v>55</v>
      </c>
      <c r="AH268" s="27" t="s">
        <v>55</v>
      </c>
      <c r="AI268" s="27" t="s">
        <v>55</v>
      </c>
      <c r="AJ268" s="27" t="s">
        <v>55</v>
      </c>
      <c r="AK268" s="27" t="s">
        <v>55</v>
      </c>
      <c r="AL268" s="27" t="s">
        <v>55</v>
      </c>
      <c r="AM268" s="27" t="s">
        <v>55</v>
      </c>
      <c r="AN268" s="27" t="s">
        <v>55</v>
      </c>
      <c r="AO268" s="27" t="s">
        <v>55</v>
      </c>
      <c r="AP268" s="27" t="s">
        <v>55</v>
      </c>
      <c r="AQ268" s="27" t="s">
        <v>55</v>
      </c>
      <c r="AR268" s="27" t="s">
        <v>55</v>
      </c>
      <c r="AS268" s="27" t="s">
        <v>55</v>
      </c>
    </row>
    <row r="269" spans="1:61" ht="60" customHeight="1" x14ac:dyDescent="0.5">
      <c r="E269" s="44"/>
      <c r="F269" s="44"/>
      <c r="G269" s="44"/>
      <c r="H269" s="44"/>
      <c r="P269" s="2">
        <v>3.25</v>
      </c>
      <c r="R269" s="3">
        <v>45947</v>
      </c>
      <c r="S269" s="58">
        <v>0.49166666666666664</v>
      </c>
      <c r="U269" s="2">
        <f t="shared" si="58"/>
        <v>15</v>
      </c>
      <c r="V269" s="2"/>
      <c r="AB269" s="27" t="s">
        <v>55</v>
      </c>
      <c r="AC269" s="27" t="s">
        <v>55</v>
      </c>
      <c r="AD269" s="27" t="s">
        <v>55</v>
      </c>
      <c r="AE269" s="27" t="s">
        <v>55</v>
      </c>
      <c r="AF269" s="27" t="s">
        <v>55</v>
      </c>
      <c r="AG269" s="27" t="s">
        <v>55</v>
      </c>
      <c r="AH269" s="27" t="s">
        <v>55</v>
      </c>
      <c r="AI269" s="27" t="s">
        <v>55</v>
      </c>
      <c r="AJ269" s="27" t="s">
        <v>55</v>
      </c>
      <c r="AK269" s="27" t="s">
        <v>55</v>
      </c>
      <c r="AL269" s="27" t="s">
        <v>55</v>
      </c>
      <c r="AM269" s="27" t="s">
        <v>55</v>
      </c>
      <c r="AN269" s="27" t="s">
        <v>55</v>
      </c>
      <c r="AO269" s="27" t="s">
        <v>55</v>
      </c>
      <c r="AP269" s="27" t="s">
        <v>55</v>
      </c>
      <c r="AQ269" s="27" t="s">
        <v>55</v>
      </c>
      <c r="AR269" s="27" t="s">
        <v>55</v>
      </c>
      <c r="AS269" s="27" t="s">
        <v>55</v>
      </c>
      <c r="BI269" s="2" t="s">
        <v>118</v>
      </c>
    </row>
    <row r="270" spans="1:61" ht="60" customHeight="1" x14ac:dyDescent="0.5">
      <c r="E270" s="44"/>
      <c r="F270" s="44"/>
      <c r="G270" s="44"/>
      <c r="H270" s="44"/>
      <c r="P270" s="2">
        <v>3</v>
      </c>
      <c r="R270" s="3">
        <v>45951</v>
      </c>
      <c r="S270" s="58">
        <v>0.68402777777777779</v>
      </c>
      <c r="U270" s="2">
        <f t="shared" si="58"/>
        <v>19</v>
      </c>
      <c r="V270" s="2"/>
      <c r="AB270" s="27" t="s">
        <v>403</v>
      </c>
      <c r="AC270" s="27" t="s">
        <v>300</v>
      </c>
      <c r="AD270" s="27">
        <v>19</v>
      </c>
      <c r="AE270" s="27" t="s">
        <v>55</v>
      </c>
      <c r="AF270" s="27" t="s">
        <v>55</v>
      </c>
      <c r="AG270" s="27" t="s">
        <v>55</v>
      </c>
      <c r="AH270" s="27" t="s">
        <v>55</v>
      </c>
      <c r="AI270" s="27" t="s">
        <v>55</v>
      </c>
      <c r="AJ270" s="27" t="s">
        <v>55</v>
      </c>
      <c r="AK270" s="27" t="s">
        <v>55</v>
      </c>
      <c r="AL270" s="27" t="s">
        <v>55</v>
      </c>
      <c r="AM270" s="27" t="s">
        <v>55</v>
      </c>
      <c r="AN270" s="27" t="s">
        <v>55</v>
      </c>
      <c r="AO270" s="27" t="s">
        <v>55</v>
      </c>
      <c r="AP270" s="27" t="s">
        <v>55</v>
      </c>
      <c r="AQ270" s="27" t="s">
        <v>55</v>
      </c>
      <c r="AR270" s="27" t="s">
        <v>55</v>
      </c>
      <c r="AS270" s="27" t="s">
        <v>55</v>
      </c>
    </row>
    <row r="271" spans="1:61" ht="60" customHeight="1" x14ac:dyDescent="0.5">
      <c r="E271" s="44"/>
      <c r="F271" s="44"/>
      <c r="G271" s="44"/>
      <c r="H271" s="44"/>
      <c r="P271" s="2">
        <v>3</v>
      </c>
      <c r="Q271" s="108" t="s">
        <v>541</v>
      </c>
      <c r="R271" s="3">
        <v>45954</v>
      </c>
      <c r="S271" s="58">
        <v>0.68263888888888891</v>
      </c>
      <c r="T271" s="2"/>
      <c r="U271" s="2">
        <f t="shared" si="58"/>
        <v>22</v>
      </c>
      <c r="V271" s="2"/>
      <c r="Z271" s="27"/>
      <c r="AA271" s="27"/>
      <c r="AB271" s="27" t="s">
        <v>438</v>
      </c>
      <c r="AC271" s="37" t="s">
        <v>439</v>
      </c>
      <c r="AD271" s="27">
        <v>19</v>
      </c>
      <c r="AE271" s="27" t="s">
        <v>55</v>
      </c>
      <c r="AF271" s="27" t="s">
        <v>55</v>
      </c>
      <c r="AG271" s="27" t="s">
        <v>55</v>
      </c>
      <c r="AH271" s="27" t="s">
        <v>55</v>
      </c>
      <c r="AI271" s="27" t="s">
        <v>55</v>
      </c>
      <c r="AJ271" s="27" t="s">
        <v>55</v>
      </c>
      <c r="AK271" s="27" t="s">
        <v>55</v>
      </c>
      <c r="AL271" s="27" t="s">
        <v>55</v>
      </c>
      <c r="AM271" s="27" t="s">
        <v>55</v>
      </c>
      <c r="AN271" s="27" t="s">
        <v>55</v>
      </c>
      <c r="AO271" s="27" t="s">
        <v>55</v>
      </c>
      <c r="AP271" s="27" t="s">
        <v>55</v>
      </c>
      <c r="AQ271" s="27" t="s">
        <v>55</v>
      </c>
      <c r="AR271" s="27" t="s">
        <v>55</v>
      </c>
      <c r="AS271" s="27" t="s">
        <v>55</v>
      </c>
      <c r="BI271" s="2" t="s">
        <v>152</v>
      </c>
    </row>
    <row r="272" spans="1:61" ht="60" customHeight="1" x14ac:dyDescent="0.5">
      <c r="E272" s="44"/>
      <c r="F272" s="44"/>
      <c r="G272" s="44"/>
      <c r="H272" s="44"/>
      <c r="P272" s="2">
        <v>3</v>
      </c>
      <c r="Q272" s="41" t="s">
        <v>522</v>
      </c>
      <c r="R272" s="3">
        <v>45958</v>
      </c>
      <c r="S272" s="61">
        <v>45958.770833333336</v>
      </c>
      <c r="T272" s="2"/>
      <c r="U272" s="2">
        <f t="shared" si="58"/>
        <v>26</v>
      </c>
      <c r="V272" s="2"/>
      <c r="W272" s="27"/>
      <c r="X272" s="27"/>
      <c r="Y272" s="27"/>
      <c r="Z272" s="27"/>
      <c r="AA272" s="27"/>
      <c r="AB272" s="27" t="s">
        <v>469</v>
      </c>
      <c r="AC272" s="27" t="s">
        <v>462</v>
      </c>
      <c r="AD272" s="27">
        <v>19</v>
      </c>
      <c r="AE272" s="27" t="s">
        <v>55</v>
      </c>
      <c r="AF272" s="27" t="s">
        <v>55</v>
      </c>
      <c r="AG272" s="27" t="s">
        <v>55</v>
      </c>
      <c r="AH272" s="27" t="s">
        <v>55</v>
      </c>
      <c r="AI272" s="27" t="s">
        <v>55</v>
      </c>
      <c r="AJ272" s="27" t="s">
        <v>55</v>
      </c>
      <c r="AK272" s="27" t="s">
        <v>55</v>
      </c>
      <c r="AL272" s="27" t="s">
        <v>55</v>
      </c>
      <c r="AM272" s="27" t="s">
        <v>55</v>
      </c>
      <c r="AN272" s="27" t="s">
        <v>55</v>
      </c>
      <c r="AO272" s="27" t="s">
        <v>55</v>
      </c>
      <c r="AP272" s="27" t="s">
        <v>55</v>
      </c>
      <c r="AQ272" s="27" t="s">
        <v>55</v>
      </c>
      <c r="AR272" s="27" t="s">
        <v>55</v>
      </c>
      <c r="AS272" s="27" t="s">
        <v>55</v>
      </c>
    </row>
    <row r="273" spans="1:61" ht="60" customHeight="1" x14ac:dyDescent="0.5">
      <c r="E273" s="44"/>
      <c r="F273" s="44"/>
      <c r="G273" s="44"/>
      <c r="H273" s="44"/>
      <c r="P273" s="2">
        <v>2.75</v>
      </c>
      <c r="Q273" s="73"/>
      <c r="R273" s="3">
        <v>45961</v>
      </c>
      <c r="S273" s="61">
        <v>45961.722222222219</v>
      </c>
      <c r="T273" s="2">
        <f>S273-S272</f>
        <v>2.9513888888832298</v>
      </c>
      <c r="U273" s="2">
        <f t="shared" si="58"/>
        <v>29</v>
      </c>
      <c r="V273" s="2"/>
      <c r="AB273" s="27" t="s">
        <v>523</v>
      </c>
      <c r="AC273" s="27" t="s">
        <v>55</v>
      </c>
      <c r="AD273" s="27">
        <v>19</v>
      </c>
      <c r="AE273" s="62">
        <f>$S$272+($T$273/2)</f>
        <v>45960.246527777781</v>
      </c>
      <c r="AF273" s="27">
        <f>$U$272+($T$273/2)</f>
        <v>27.475694444441615</v>
      </c>
      <c r="AG273" s="27" t="s">
        <v>55</v>
      </c>
      <c r="AH273" s="27" t="s">
        <v>55</v>
      </c>
      <c r="AI273" s="27" t="s">
        <v>55</v>
      </c>
      <c r="AJ273" s="27" t="s">
        <v>55</v>
      </c>
      <c r="AK273" s="27" t="s">
        <v>55</v>
      </c>
      <c r="AL273" s="27" t="s">
        <v>55</v>
      </c>
      <c r="AM273" s="27" t="s">
        <v>55</v>
      </c>
      <c r="AN273" s="27" t="s">
        <v>55</v>
      </c>
      <c r="AO273" s="27" t="s">
        <v>55</v>
      </c>
      <c r="AP273" s="27" t="s">
        <v>55</v>
      </c>
      <c r="AQ273" s="27" t="s">
        <v>55</v>
      </c>
      <c r="AR273" s="27" t="s">
        <v>55</v>
      </c>
      <c r="AS273" s="27" t="s">
        <v>55</v>
      </c>
      <c r="BI273" s="2" t="s">
        <v>524</v>
      </c>
    </row>
    <row r="274" spans="1:61" s="2" customFormat="1" ht="60" customHeight="1" x14ac:dyDescent="0.35">
      <c r="A274" s="32"/>
      <c r="B274" s="20"/>
      <c r="E274" s="44"/>
      <c r="F274" s="44"/>
      <c r="G274" s="44"/>
      <c r="H274" s="44"/>
      <c r="P274" s="2">
        <v>2.75</v>
      </c>
      <c r="R274" s="3">
        <v>45964</v>
      </c>
      <c r="S274" s="58">
        <v>0.39305555555555555</v>
      </c>
      <c r="U274" s="2">
        <f t="shared" si="58"/>
        <v>32</v>
      </c>
      <c r="W274" s="27"/>
      <c r="X274" s="27"/>
      <c r="Y274" s="27"/>
      <c r="Z274" s="27"/>
      <c r="AA274" s="27"/>
      <c r="AB274" s="27" t="s">
        <v>558</v>
      </c>
      <c r="AC274" s="27" t="s">
        <v>55</v>
      </c>
      <c r="AD274" s="27">
        <v>19</v>
      </c>
      <c r="AE274" s="62">
        <f t="shared" ref="AE274:AE277" si="59">$S$272+($T$273/2)</f>
        <v>45960.246527777781</v>
      </c>
      <c r="AF274" s="27">
        <f t="shared" ref="AF274:AF277" si="60">$U$272+($T$273/2)</f>
        <v>27.475694444441615</v>
      </c>
      <c r="AG274" s="27" t="s">
        <v>55</v>
      </c>
      <c r="AH274" s="27" t="s">
        <v>55</v>
      </c>
      <c r="AI274" s="27" t="s">
        <v>55</v>
      </c>
      <c r="AJ274" s="27" t="s">
        <v>55</v>
      </c>
      <c r="AK274" s="27" t="s">
        <v>55</v>
      </c>
      <c r="AL274" s="27" t="s">
        <v>55</v>
      </c>
      <c r="AM274" s="27" t="s">
        <v>55</v>
      </c>
      <c r="AN274" s="27" t="s">
        <v>55</v>
      </c>
      <c r="AO274" s="27" t="s">
        <v>55</v>
      </c>
      <c r="AP274" s="27" t="s">
        <v>55</v>
      </c>
      <c r="AQ274" s="27" t="s">
        <v>55</v>
      </c>
      <c r="AR274" s="27" t="s">
        <v>55</v>
      </c>
      <c r="AS274" s="27" t="s">
        <v>55</v>
      </c>
      <c r="BI274" s="2" t="s">
        <v>606</v>
      </c>
    </row>
    <row r="275" spans="1:61" s="2" customFormat="1" ht="60" customHeight="1" x14ac:dyDescent="0.35">
      <c r="A275" s="32"/>
      <c r="B275" s="20"/>
      <c r="E275" s="44"/>
      <c r="F275" s="44"/>
      <c r="G275" s="44"/>
      <c r="H275" s="44"/>
      <c r="P275" s="2">
        <v>2.75</v>
      </c>
      <c r="R275" s="3">
        <v>45968</v>
      </c>
      <c r="S275" s="58">
        <v>0.6791666666666667</v>
      </c>
      <c r="U275" s="2">
        <f t="shared" si="58"/>
        <v>36</v>
      </c>
      <c r="W275" s="27"/>
      <c r="X275" s="27"/>
      <c r="Y275" s="27"/>
      <c r="Z275" s="27"/>
      <c r="AA275" s="27"/>
      <c r="AB275" s="27" t="s">
        <v>579</v>
      </c>
      <c r="AC275" s="27" t="s">
        <v>83</v>
      </c>
      <c r="AD275" s="27">
        <v>19</v>
      </c>
      <c r="AE275" s="62">
        <f t="shared" si="59"/>
        <v>45960.246527777781</v>
      </c>
      <c r="AF275" s="27">
        <f t="shared" si="60"/>
        <v>27.475694444441615</v>
      </c>
      <c r="AG275" s="37" t="s">
        <v>578</v>
      </c>
      <c r="AH275" s="27">
        <v>39.229999999999997</v>
      </c>
      <c r="AI275" s="27">
        <v>26.78</v>
      </c>
      <c r="AJ275" s="27">
        <f>AH275-AI275</f>
        <v>12.449999999999996</v>
      </c>
      <c r="AK275" s="27" t="s">
        <v>55</v>
      </c>
      <c r="AL275" s="27" t="s">
        <v>55</v>
      </c>
      <c r="AM275" s="27" t="s">
        <v>55</v>
      </c>
      <c r="AN275" s="27" t="s">
        <v>55</v>
      </c>
      <c r="AO275" s="27" t="s">
        <v>55</v>
      </c>
      <c r="AP275" s="27" t="s">
        <v>55</v>
      </c>
      <c r="AQ275" s="27" t="s">
        <v>55</v>
      </c>
      <c r="AR275" s="27" t="s">
        <v>55</v>
      </c>
      <c r="AS275" s="27" t="s">
        <v>55</v>
      </c>
      <c r="BI275" s="2" t="s">
        <v>152</v>
      </c>
    </row>
    <row r="276" spans="1:61" s="2" customFormat="1" ht="60" customHeight="1" x14ac:dyDescent="0.35">
      <c r="A276" s="32"/>
      <c r="B276" s="20"/>
      <c r="E276" s="44"/>
      <c r="F276" s="44"/>
      <c r="G276" s="44"/>
      <c r="H276" s="44"/>
      <c r="P276" s="2">
        <v>2.5</v>
      </c>
      <c r="R276" s="3">
        <v>45972</v>
      </c>
      <c r="S276" s="58">
        <v>0.75555555555555554</v>
      </c>
      <c r="U276" s="2">
        <f t="shared" si="58"/>
        <v>40</v>
      </c>
      <c r="W276" s="27"/>
      <c r="X276" s="27"/>
      <c r="Y276" s="27"/>
      <c r="Z276" s="27"/>
      <c r="AA276" s="27"/>
      <c r="AB276" s="27" t="s">
        <v>587</v>
      </c>
      <c r="AC276" s="27" t="s">
        <v>98</v>
      </c>
      <c r="AD276" s="27">
        <v>19</v>
      </c>
      <c r="AE276" s="62">
        <f t="shared" si="59"/>
        <v>45960.246527777781</v>
      </c>
      <c r="AF276" s="27">
        <f t="shared" si="60"/>
        <v>27.475694444441615</v>
      </c>
      <c r="AG276" s="37" t="s">
        <v>588</v>
      </c>
      <c r="AH276" s="27">
        <v>117.95</v>
      </c>
      <c r="AI276" s="27">
        <v>18.5</v>
      </c>
      <c r="AJ276" s="27">
        <f>AH276-AI276</f>
        <v>99.45</v>
      </c>
      <c r="AK276" s="27">
        <v>129.16999999999999</v>
      </c>
      <c r="AL276" s="27">
        <v>31.95</v>
      </c>
      <c r="AM276" s="27">
        <f>AK276-AL276</f>
        <v>97.219999999999985</v>
      </c>
      <c r="AN276" s="27" t="s">
        <v>55</v>
      </c>
      <c r="AO276" s="27" t="s">
        <v>55</v>
      </c>
      <c r="AP276" s="27" t="s">
        <v>55</v>
      </c>
      <c r="AQ276" s="27" t="s">
        <v>55</v>
      </c>
      <c r="AR276" s="27" t="s">
        <v>55</v>
      </c>
      <c r="AS276" s="27" t="s">
        <v>55</v>
      </c>
    </row>
    <row r="277" spans="1:61" s="2" customFormat="1" ht="60" customHeight="1" x14ac:dyDescent="0.35">
      <c r="A277" s="32"/>
      <c r="B277" s="20"/>
      <c r="E277" s="44"/>
      <c r="F277" s="44"/>
      <c r="G277" s="44"/>
      <c r="H277" s="44"/>
      <c r="P277" s="2">
        <v>2.75</v>
      </c>
      <c r="R277" s="3">
        <v>45976</v>
      </c>
      <c r="S277" s="58">
        <v>0.39444444444444443</v>
      </c>
      <c r="U277" s="2">
        <f>R277-$D$266</f>
        <v>44</v>
      </c>
      <c r="W277" s="27"/>
      <c r="X277" s="27"/>
      <c r="Y277" s="27"/>
      <c r="Z277" s="27"/>
      <c r="AA277" s="27"/>
      <c r="AB277" s="27" t="s">
        <v>601</v>
      </c>
      <c r="AC277" s="27" t="s">
        <v>599</v>
      </c>
      <c r="AD277" s="27">
        <v>19</v>
      </c>
      <c r="AE277" s="62">
        <f t="shared" si="59"/>
        <v>45960.246527777781</v>
      </c>
      <c r="AF277" s="27">
        <f t="shared" si="60"/>
        <v>27.475694444441615</v>
      </c>
      <c r="AG277" s="37" t="s">
        <v>602</v>
      </c>
      <c r="AH277" s="27">
        <v>90.82</v>
      </c>
      <c r="AI277" s="27">
        <v>4.99</v>
      </c>
      <c r="AJ277" s="27">
        <f>AH277-AI277</f>
        <v>85.83</v>
      </c>
      <c r="AK277" s="27" t="s">
        <v>55</v>
      </c>
      <c r="AL277" s="27" t="s">
        <v>55</v>
      </c>
      <c r="AM277" s="27" t="s">
        <v>55</v>
      </c>
      <c r="AN277" s="27" t="s">
        <v>55</v>
      </c>
      <c r="AO277" s="27" t="s">
        <v>55</v>
      </c>
      <c r="AP277" s="27" t="s">
        <v>55</v>
      </c>
      <c r="AQ277" s="27" t="s">
        <v>55</v>
      </c>
      <c r="AR277" s="27" t="s">
        <v>55</v>
      </c>
      <c r="AS277" s="27" t="s">
        <v>55</v>
      </c>
      <c r="BI277" s="2" t="s">
        <v>600</v>
      </c>
    </row>
    <row r="278" spans="1:61" s="2" customFormat="1" ht="60" customHeight="1" x14ac:dyDescent="0.35">
      <c r="A278" s="32"/>
      <c r="B278" s="20"/>
      <c r="E278" s="44"/>
      <c r="F278" s="44"/>
      <c r="G278" s="44"/>
      <c r="H278" s="44"/>
      <c r="R278" s="3"/>
      <c r="S278" s="58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</row>
    <row r="279" spans="1:61" ht="60" customHeight="1" x14ac:dyDescent="0.35">
      <c r="A279" s="32">
        <v>22</v>
      </c>
      <c r="B279" s="57" t="s">
        <v>260</v>
      </c>
      <c r="C279" s="3">
        <v>45170</v>
      </c>
      <c r="D279" s="3">
        <v>45936</v>
      </c>
      <c r="E279" s="44">
        <f t="shared" si="44"/>
        <v>766</v>
      </c>
      <c r="F279" s="44">
        <f>E279/30</f>
        <v>25.533333333333335</v>
      </c>
      <c r="G279" s="44">
        <f t="shared" si="45"/>
        <v>2.0986301369863014</v>
      </c>
      <c r="H279" s="44">
        <f t="shared" si="46"/>
        <v>2.4416666666666669</v>
      </c>
      <c r="P279" s="2">
        <v>2</v>
      </c>
      <c r="Q279" s="2" t="s">
        <v>431</v>
      </c>
      <c r="R279" s="3">
        <v>45939</v>
      </c>
      <c r="S279" s="63">
        <v>0.35416666666666669</v>
      </c>
      <c r="T279" s="3"/>
      <c r="U279" s="2">
        <f t="shared" ref="U279:U288" si="61">R279-$D$279</f>
        <v>3</v>
      </c>
      <c r="V279" s="17">
        <f>R287-D279</f>
        <v>32</v>
      </c>
      <c r="AB279" s="27" t="s">
        <v>55</v>
      </c>
      <c r="AC279" s="27" t="s">
        <v>55</v>
      </c>
      <c r="AD279" s="27" t="s">
        <v>55</v>
      </c>
      <c r="AE279" s="27" t="s">
        <v>55</v>
      </c>
      <c r="AF279" s="27" t="s">
        <v>55</v>
      </c>
      <c r="AG279" s="27" t="s">
        <v>55</v>
      </c>
      <c r="AH279" s="27" t="s">
        <v>55</v>
      </c>
      <c r="AI279" s="27" t="s">
        <v>55</v>
      </c>
      <c r="AJ279" s="27" t="s">
        <v>55</v>
      </c>
      <c r="AK279" s="27" t="s">
        <v>55</v>
      </c>
      <c r="AL279" s="27" t="s">
        <v>55</v>
      </c>
      <c r="AM279" s="27" t="s">
        <v>55</v>
      </c>
      <c r="AN279" s="27" t="s">
        <v>55</v>
      </c>
      <c r="AO279" s="27" t="s">
        <v>55</v>
      </c>
      <c r="AP279" s="27" t="s">
        <v>55</v>
      </c>
      <c r="AQ279" s="27" t="s">
        <v>55</v>
      </c>
      <c r="AR279" s="27" t="s">
        <v>55</v>
      </c>
      <c r="AS279" s="27" t="s">
        <v>55</v>
      </c>
    </row>
    <row r="280" spans="1:61" ht="60" customHeight="1" x14ac:dyDescent="0.5">
      <c r="E280" s="44"/>
      <c r="F280" s="44"/>
      <c r="G280" s="44"/>
      <c r="H280" s="44"/>
      <c r="P280" s="2">
        <v>2.25</v>
      </c>
      <c r="R280" s="3">
        <v>45944</v>
      </c>
      <c r="S280" s="58">
        <v>0.66319444444444442</v>
      </c>
      <c r="T280" s="3"/>
      <c r="U280" s="2">
        <f t="shared" si="61"/>
        <v>8</v>
      </c>
      <c r="V280" s="2"/>
      <c r="AB280" s="27" t="s">
        <v>361</v>
      </c>
      <c r="AC280" s="27" t="s">
        <v>360</v>
      </c>
      <c r="AD280" s="27">
        <f>$U$280</f>
        <v>8</v>
      </c>
      <c r="AE280" s="27" t="s">
        <v>55</v>
      </c>
      <c r="AF280" s="27" t="s">
        <v>55</v>
      </c>
      <c r="AG280" s="27" t="s">
        <v>55</v>
      </c>
      <c r="AH280" s="27" t="s">
        <v>55</v>
      </c>
      <c r="AI280" s="27" t="s">
        <v>55</v>
      </c>
      <c r="AJ280" s="27" t="s">
        <v>55</v>
      </c>
      <c r="AK280" s="27" t="s">
        <v>55</v>
      </c>
      <c r="AL280" s="27" t="s">
        <v>55</v>
      </c>
      <c r="AM280" s="27" t="s">
        <v>55</v>
      </c>
      <c r="AN280" s="27" t="s">
        <v>55</v>
      </c>
      <c r="AO280" s="27" t="s">
        <v>55</v>
      </c>
      <c r="AP280" s="27" t="s">
        <v>55</v>
      </c>
      <c r="AQ280" s="27" t="s">
        <v>55</v>
      </c>
      <c r="AR280" s="27" t="s">
        <v>55</v>
      </c>
      <c r="AS280" s="27" t="s">
        <v>55</v>
      </c>
    </row>
    <row r="281" spans="1:61" ht="60" customHeight="1" x14ac:dyDescent="0.5">
      <c r="E281" s="44"/>
      <c r="F281" s="44"/>
      <c r="G281" s="44"/>
      <c r="H281" s="44"/>
      <c r="P281" s="2">
        <v>2.25</v>
      </c>
      <c r="R281" s="3">
        <v>45947</v>
      </c>
      <c r="S281" s="58">
        <v>0.51111111111111107</v>
      </c>
      <c r="U281" s="2">
        <f t="shared" si="61"/>
        <v>11</v>
      </c>
      <c r="V281" s="2"/>
      <c r="AB281" s="27" t="s">
        <v>383</v>
      </c>
      <c r="AC281" s="27" t="s">
        <v>382</v>
      </c>
      <c r="AD281" s="27">
        <f>$U$280</f>
        <v>8</v>
      </c>
      <c r="AE281" s="27" t="s">
        <v>55</v>
      </c>
      <c r="AF281" s="27" t="s">
        <v>55</v>
      </c>
      <c r="AG281" s="27" t="s">
        <v>55</v>
      </c>
      <c r="AH281" s="27" t="s">
        <v>55</v>
      </c>
      <c r="AI281" s="27" t="s">
        <v>55</v>
      </c>
      <c r="AJ281" s="27" t="s">
        <v>55</v>
      </c>
      <c r="AK281" s="27" t="s">
        <v>55</v>
      </c>
      <c r="AL281" s="27" t="s">
        <v>55</v>
      </c>
      <c r="AM281" s="27" t="s">
        <v>55</v>
      </c>
      <c r="AN281" s="27" t="s">
        <v>55</v>
      </c>
      <c r="AO281" s="27" t="s">
        <v>55</v>
      </c>
      <c r="AP281" s="27" t="s">
        <v>55</v>
      </c>
      <c r="AQ281" s="27" t="s">
        <v>55</v>
      </c>
      <c r="AR281" s="27" t="s">
        <v>55</v>
      </c>
      <c r="AS281" s="27" t="s">
        <v>55</v>
      </c>
    </row>
    <row r="282" spans="1:61" ht="60" customHeight="1" x14ac:dyDescent="0.5">
      <c r="E282" s="44"/>
      <c r="F282" s="44"/>
      <c r="G282" s="44"/>
      <c r="H282" s="44"/>
      <c r="P282" s="2">
        <v>2.25</v>
      </c>
      <c r="R282" s="3">
        <v>45951</v>
      </c>
      <c r="S282" s="58">
        <v>0.73819444444444449</v>
      </c>
      <c r="U282" s="2">
        <f t="shared" si="61"/>
        <v>15</v>
      </c>
      <c r="V282" s="2"/>
      <c r="AB282" s="27" t="s">
        <v>427</v>
      </c>
      <c r="AC282" s="27" t="s">
        <v>124</v>
      </c>
      <c r="AD282" s="27">
        <v>8</v>
      </c>
      <c r="AE282" s="27" t="s">
        <v>55</v>
      </c>
      <c r="AF282" s="27" t="s">
        <v>55</v>
      </c>
      <c r="AG282" s="27" t="s">
        <v>55</v>
      </c>
      <c r="AH282" s="27" t="s">
        <v>55</v>
      </c>
      <c r="AI282" s="27" t="s">
        <v>55</v>
      </c>
      <c r="AJ282" s="27" t="s">
        <v>55</v>
      </c>
      <c r="AK282" s="27" t="s">
        <v>55</v>
      </c>
      <c r="AL282" s="27" t="s">
        <v>55</v>
      </c>
      <c r="AM282" s="27" t="s">
        <v>55</v>
      </c>
      <c r="AN282" s="27" t="s">
        <v>55</v>
      </c>
      <c r="AO282" s="27" t="s">
        <v>55</v>
      </c>
      <c r="AP282" s="27" t="s">
        <v>55</v>
      </c>
      <c r="AQ282" s="27" t="s">
        <v>55</v>
      </c>
      <c r="AR282" s="27" t="s">
        <v>55</v>
      </c>
      <c r="AS282" s="27" t="s">
        <v>55</v>
      </c>
    </row>
    <row r="283" spans="1:61" ht="60" customHeight="1" x14ac:dyDescent="0.5">
      <c r="E283" s="44"/>
      <c r="F283" s="44"/>
      <c r="G283" s="44"/>
      <c r="H283" s="44"/>
      <c r="P283" s="2">
        <v>2.5</v>
      </c>
      <c r="R283" s="3">
        <v>45954</v>
      </c>
      <c r="S283" s="58">
        <v>0.67986111111111114</v>
      </c>
      <c r="T283" s="2"/>
      <c r="U283" s="2">
        <f t="shared" si="61"/>
        <v>18</v>
      </c>
      <c r="V283" s="2"/>
      <c r="W283" s="27"/>
      <c r="X283" s="27"/>
      <c r="Y283" s="27"/>
      <c r="Z283" s="27"/>
      <c r="AA283" s="27"/>
      <c r="AB283" s="37" t="s">
        <v>549</v>
      </c>
      <c r="AC283" s="27" t="s">
        <v>435</v>
      </c>
      <c r="AD283" s="27">
        <v>8</v>
      </c>
      <c r="AE283" s="27" t="s">
        <v>55</v>
      </c>
      <c r="AF283" s="27" t="s">
        <v>55</v>
      </c>
      <c r="AG283" s="27" t="s">
        <v>55</v>
      </c>
      <c r="AH283" s="27" t="s">
        <v>55</v>
      </c>
      <c r="AI283" s="27" t="s">
        <v>55</v>
      </c>
      <c r="AJ283" s="27" t="s">
        <v>55</v>
      </c>
      <c r="AK283" s="27" t="s">
        <v>55</v>
      </c>
      <c r="AL283" s="27" t="s">
        <v>55</v>
      </c>
      <c r="AM283" s="27" t="s">
        <v>55</v>
      </c>
      <c r="AN283" s="27" t="s">
        <v>55</v>
      </c>
      <c r="AO283" s="27" t="s">
        <v>55</v>
      </c>
      <c r="AP283" s="27" t="s">
        <v>55</v>
      </c>
      <c r="AQ283" s="27" t="s">
        <v>55</v>
      </c>
      <c r="AR283" s="27" t="s">
        <v>55</v>
      </c>
      <c r="AS283" s="27" t="s">
        <v>55</v>
      </c>
    </row>
    <row r="284" spans="1:61" ht="60" customHeight="1" x14ac:dyDescent="0.5">
      <c r="E284" s="44"/>
      <c r="F284" s="44"/>
      <c r="G284" s="44"/>
      <c r="H284" s="44"/>
      <c r="P284" s="2">
        <v>2.5</v>
      </c>
      <c r="Q284" s="2"/>
      <c r="R284" s="3">
        <v>45958</v>
      </c>
      <c r="S284" s="58">
        <v>0.75972222222222219</v>
      </c>
      <c r="T284" s="2"/>
      <c r="U284" s="2">
        <f t="shared" si="61"/>
        <v>22</v>
      </c>
      <c r="V284" s="2"/>
      <c r="AB284" s="27" t="s">
        <v>464</v>
      </c>
      <c r="AC284" s="27" t="s">
        <v>227</v>
      </c>
      <c r="AD284" s="27">
        <v>8</v>
      </c>
      <c r="AE284" s="27" t="s">
        <v>55</v>
      </c>
      <c r="AF284" s="27" t="s">
        <v>55</v>
      </c>
      <c r="AG284" s="27" t="s">
        <v>55</v>
      </c>
      <c r="AH284" s="27" t="s">
        <v>55</v>
      </c>
      <c r="AI284" s="27" t="s">
        <v>55</v>
      </c>
      <c r="AJ284" s="27" t="s">
        <v>55</v>
      </c>
      <c r="AK284" s="27" t="s">
        <v>55</v>
      </c>
      <c r="AL284" s="27" t="s">
        <v>55</v>
      </c>
      <c r="AM284" s="27" t="s">
        <v>55</v>
      </c>
      <c r="AN284" s="27" t="s">
        <v>55</v>
      </c>
      <c r="AO284" s="27" t="s">
        <v>55</v>
      </c>
      <c r="AP284" s="27" t="s">
        <v>55</v>
      </c>
      <c r="AQ284" s="27" t="s">
        <v>55</v>
      </c>
      <c r="AR284" s="27" t="s">
        <v>55</v>
      </c>
      <c r="AS284" s="27" t="s">
        <v>55</v>
      </c>
    </row>
    <row r="285" spans="1:61" s="2" customFormat="1" ht="60" customHeight="1" x14ac:dyDescent="0.35">
      <c r="A285" s="32"/>
      <c r="B285" s="20"/>
      <c r="E285" s="44"/>
      <c r="F285" s="44"/>
      <c r="G285" s="44"/>
      <c r="H285" s="44"/>
      <c r="P285" s="2">
        <v>2.25</v>
      </c>
      <c r="R285" s="3">
        <v>45961</v>
      </c>
      <c r="S285" s="58">
        <v>0.7006944444444444</v>
      </c>
      <c r="U285" s="2">
        <f t="shared" si="61"/>
        <v>25</v>
      </c>
      <c r="W285" s="27"/>
      <c r="X285" s="27"/>
      <c r="Y285" s="27"/>
      <c r="Z285" s="27"/>
      <c r="AA285" s="27"/>
      <c r="AB285" s="27" t="s">
        <v>512</v>
      </c>
      <c r="AC285" s="27" t="s">
        <v>513</v>
      </c>
      <c r="AD285" s="27">
        <v>8</v>
      </c>
      <c r="AE285" s="27" t="s">
        <v>55</v>
      </c>
      <c r="AF285" s="27" t="s">
        <v>55</v>
      </c>
      <c r="AG285" s="27" t="s">
        <v>55</v>
      </c>
      <c r="AH285" s="27" t="s">
        <v>55</v>
      </c>
      <c r="AI285" s="27" t="s">
        <v>55</v>
      </c>
      <c r="AJ285" s="27" t="s">
        <v>55</v>
      </c>
      <c r="AK285" s="27" t="s">
        <v>55</v>
      </c>
      <c r="AL285" s="27" t="s">
        <v>55</v>
      </c>
      <c r="AM285" s="27" t="s">
        <v>55</v>
      </c>
      <c r="AN285" s="27" t="s">
        <v>55</v>
      </c>
      <c r="AO285" s="27" t="s">
        <v>55</v>
      </c>
      <c r="AP285" s="27" t="s">
        <v>55</v>
      </c>
      <c r="AQ285" s="27" t="s">
        <v>55</v>
      </c>
      <c r="AR285" s="27" t="s">
        <v>55</v>
      </c>
      <c r="AS285" s="27" t="s">
        <v>55</v>
      </c>
    </row>
    <row r="286" spans="1:61" s="2" customFormat="1" ht="60" customHeight="1" x14ac:dyDescent="0.35">
      <c r="A286" s="32"/>
      <c r="B286" s="20"/>
      <c r="E286" s="44"/>
      <c r="F286" s="44"/>
      <c r="G286" s="44"/>
      <c r="H286" s="44"/>
      <c r="P286" s="2">
        <v>2.25</v>
      </c>
      <c r="R286" s="3">
        <v>45964</v>
      </c>
      <c r="S286" s="61">
        <v>45964.40347222222</v>
      </c>
      <c r="U286" s="2">
        <f t="shared" si="61"/>
        <v>28</v>
      </c>
      <c r="W286" s="27"/>
      <c r="X286" s="27"/>
      <c r="Y286" s="27"/>
      <c r="Z286" s="27"/>
      <c r="AA286" s="27"/>
      <c r="AB286" s="27" t="s">
        <v>560</v>
      </c>
      <c r="AC286" s="27" t="s">
        <v>559</v>
      </c>
      <c r="AD286" s="27">
        <v>8</v>
      </c>
      <c r="AE286" s="27" t="s">
        <v>55</v>
      </c>
      <c r="AF286" s="27" t="s">
        <v>55</v>
      </c>
      <c r="AG286" s="27" t="s">
        <v>55</v>
      </c>
      <c r="AH286" s="27" t="s">
        <v>55</v>
      </c>
      <c r="AI286" s="27" t="s">
        <v>55</v>
      </c>
      <c r="AJ286" s="27" t="s">
        <v>55</v>
      </c>
      <c r="AK286" s="27" t="s">
        <v>55</v>
      </c>
      <c r="AL286" s="27" t="s">
        <v>55</v>
      </c>
      <c r="AM286" s="27" t="s">
        <v>55</v>
      </c>
      <c r="AN286" s="27" t="s">
        <v>55</v>
      </c>
      <c r="AO286" s="27" t="s">
        <v>55</v>
      </c>
      <c r="AP286" s="27" t="s">
        <v>55</v>
      </c>
      <c r="AQ286" s="27" t="s">
        <v>55</v>
      </c>
      <c r="AR286" s="27" t="s">
        <v>55</v>
      </c>
      <c r="AS286" s="27" t="s">
        <v>55</v>
      </c>
      <c r="BI286" s="2" t="s">
        <v>600</v>
      </c>
    </row>
    <row r="287" spans="1:61" s="2" customFormat="1" ht="60" customHeight="1" x14ac:dyDescent="0.35">
      <c r="A287" s="32"/>
      <c r="B287" s="20"/>
      <c r="E287" s="44"/>
      <c r="F287" s="44"/>
      <c r="G287" s="44"/>
      <c r="H287" s="44"/>
      <c r="P287" s="2">
        <v>2.25</v>
      </c>
      <c r="R287" s="3">
        <v>45968</v>
      </c>
      <c r="S287" s="61">
        <v>45968.675694444442</v>
      </c>
      <c r="T287" s="2">
        <f>S287-S286</f>
        <v>4.2722222222218988</v>
      </c>
      <c r="U287" s="2">
        <f t="shared" si="61"/>
        <v>32</v>
      </c>
      <c r="W287" s="27"/>
      <c r="X287" s="27"/>
      <c r="Y287" s="27"/>
      <c r="Z287" s="27"/>
      <c r="AA287" s="27"/>
      <c r="AB287" s="27" t="s">
        <v>187</v>
      </c>
      <c r="AC287" s="27" t="s">
        <v>124</v>
      </c>
      <c r="AD287" s="27">
        <v>8</v>
      </c>
      <c r="AE287" s="62">
        <f>$S$286+($T$287/2)</f>
        <v>45966.539583333331</v>
      </c>
      <c r="AF287" s="27">
        <f>$U$286+($T$287/2)</f>
        <v>30.136111111110949</v>
      </c>
      <c r="AG287" s="27">
        <v>71.61</v>
      </c>
      <c r="AH287" s="27">
        <v>71.61</v>
      </c>
      <c r="AI287" s="27">
        <v>0</v>
      </c>
      <c r="AJ287" s="27">
        <f>AH287-AI287</f>
        <v>71.61</v>
      </c>
      <c r="AK287" s="27" t="s">
        <v>55</v>
      </c>
      <c r="AL287" s="27" t="s">
        <v>55</v>
      </c>
      <c r="AM287" s="27" t="s">
        <v>55</v>
      </c>
      <c r="AN287" s="27" t="s">
        <v>55</v>
      </c>
      <c r="AO287" s="27" t="s">
        <v>55</v>
      </c>
      <c r="AP287" s="27" t="s">
        <v>55</v>
      </c>
      <c r="AQ287" s="27" t="s">
        <v>55</v>
      </c>
      <c r="AR287" s="27" t="s">
        <v>55</v>
      </c>
      <c r="AS287" s="27" t="s">
        <v>55</v>
      </c>
    </row>
    <row r="288" spans="1:61" s="2" customFormat="1" ht="60" customHeight="1" x14ac:dyDescent="0.35">
      <c r="A288" s="32"/>
      <c r="B288" s="20"/>
      <c r="E288" s="44"/>
      <c r="F288" s="44"/>
      <c r="G288" s="44"/>
      <c r="H288" s="44"/>
      <c r="P288" s="2">
        <v>2.25</v>
      </c>
      <c r="R288" s="3">
        <v>45972</v>
      </c>
      <c r="S288" s="58">
        <v>0.76527777777777772</v>
      </c>
      <c r="U288" s="2">
        <f t="shared" si="61"/>
        <v>36</v>
      </c>
      <c r="W288" s="27"/>
      <c r="X288" s="27"/>
      <c r="Y288" s="27"/>
      <c r="Z288" s="27"/>
      <c r="AA288" s="27"/>
      <c r="AB288" s="27" t="s">
        <v>593</v>
      </c>
      <c r="AC288" s="27" t="s">
        <v>594</v>
      </c>
      <c r="AD288" s="27">
        <v>8</v>
      </c>
      <c r="AE288" s="62">
        <f>$S$286+($T$287/2)</f>
        <v>45966.539583333331</v>
      </c>
      <c r="AF288" s="27">
        <f>$U$286+($T$287/2)</f>
        <v>30.136111111110949</v>
      </c>
      <c r="AG288" s="27">
        <v>59.97</v>
      </c>
      <c r="AH288" s="27">
        <v>59.97</v>
      </c>
      <c r="AI288" s="27">
        <v>0</v>
      </c>
      <c r="AJ288" s="27">
        <f>AH288-AI288</f>
        <v>59.97</v>
      </c>
      <c r="AK288" s="27" t="s">
        <v>55</v>
      </c>
      <c r="AL288" s="27" t="s">
        <v>55</v>
      </c>
      <c r="AM288" s="27" t="s">
        <v>55</v>
      </c>
      <c r="AN288" s="27" t="s">
        <v>55</v>
      </c>
      <c r="AO288" s="27" t="s">
        <v>55</v>
      </c>
      <c r="AP288" s="27" t="s">
        <v>55</v>
      </c>
      <c r="AQ288" s="27" t="s">
        <v>55</v>
      </c>
      <c r="AR288" s="27" t="s">
        <v>55</v>
      </c>
      <c r="AS288" s="27" t="s">
        <v>55</v>
      </c>
    </row>
    <row r="289" spans="1:61" ht="60" customHeight="1" x14ac:dyDescent="0.5">
      <c r="E289" s="44"/>
      <c r="F289" s="44"/>
      <c r="G289" s="44"/>
      <c r="H289" s="44"/>
      <c r="AB289" s="27"/>
      <c r="AC289" s="27"/>
    </row>
    <row r="290" spans="1:61" ht="60" customHeight="1" x14ac:dyDescent="0.35">
      <c r="A290" s="32">
        <v>23</v>
      </c>
      <c r="B290" s="57" t="s">
        <v>331</v>
      </c>
      <c r="C290" s="3">
        <v>45170</v>
      </c>
      <c r="D290" s="3">
        <v>45931</v>
      </c>
      <c r="E290" s="44">
        <f t="shared" si="44"/>
        <v>761</v>
      </c>
      <c r="F290" s="44">
        <f>E290/30</f>
        <v>25.366666666666667</v>
      </c>
      <c r="G290" s="44">
        <f t="shared" si="45"/>
        <v>2.0849315068493151</v>
      </c>
      <c r="H290" s="44">
        <f t="shared" si="46"/>
        <v>2.4208333333333334</v>
      </c>
      <c r="P290" s="2">
        <v>2.5</v>
      </c>
      <c r="R290" s="3">
        <v>45936</v>
      </c>
      <c r="S290" s="58">
        <v>0.67500000000000004</v>
      </c>
      <c r="T290" s="3"/>
      <c r="U290" s="2">
        <f>R290-$D$290</f>
        <v>5</v>
      </c>
      <c r="V290" s="17">
        <f>R299-D290</f>
        <v>37</v>
      </c>
      <c r="AB290" s="27" t="s">
        <v>55</v>
      </c>
      <c r="AC290" s="27" t="s">
        <v>55</v>
      </c>
      <c r="AD290" s="27" t="s">
        <v>55</v>
      </c>
      <c r="AE290" s="27" t="s">
        <v>55</v>
      </c>
      <c r="AF290" s="27" t="s">
        <v>55</v>
      </c>
      <c r="AG290" s="27" t="s">
        <v>55</v>
      </c>
      <c r="AH290" s="27" t="s">
        <v>55</v>
      </c>
      <c r="AI290" s="27" t="s">
        <v>55</v>
      </c>
      <c r="AJ290" s="27" t="s">
        <v>55</v>
      </c>
      <c r="AK290" s="27" t="s">
        <v>55</v>
      </c>
      <c r="AL290" s="27" t="s">
        <v>55</v>
      </c>
      <c r="AM290" s="27" t="s">
        <v>55</v>
      </c>
      <c r="AN290" s="27" t="s">
        <v>55</v>
      </c>
      <c r="AO290" s="27" t="s">
        <v>55</v>
      </c>
      <c r="AP290" s="27" t="s">
        <v>55</v>
      </c>
      <c r="AQ290" s="27" t="s">
        <v>55</v>
      </c>
      <c r="AR290" s="27" t="s">
        <v>55</v>
      </c>
      <c r="AS290" s="27" t="s">
        <v>55</v>
      </c>
    </row>
    <row r="291" spans="1:61" ht="60" customHeight="1" x14ac:dyDescent="0.5">
      <c r="E291" s="44"/>
      <c r="F291" s="44"/>
      <c r="G291" s="44"/>
      <c r="H291" s="44"/>
      <c r="P291" s="2">
        <v>2.5</v>
      </c>
      <c r="Q291" s="2" t="s">
        <v>431</v>
      </c>
      <c r="R291" s="3">
        <v>45939</v>
      </c>
      <c r="S291" s="63">
        <v>0.35416666666666669</v>
      </c>
      <c r="T291" s="3"/>
      <c r="U291" s="2">
        <f>R291-$D$290</f>
        <v>8</v>
      </c>
      <c r="V291" s="2"/>
      <c r="AB291" s="27" t="s">
        <v>299</v>
      </c>
      <c r="AC291" s="27" t="s">
        <v>298</v>
      </c>
      <c r="AD291" s="27">
        <f>$U$291</f>
        <v>8</v>
      </c>
      <c r="AE291" s="27" t="s">
        <v>55</v>
      </c>
      <c r="AF291" s="27" t="s">
        <v>55</v>
      </c>
      <c r="AG291" s="27" t="s">
        <v>55</v>
      </c>
      <c r="AH291" s="27" t="s">
        <v>55</v>
      </c>
      <c r="AI291" s="27" t="s">
        <v>55</v>
      </c>
      <c r="AJ291" s="27" t="s">
        <v>55</v>
      </c>
      <c r="AK291" s="27" t="s">
        <v>55</v>
      </c>
      <c r="AL291" s="27" t="s">
        <v>55</v>
      </c>
      <c r="AM291" s="27" t="s">
        <v>55</v>
      </c>
      <c r="AN291" s="27" t="s">
        <v>55</v>
      </c>
      <c r="AO291" s="27" t="s">
        <v>55</v>
      </c>
      <c r="AP291" s="27" t="s">
        <v>55</v>
      </c>
      <c r="AQ291" s="27" t="s">
        <v>55</v>
      </c>
      <c r="AR291" s="27" t="s">
        <v>55</v>
      </c>
      <c r="AS291" s="27" t="s">
        <v>55</v>
      </c>
      <c r="BI291" s="2" t="s">
        <v>118</v>
      </c>
    </row>
    <row r="292" spans="1:61" ht="60" customHeight="1" x14ac:dyDescent="0.5">
      <c r="E292" s="44"/>
      <c r="F292" s="44"/>
      <c r="G292" s="44"/>
      <c r="H292" s="44"/>
      <c r="P292" s="2"/>
      <c r="R292" s="3">
        <v>45944</v>
      </c>
      <c r="S292" s="58"/>
      <c r="U292" s="2">
        <f t="shared" ref="U292:U302" si="62">R292-$D$290</f>
        <v>13</v>
      </c>
      <c r="V292" s="2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BI292" s="2" t="s">
        <v>364</v>
      </c>
    </row>
    <row r="293" spans="1:61" ht="60" customHeight="1" x14ac:dyDescent="0.5">
      <c r="E293" s="44"/>
      <c r="F293" s="44"/>
      <c r="G293" s="44"/>
      <c r="H293" s="44"/>
      <c r="P293" s="2">
        <v>2.5</v>
      </c>
      <c r="R293" s="3">
        <v>45947</v>
      </c>
      <c r="S293" s="58">
        <v>0.49166666666666664</v>
      </c>
      <c r="U293" s="2">
        <f t="shared" si="62"/>
        <v>16</v>
      </c>
      <c r="V293" s="2"/>
      <c r="AB293" s="27" t="s">
        <v>398</v>
      </c>
      <c r="AC293" s="27" t="s">
        <v>397</v>
      </c>
      <c r="AD293" s="27">
        <f t="shared" ref="AD293" si="63">$U$291</f>
        <v>8</v>
      </c>
      <c r="AE293" s="27" t="s">
        <v>55</v>
      </c>
      <c r="AF293" s="27" t="s">
        <v>55</v>
      </c>
      <c r="AG293" s="27" t="s">
        <v>55</v>
      </c>
      <c r="AH293" s="27" t="s">
        <v>55</v>
      </c>
      <c r="AI293" s="27" t="s">
        <v>55</v>
      </c>
      <c r="AJ293" s="27" t="s">
        <v>55</v>
      </c>
      <c r="AK293" s="27" t="s">
        <v>55</v>
      </c>
      <c r="AL293" s="27" t="s">
        <v>55</v>
      </c>
      <c r="AM293" s="27" t="s">
        <v>55</v>
      </c>
      <c r="AN293" s="27" t="s">
        <v>55</v>
      </c>
      <c r="AO293" s="27" t="s">
        <v>55</v>
      </c>
      <c r="AP293" s="27" t="s">
        <v>55</v>
      </c>
      <c r="AQ293" s="27" t="s">
        <v>55</v>
      </c>
      <c r="AR293" s="27" t="s">
        <v>55</v>
      </c>
      <c r="AS293" s="27" t="s">
        <v>55</v>
      </c>
      <c r="BI293" s="2" t="s">
        <v>118</v>
      </c>
    </row>
    <row r="294" spans="1:61" ht="60" customHeight="1" x14ac:dyDescent="0.5">
      <c r="E294" s="44"/>
      <c r="F294" s="44"/>
      <c r="G294" s="44"/>
      <c r="H294" s="44"/>
      <c r="P294" s="2">
        <v>2.5</v>
      </c>
      <c r="Q294" s="2"/>
      <c r="R294" s="3">
        <v>45951</v>
      </c>
      <c r="S294" s="58">
        <v>0.72222222222222221</v>
      </c>
      <c r="T294" s="2"/>
      <c r="U294" s="2">
        <f t="shared" si="62"/>
        <v>20</v>
      </c>
      <c r="V294" s="2"/>
      <c r="W294" s="27"/>
      <c r="X294" s="27"/>
      <c r="Y294" s="27"/>
      <c r="Z294" s="27"/>
      <c r="AA294" s="27"/>
      <c r="AB294" s="27" t="s">
        <v>85</v>
      </c>
      <c r="AC294" s="27" t="s">
        <v>417</v>
      </c>
      <c r="AD294" s="27">
        <v>8</v>
      </c>
      <c r="AE294" s="27" t="s">
        <v>55</v>
      </c>
      <c r="AF294" s="27" t="s">
        <v>55</v>
      </c>
      <c r="AG294" s="27" t="s">
        <v>55</v>
      </c>
      <c r="AH294" s="27" t="s">
        <v>55</v>
      </c>
      <c r="AI294" s="27" t="s">
        <v>55</v>
      </c>
      <c r="AJ294" s="27" t="s">
        <v>55</v>
      </c>
      <c r="AK294" s="27" t="s">
        <v>55</v>
      </c>
      <c r="AL294" s="27" t="s">
        <v>55</v>
      </c>
      <c r="AM294" s="27" t="s">
        <v>55</v>
      </c>
      <c r="AN294" s="27" t="s">
        <v>55</v>
      </c>
      <c r="AO294" s="27" t="s">
        <v>55</v>
      </c>
      <c r="AP294" s="27" t="s">
        <v>55</v>
      </c>
      <c r="AQ294" s="27" t="s">
        <v>55</v>
      </c>
      <c r="AR294" s="27" t="s">
        <v>55</v>
      </c>
      <c r="AS294" s="27" t="s">
        <v>55</v>
      </c>
      <c r="BI294" s="2" t="s">
        <v>418</v>
      </c>
    </row>
    <row r="295" spans="1:61" ht="60" customHeight="1" x14ac:dyDescent="0.5">
      <c r="E295" s="44"/>
      <c r="F295" s="44"/>
      <c r="G295" s="44"/>
      <c r="H295" s="44"/>
      <c r="P295" s="2">
        <v>2.5</v>
      </c>
      <c r="R295" s="3">
        <v>45954</v>
      </c>
      <c r="S295" s="58">
        <v>0.68125000000000002</v>
      </c>
      <c r="T295" s="2"/>
      <c r="U295" s="2">
        <f t="shared" si="62"/>
        <v>23</v>
      </c>
      <c r="V295" s="2"/>
      <c r="W295" s="27"/>
      <c r="X295" s="27"/>
      <c r="Y295" s="27"/>
      <c r="Z295" s="27"/>
      <c r="AA295" s="27"/>
      <c r="AB295" s="27" t="s">
        <v>98</v>
      </c>
      <c r="AC295" s="27" t="s">
        <v>436</v>
      </c>
      <c r="AD295" s="27">
        <v>8</v>
      </c>
      <c r="AE295" s="27" t="s">
        <v>55</v>
      </c>
      <c r="AF295" s="27" t="s">
        <v>55</v>
      </c>
      <c r="AG295" s="27" t="s">
        <v>55</v>
      </c>
      <c r="AH295" s="27" t="s">
        <v>55</v>
      </c>
      <c r="AI295" s="27" t="s">
        <v>55</v>
      </c>
      <c r="AJ295" s="27" t="s">
        <v>55</v>
      </c>
      <c r="AK295" s="27" t="s">
        <v>55</v>
      </c>
      <c r="AL295" s="27" t="s">
        <v>55</v>
      </c>
      <c r="AM295" s="27" t="s">
        <v>55</v>
      </c>
      <c r="AN295" s="27" t="s">
        <v>55</v>
      </c>
      <c r="AO295" s="27" t="s">
        <v>55</v>
      </c>
      <c r="AP295" s="27" t="s">
        <v>55</v>
      </c>
      <c r="AQ295" s="27" t="s">
        <v>55</v>
      </c>
      <c r="AR295" s="27" t="s">
        <v>55</v>
      </c>
      <c r="AS295" s="27" t="s">
        <v>55</v>
      </c>
      <c r="BI295" s="2" t="s">
        <v>437</v>
      </c>
    </row>
    <row r="296" spans="1:61" ht="60" customHeight="1" x14ac:dyDescent="0.5">
      <c r="E296" s="44"/>
      <c r="F296" s="44"/>
      <c r="G296" s="44"/>
      <c r="H296" s="44"/>
      <c r="P296" s="2">
        <v>2.5</v>
      </c>
      <c r="Q296" s="2"/>
      <c r="R296" s="3">
        <v>45958</v>
      </c>
      <c r="S296" s="58">
        <v>0.74861111111111112</v>
      </c>
      <c r="U296" s="2">
        <f t="shared" si="62"/>
        <v>27</v>
      </c>
      <c r="V296" s="2"/>
      <c r="AB296" s="27" t="s">
        <v>460</v>
      </c>
      <c r="AC296" s="27" t="s">
        <v>459</v>
      </c>
      <c r="AD296" s="27">
        <v>8</v>
      </c>
      <c r="AE296" s="27" t="s">
        <v>55</v>
      </c>
      <c r="AF296" s="27" t="s">
        <v>55</v>
      </c>
      <c r="AG296" s="27" t="s">
        <v>55</v>
      </c>
      <c r="AH296" s="27" t="s">
        <v>55</v>
      </c>
      <c r="AI296" s="27" t="s">
        <v>55</v>
      </c>
      <c r="AJ296" s="27" t="s">
        <v>55</v>
      </c>
      <c r="AK296" s="27" t="s">
        <v>55</v>
      </c>
      <c r="AL296" s="27" t="s">
        <v>55</v>
      </c>
      <c r="AM296" s="27" t="s">
        <v>55</v>
      </c>
      <c r="AN296" s="27" t="s">
        <v>55</v>
      </c>
      <c r="AO296" s="27" t="s">
        <v>55</v>
      </c>
      <c r="AP296" s="27" t="s">
        <v>55</v>
      </c>
      <c r="AQ296" s="27" t="s">
        <v>55</v>
      </c>
      <c r="AR296" s="27" t="s">
        <v>55</v>
      </c>
      <c r="AS296" s="27" t="s">
        <v>55</v>
      </c>
    </row>
    <row r="297" spans="1:61" ht="60" customHeight="1" x14ac:dyDescent="0.5">
      <c r="E297" s="44"/>
      <c r="F297" s="44"/>
      <c r="G297" s="44"/>
      <c r="H297" s="44"/>
      <c r="P297" s="2">
        <v>2.5</v>
      </c>
      <c r="Q297" s="2"/>
      <c r="R297" s="3">
        <v>45961</v>
      </c>
      <c r="S297" s="58">
        <v>0.72638888888888886</v>
      </c>
      <c r="T297" s="2"/>
      <c r="U297" s="2">
        <f t="shared" si="62"/>
        <v>30</v>
      </c>
      <c r="V297" s="2"/>
      <c r="AB297" s="27" t="s">
        <v>184</v>
      </c>
      <c r="AC297" s="27" t="s">
        <v>525</v>
      </c>
      <c r="AD297" s="27">
        <v>8</v>
      </c>
      <c r="AE297" s="27" t="s">
        <v>55</v>
      </c>
      <c r="AF297" s="27" t="s">
        <v>55</v>
      </c>
      <c r="AG297" s="27" t="s">
        <v>55</v>
      </c>
      <c r="AH297" s="27" t="s">
        <v>55</v>
      </c>
      <c r="AI297" s="27" t="s">
        <v>55</v>
      </c>
      <c r="AJ297" s="27" t="s">
        <v>55</v>
      </c>
      <c r="AK297" s="27" t="s">
        <v>55</v>
      </c>
      <c r="AL297" s="27" t="s">
        <v>55</v>
      </c>
      <c r="AM297" s="27" t="s">
        <v>55</v>
      </c>
      <c r="AN297" s="27" t="s">
        <v>55</v>
      </c>
      <c r="AO297" s="27" t="s">
        <v>55</v>
      </c>
      <c r="AP297" s="27" t="s">
        <v>55</v>
      </c>
      <c r="AQ297" s="27" t="s">
        <v>55</v>
      </c>
      <c r="AR297" s="27" t="s">
        <v>55</v>
      </c>
      <c r="AS297" s="27" t="s">
        <v>55</v>
      </c>
      <c r="BI297" s="2" t="s">
        <v>437</v>
      </c>
    </row>
    <row r="298" spans="1:61" ht="60" customHeight="1" x14ac:dyDescent="0.5">
      <c r="E298" s="44"/>
      <c r="F298" s="44"/>
      <c r="G298" s="44"/>
      <c r="H298" s="44"/>
      <c r="P298" s="2">
        <v>2.5</v>
      </c>
      <c r="Q298" s="2"/>
      <c r="R298" s="3">
        <v>45964</v>
      </c>
      <c r="S298" s="61">
        <v>45964.347222222219</v>
      </c>
      <c r="T298" s="2"/>
      <c r="U298" s="2">
        <f t="shared" si="62"/>
        <v>33</v>
      </c>
      <c r="V298" s="2"/>
      <c r="AB298" s="27" t="s">
        <v>345</v>
      </c>
      <c r="AC298" s="27" t="s">
        <v>550</v>
      </c>
      <c r="AD298" s="27">
        <v>8</v>
      </c>
      <c r="AE298" s="27" t="s">
        <v>55</v>
      </c>
      <c r="AF298" s="27" t="s">
        <v>55</v>
      </c>
      <c r="AG298" s="27" t="s">
        <v>55</v>
      </c>
      <c r="AH298" s="27" t="s">
        <v>55</v>
      </c>
      <c r="AI298" s="27" t="s">
        <v>55</v>
      </c>
      <c r="AJ298" s="27" t="s">
        <v>55</v>
      </c>
      <c r="AK298" s="27" t="s">
        <v>55</v>
      </c>
      <c r="AL298" s="27" t="s">
        <v>55</v>
      </c>
      <c r="AM298" s="27" t="s">
        <v>55</v>
      </c>
      <c r="AN298" s="27" t="s">
        <v>55</v>
      </c>
      <c r="AO298" s="27" t="s">
        <v>55</v>
      </c>
      <c r="AP298" s="27" t="s">
        <v>55</v>
      </c>
      <c r="AQ298" s="27" t="s">
        <v>55</v>
      </c>
      <c r="AR298" s="27" t="s">
        <v>55</v>
      </c>
      <c r="AS298" s="27" t="s">
        <v>55</v>
      </c>
      <c r="BI298" s="2" t="s">
        <v>607</v>
      </c>
    </row>
    <row r="299" spans="1:61" s="2" customFormat="1" ht="60" customHeight="1" x14ac:dyDescent="0.35">
      <c r="A299" s="32"/>
      <c r="B299" s="20"/>
      <c r="E299" s="44"/>
      <c r="F299" s="44"/>
      <c r="G299" s="44"/>
      <c r="H299" s="44"/>
      <c r="P299" s="2">
        <v>2.5</v>
      </c>
      <c r="R299" s="3">
        <v>45968</v>
      </c>
      <c r="S299" s="61">
        <v>45968.679166666669</v>
      </c>
      <c r="T299" s="2">
        <f>S299-S298</f>
        <v>4.3319444444496185</v>
      </c>
      <c r="U299" s="2">
        <f t="shared" si="62"/>
        <v>37</v>
      </c>
      <c r="W299" s="27"/>
      <c r="X299" s="27"/>
      <c r="Y299" s="27"/>
      <c r="Z299" s="27"/>
      <c r="AA299" s="27"/>
      <c r="AB299" s="27" t="s">
        <v>347</v>
      </c>
      <c r="AC299" s="27" t="s">
        <v>130</v>
      </c>
      <c r="AD299" s="27">
        <v>8</v>
      </c>
      <c r="AE299" s="62">
        <f>$S$298+($T$299/2)</f>
        <v>45966.513194444444</v>
      </c>
      <c r="AF299" s="27">
        <f>$U$298+($T$299/2)</f>
        <v>35.165972222224809</v>
      </c>
      <c r="AG299" s="27">
        <v>63.5</v>
      </c>
      <c r="AH299" s="27">
        <v>63.5</v>
      </c>
      <c r="AI299" s="27">
        <v>0</v>
      </c>
      <c r="AJ299" s="27">
        <f>AH299-AI299</f>
        <v>63.5</v>
      </c>
      <c r="AK299" s="27" t="s">
        <v>55</v>
      </c>
      <c r="AL299" s="27" t="s">
        <v>55</v>
      </c>
      <c r="AM299" s="27" t="s">
        <v>55</v>
      </c>
      <c r="AN299" s="27" t="s">
        <v>55</v>
      </c>
      <c r="AO299" s="27" t="s">
        <v>55</v>
      </c>
      <c r="AP299" s="27" t="s">
        <v>55</v>
      </c>
      <c r="AQ299" s="27" t="s">
        <v>55</v>
      </c>
      <c r="AR299" s="27" t="s">
        <v>55</v>
      </c>
      <c r="AS299" s="27" t="s">
        <v>55</v>
      </c>
      <c r="BI299" s="2" t="s">
        <v>437</v>
      </c>
    </row>
    <row r="300" spans="1:61" s="2" customFormat="1" ht="60" customHeight="1" x14ac:dyDescent="0.35">
      <c r="A300" s="32"/>
      <c r="B300" s="20"/>
      <c r="E300" s="44"/>
      <c r="F300" s="44"/>
      <c r="G300" s="44"/>
      <c r="H300" s="44"/>
      <c r="P300" s="2">
        <v>2.25</v>
      </c>
      <c r="R300" s="3">
        <v>45972</v>
      </c>
      <c r="S300" s="58">
        <v>0.76180555555555551</v>
      </c>
      <c r="U300" s="2">
        <f t="shared" si="62"/>
        <v>41</v>
      </c>
      <c r="W300" s="27"/>
      <c r="X300" s="27"/>
      <c r="Y300" s="27"/>
      <c r="Z300" s="27"/>
      <c r="AA300" s="27"/>
      <c r="AB300" s="27" t="s">
        <v>590</v>
      </c>
      <c r="AC300" s="27" t="s">
        <v>100</v>
      </c>
      <c r="AD300" s="27">
        <v>8</v>
      </c>
      <c r="AE300" s="62">
        <f t="shared" ref="AE300:AE302" si="64">$S$298+($T$299/2)</f>
        <v>45966.513194444444</v>
      </c>
      <c r="AF300" s="27">
        <f t="shared" ref="AF300:AF302" si="65">$U$298+($T$299/2)</f>
        <v>35.165972222224809</v>
      </c>
      <c r="AG300" s="27" t="s">
        <v>598</v>
      </c>
      <c r="AH300" s="27" t="s">
        <v>598</v>
      </c>
      <c r="AI300" s="27">
        <v>0</v>
      </c>
      <c r="AJ300" s="27" t="s">
        <v>591</v>
      </c>
      <c r="AK300" s="27" t="s">
        <v>55</v>
      </c>
      <c r="AL300" s="27" t="s">
        <v>55</v>
      </c>
      <c r="AM300" s="27" t="s">
        <v>55</v>
      </c>
      <c r="AN300" s="27" t="s">
        <v>55</v>
      </c>
      <c r="AO300" s="27" t="s">
        <v>55</v>
      </c>
      <c r="AP300" s="27" t="s">
        <v>55</v>
      </c>
      <c r="AQ300" s="27" t="s">
        <v>55</v>
      </c>
      <c r="AR300" s="27" t="s">
        <v>55</v>
      </c>
      <c r="AS300" s="27" t="s">
        <v>55</v>
      </c>
      <c r="BI300" s="2" t="s">
        <v>592</v>
      </c>
    </row>
    <row r="301" spans="1:61" s="2" customFormat="1" ht="60" customHeight="1" x14ac:dyDescent="0.35">
      <c r="A301" s="32"/>
      <c r="B301" s="20"/>
      <c r="E301" s="44"/>
      <c r="F301" s="44"/>
      <c r="G301" s="44"/>
      <c r="H301" s="44"/>
      <c r="P301" s="2">
        <v>2.5</v>
      </c>
      <c r="R301" s="3">
        <v>45976</v>
      </c>
      <c r="S301" s="58">
        <v>0.40833333333333333</v>
      </c>
      <c r="U301" s="2">
        <f t="shared" si="62"/>
        <v>45</v>
      </c>
      <c r="W301" s="27"/>
      <c r="X301" s="27"/>
      <c r="Y301" s="27"/>
      <c r="Z301" s="27"/>
      <c r="AA301" s="27"/>
      <c r="AB301" s="37" t="s">
        <v>640</v>
      </c>
      <c r="AC301" s="37" t="s">
        <v>639</v>
      </c>
      <c r="AD301" s="27">
        <v>8</v>
      </c>
      <c r="AE301" s="62">
        <f t="shared" si="64"/>
        <v>45966.513194444444</v>
      </c>
      <c r="AF301" s="27">
        <f t="shared" si="65"/>
        <v>35.165972222224809</v>
      </c>
      <c r="AG301" s="37" t="s">
        <v>641</v>
      </c>
      <c r="AH301" s="27" t="s">
        <v>55</v>
      </c>
      <c r="AI301" s="27" t="s">
        <v>55</v>
      </c>
      <c r="AJ301" s="27" t="s">
        <v>55</v>
      </c>
      <c r="AK301" s="27" t="s">
        <v>55</v>
      </c>
      <c r="AL301" s="27" t="s">
        <v>55</v>
      </c>
      <c r="AM301" s="27" t="s">
        <v>55</v>
      </c>
      <c r="AN301" s="27">
        <v>104.86</v>
      </c>
      <c r="AO301" s="27">
        <v>0</v>
      </c>
      <c r="AP301" s="27">
        <f>AN301-AO301</f>
        <v>104.86</v>
      </c>
      <c r="AQ301" s="27" t="s">
        <v>55</v>
      </c>
      <c r="AR301" s="27" t="s">
        <v>55</v>
      </c>
      <c r="AS301" s="27" t="s">
        <v>55</v>
      </c>
      <c r="BI301" s="2" t="s">
        <v>606</v>
      </c>
    </row>
    <row r="302" spans="1:61" s="2" customFormat="1" ht="60" customHeight="1" x14ac:dyDescent="0.35">
      <c r="A302" s="32"/>
      <c r="B302" s="20"/>
      <c r="E302" s="44"/>
      <c r="F302" s="44"/>
      <c r="G302" s="44"/>
      <c r="H302" s="44"/>
      <c r="P302" s="2">
        <v>2.5</v>
      </c>
      <c r="R302" s="3">
        <v>45979</v>
      </c>
      <c r="S302" s="58">
        <v>0.64513888888888893</v>
      </c>
      <c r="U302" s="2">
        <f t="shared" si="62"/>
        <v>48</v>
      </c>
      <c r="W302" s="27"/>
      <c r="X302" s="27"/>
      <c r="Y302" s="27"/>
      <c r="Z302" s="27"/>
      <c r="AA302" s="27"/>
      <c r="AB302" s="27" t="s">
        <v>341</v>
      </c>
      <c r="AC302" s="37" t="s">
        <v>611</v>
      </c>
      <c r="AD302" s="27">
        <v>8</v>
      </c>
      <c r="AE302" s="62">
        <f t="shared" si="64"/>
        <v>45966.513194444444</v>
      </c>
      <c r="AF302" s="27">
        <f t="shared" si="65"/>
        <v>35.165972222224809</v>
      </c>
      <c r="AG302" s="37" t="s">
        <v>612</v>
      </c>
      <c r="AH302" s="27">
        <v>65.2</v>
      </c>
      <c r="AI302" s="27">
        <v>0</v>
      </c>
      <c r="AJ302" s="27">
        <f>AH302-AI302</f>
        <v>65.2</v>
      </c>
      <c r="AK302" s="27" t="s">
        <v>55</v>
      </c>
      <c r="AL302" s="27" t="s">
        <v>55</v>
      </c>
      <c r="AM302" s="27" t="s">
        <v>55</v>
      </c>
      <c r="AN302" s="27">
        <v>70.62</v>
      </c>
      <c r="AO302" s="27">
        <v>0</v>
      </c>
      <c r="AP302" s="27">
        <f>AN302-AO302</f>
        <v>70.62</v>
      </c>
      <c r="AQ302" s="27" t="s">
        <v>55</v>
      </c>
      <c r="AR302" s="27" t="s">
        <v>55</v>
      </c>
      <c r="AS302" s="27" t="s">
        <v>55</v>
      </c>
      <c r="BI302" s="2" t="s">
        <v>606</v>
      </c>
    </row>
    <row r="303" spans="1:61" ht="60" customHeight="1" x14ac:dyDescent="0.5">
      <c r="E303" s="44"/>
      <c r="F303" s="44"/>
      <c r="G303" s="44"/>
      <c r="H303" s="44"/>
      <c r="AB303" s="27"/>
      <c r="AC303" s="37"/>
    </row>
    <row r="304" spans="1:61" ht="60" customHeight="1" x14ac:dyDescent="0.35">
      <c r="A304" s="32">
        <v>24</v>
      </c>
      <c r="B304" s="57" t="s">
        <v>292</v>
      </c>
      <c r="C304" s="3">
        <v>45170</v>
      </c>
      <c r="D304" s="3">
        <v>45933</v>
      </c>
      <c r="E304" s="44">
        <f t="shared" ref="E304" si="66">D304-C304</f>
        <v>763</v>
      </c>
      <c r="F304" s="44">
        <f>E304/30</f>
        <v>25.433333333333334</v>
      </c>
      <c r="G304" s="44">
        <f t="shared" ref="G304:G336" si="67">E304/365</f>
        <v>2.0904109589041098</v>
      </c>
      <c r="H304" s="44">
        <f t="shared" ref="H304:H336" si="68">(E304-180)/240</f>
        <v>2.4291666666666667</v>
      </c>
      <c r="P304" s="2">
        <v>2.5</v>
      </c>
      <c r="Q304" s="2" t="s">
        <v>431</v>
      </c>
      <c r="R304" s="3">
        <v>45939</v>
      </c>
      <c r="S304" s="63">
        <v>0.35416666666666669</v>
      </c>
      <c r="T304" s="3"/>
      <c r="U304" s="2">
        <f t="shared" ref="U304:U312" si="69">R304-$D$304</f>
        <v>6</v>
      </c>
      <c r="V304" s="17">
        <f>R310-D304</f>
        <v>28</v>
      </c>
      <c r="W304" s="27"/>
      <c r="X304" s="27"/>
      <c r="Y304" s="27"/>
      <c r="Z304" s="27"/>
      <c r="AA304" s="27"/>
      <c r="AB304" s="27" t="s">
        <v>55</v>
      </c>
      <c r="AC304" s="27" t="s">
        <v>55</v>
      </c>
      <c r="AD304" s="27" t="s">
        <v>55</v>
      </c>
      <c r="AE304" s="27" t="s">
        <v>55</v>
      </c>
      <c r="AF304" s="27" t="s">
        <v>55</v>
      </c>
      <c r="AG304" s="27" t="s">
        <v>55</v>
      </c>
      <c r="AH304" s="27" t="s">
        <v>55</v>
      </c>
      <c r="AI304" s="27" t="s">
        <v>55</v>
      </c>
      <c r="AJ304" s="27" t="s">
        <v>55</v>
      </c>
      <c r="AK304" s="27" t="s">
        <v>55</v>
      </c>
      <c r="AL304" s="27" t="s">
        <v>55</v>
      </c>
      <c r="AM304" s="27" t="s">
        <v>55</v>
      </c>
      <c r="AN304" s="27" t="s">
        <v>55</v>
      </c>
      <c r="AO304" s="27" t="s">
        <v>55</v>
      </c>
      <c r="AP304" s="27" t="s">
        <v>55</v>
      </c>
      <c r="AQ304" s="27" t="s">
        <v>55</v>
      </c>
      <c r="AR304" s="27" t="s">
        <v>55</v>
      </c>
      <c r="AS304" s="27" t="s">
        <v>55</v>
      </c>
    </row>
    <row r="305" spans="1:61" ht="60" customHeight="1" x14ac:dyDescent="0.5">
      <c r="E305" s="44"/>
      <c r="F305" s="44"/>
      <c r="G305" s="44"/>
      <c r="H305" s="44"/>
      <c r="P305" s="2">
        <v>2.75</v>
      </c>
      <c r="R305" s="3">
        <v>45944</v>
      </c>
      <c r="S305" s="58">
        <v>0.66319444444444442</v>
      </c>
      <c r="T305" s="3"/>
      <c r="U305" s="2">
        <f t="shared" si="69"/>
        <v>11</v>
      </c>
      <c r="V305" s="2"/>
      <c r="AB305" s="27" t="s">
        <v>355</v>
      </c>
      <c r="AC305" s="27" t="s">
        <v>356</v>
      </c>
      <c r="AD305" s="27">
        <f>$U$305</f>
        <v>11</v>
      </c>
      <c r="AE305" s="27" t="s">
        <v>55</v>
      </c>
      <c r="AF305" s="27" t="s">
        <v>55</v>
      </c>
      <c r="AG305" s="27" t="s">
        <v>55</v>
      </c>
      <c r="AH305" s="27" t="s">
        <v>55</v>
      </c>
      <c r="AI305" s="27" t="s">
        <v>55</v>
      </c>
      <c r="AJ305" s="27" t="s">
        <v>55</v>
      </c>
      <c r="AK305" s="27" t="s">
        <v>55</v>
      </c>
      <c r="AL305" s="27" t="s">
        <v>55</v>
      </c>
      <c r="AM305" s="27" t="s">
        <v>55</v>
      </c>
      <c r="AN305" s="27" t="s">
        <v>55</v>
      </c>
      <c r="AO305" s="27" t="s">
        <v>55</v>
      </c>
      <c r="AP305" s="27" t="s">
        <v>55</v>
      </c>
      <c r="AQ305" s="27" t="s">
        <v>55</v>
      </c>
      <c r="AR305" s="27" t="s">
        <v>55</v>
      </c>
      <c r="AS305" s="27" t="s">
        <v>55</v>
      </c>
    </row>
    <row r="306" spans="1:61" ht="60" customHeight="1" x14ac:dyDescent="0.5">
      <c r="E306" s="44"/>
      <c r="F306" s="44"/>
      <c r="G306" s="44"/>
      <c r="H306" s="44"/>
      <c r="P306" s="2">
        <v>2.75</v>
      </c>
      <c r="R306" s="3">
        <v>45947</v>
      </c>
      <c r="S306" s="58">
        <v>0.49166666666666664</v>
      </c>
      <c r="U306" s="2">
        <f t="shared" si="69"/>
        <v>14</v>
      </c>
      <c r="V306" s="2"/>
      <c r="AB306" s="27" t="s">
        <v>133</v>
      </c>
      <c r="AC306" s="27" t="s">
        <v>130</v>
      </c>
      <c r="AD306" s="27">
        <f>$U$305</f>
        <v>11</v>
      </c>
      <c r="AE306" s="27" t="s">
        <v>55</v>
      </c>
      <c r="AF306" s="27" t="s">
        <v>55</v>
      </c>
      <c r="AG306" s="27" t="s">
        <v>55</v>
      </c>
      <c r="AH306" s="27" t="s">
        <v>55</v>
      </c>
      <c r="AI306" s="27" t="s">
        <v>55</v>
      </c>
      <c r="AJ306" s="27" t="s">
        <v>55</v>
      </c>
      <c r="AK306" s="27" t="s">
        <v>55</v>
      </c>
      <c r="AL306" s="27" t="s">
        <v>55</v>
      </c>
      <c r="AM306" s="27" t="s">
        <v>55</v>
      </c>
      <c r="AN306" s="27" t="s">
        <v>55</v>
      </c>
      <c r="AO306" s="27" t="s">
        <v>55</v>
      </c>
      <c r="AP306" s="27" t="s">
        <v>55</v>
      </c>
      <c r="AQ306" s="27" t="s">
        <v>55</v>
      </c>
      <c r="AR306" s="27" t="s">
        <v>55</v>
      </c>
      <c r="AS306" s="27" t="s">
        <v>55</v>
      </c>
    </row>
    <row r="307" spans="1:61" ht="60" customHeight="1" x14ac:dyDescent="0.5">
      <c r="E307" s="44"/>
      <c r="F307" s="44"/>
      <c r="G307" s="44"/>
      <c r="H307" s="44"/>
      <c r="P307" s="2">
        <v>2.75</v>
      </c>
      <c r="Q307" s="2"/>
      <c r="R307" s="3">
        <v>45951</v>
      </c>
      <c r="S307" s="58">
        <v>0.73263888888888884</v>
      </c>
      <c r="T307" s="2"/>
      <c r="U307" s="2">
        <f t="shared" si="69"/>
        <v>18</v>
      </c>
      <c r="V307" s="2"/>
      <c r="W307" s="27"/>
      <c r="X307" s="27"/>
      <c r="Y307" s="27"/>
      <c r="Z307" s="27"/>
      <c r="AA307" s="27"/>
      <c r="AB307" s="37" t="s">
        <v>423</v>
      </c>
      <c r="AC307" s="27" t="s">
        <v>424</v>
      </c>
      <c r="AD307" s="27">
        <v>11</v>
      </c>
      <c r="AE307" s="27" t="s">
        <v>55</v>
      </c>
      <c r="AF307" s="27" t="s">
        <v>55</v>
      </c>
      <c r="AG307" s="27" t="s">
        <v>55</v>
      </c>
      <c r="AH307" s="27" t="s">
        <v>55</v>
      </c>
      <c r="AI307" s="27" t="s">
        <v>55</v>
      </c>
      <c r="AJ307" s="27" t="s">
        <v>55</v>
      </c>
      <c r="AK307" s="27" t="s">
        <v>55</v>
      </c>
      <c r="AL307" s="27" t="s">
        <v>55</v>
      </c>
      <c r="AM307" s="27" t="s">
        <v>55</v>
      </c>
      <c r="AN307" s="27" t="s">
        <v>55</v>
      </c>
      <c r="AO307" s="27" t="s">
        <v>55</v>
      </c>
      <c r="AP307" s="27" t="s">
        <v>55</v>
      </c>
      <c r="AQ307" s="27" t="s">
        <v>55</v>
      </c>
      <c r="AR307" s="27" t="s">
        <v>55</v>
      </c>
      <c r="AS307" s="27" t="s">
        <v>55</v>
      </c>
    </row>
    <row r="308" spans="1:61" ht="60" customHeight="1" x14ac:dyDescent="0.5">
      <c r="E308" s="44"/>
      <c r="F308" s="44"/>
      <c r="G308" s="44"/>
      <c r="H308" s="44"/>
      <c r="P308" s="2">
        <v>2.75</v>
      </c>
      <c r="R308" s="3">
        <v>45954</v>
      </c>
      <c r="S308" s="58">
        <v>0.69166666666666665</v>
      </c>
      <c r="T308" s="2"/>
      <c r="U308" s="2">
        <f t="shared" si="69"/>
        <v>21</v>
      </c>
      <c r="V308" s="2"/>
      <c r="AB308" s="27" t="s">
        <v>440</v>
      </c>
      <c r="AC308" s="27" t="s">
        <v>441</v>
      </c>
      <c r="AD308" s="27">
        <v>11</v>
      </c>
      <c r="AE308" s="27" t="s">
        <v>55</v>
      </c>
      <c r="AF308" s="27" t="s">
        <v>55</v>
      </c>
      <c r="AG308" s="27" t="s">
        <v>55</v>
      </c>
      <c r="AH308" s="27" t="s">
        <v>55</v>
      </c>
      <c r="AI308" s="27" t="s">
        <v>55</v>
      </c>
      <c r="AJ308" s="27" t="s">
        <v>55</v>
      </c>
      <c r="AK308" s="27" t="s">
        <v>55</v>
      </c>
      <c r="AL308" s="27" t="s">
        <v>55</v>
      </c>
      <c r="AM308" s="27" t="s">
        <v>55</v>
      </c>
      <c r="AN308" s="27" t="s">
        <v>55</v>
      </c>
      <c r="AO308" s="27" t="s">
        <v>55</v>
      </c>
      <c r="AP308" s="27" t="s">
        <v>55</v>
      </c>
      <c r="AQ308" s="27" t="s">
        <v>55</v>
      </c>
      <c r="AR308" s="27" t="s">
        <v>55</v>
      </c>
      <c r="AS308" s="27" t="s">
        <v>55</v>
      </c>
    </row>
    <row r="309" spans="1:61" ht="60" customHeight="1" x14ac:dyDescent="0.5">
      <c r="E309" s="44"/>
      <c r="F309" s="44"/>
      <c r="G309" s="44"/>
      <c r="H309" s="44"/>
      <c r="P309" s="2">
        <v>2.75</v>
      </c>
      <c r="Q309" s="2"/>
      <c r="R309" s="3">
        <v>45958</v>
      </c>
      <c r="S309" s="61">
        <v>45958.759027777778</v>
      </c>
      <c r="T309" s="2"/>
      <c r="U309" s="2">
        <f t="shared" si="69"/>
        <v>25</v>
      </c>
      <c r="V309" s="2"/>
      <c r="W309" s="27"/>
      <c r="X309" s="27"/>
      <c r="Y309" s="27"/>
      <c r="Z309" s="27"/>
      <c r="AA309" s="27"/>
      <c r="AB309" s="27" t="s">
        <v>463</v>
      </c>
      <c r="AC309" s="27" t="s">
        <v>267</v>
      </c>
      <c r="AD309" s="27">
        <v>11</v>
      </c>
      <c r="AE309" s="27" t="s">
        <v>55</v>
      </c>
      <c r="AF309" s="27" t="s">
        <v>55</v>
      </c>
      <c r="AG309" s="27" t="s">
        <v>55</v>
      </c>
      <c r="AH309" s="27" t="s">
        <v>55</v>
      </c>
      <c r="AI309" s="27" t="s">
        <v>55</v>
      </c>
      <c r="AJ309" s="27" t="s">
        <v>55</v>
      </c>
      <c r="AK309" s="27" t="s">
        <v>55</v>
      </c>
      <c r="AL309" s="27" t="s">
        <v>55</v>
      </c>
      <c r="AM309" s="27" t="s">
        <v>55</v>
      </c>
      <c r="AN309" s="27" t="s">
        <v>55</v>
      </c>
      <c r="AO309" s="27" t="s">
        <v>55</v>
      </c>
      <c r="AP309" s="27" t="s">
        <v>55</v>
      </c>
      <c r="AQ309" s="27" t="s">
        <v>55</v>
      </c>
      <c r="AR309" s="27" t="s">
        <v>55</v>
      </c>
      <c r="AS309" s="27" t="s">
        <v>55</v>
      </c>
    </row>
    <row r="310" spans="1:61" ht="60" customHeight="1" x14ac:dyDescent="0.5">
      <c r="E310" s="44"/>
      <c r="F310" s="44"/>
      <c r="G310" s="44"/>
      <c r="H310" s="44"/>
      <c r="P310" s="2">
        <v>2.75</v>
      </c>
      <c r="Q310" s="2"/>
      <c r="R310" s="3">
        <v>45961</v>
      </c>
      <c r="S310" s="61">
        <v>45961.712500000001</v>
      </c>
      <c r="T310" s="2">
        <f>S310-S309</f>
        <v>2.953472222223354</v>
      </c>
      <c r="U310" s="2">
        <f t="shared" si="69"/>
        <v>28</v>
      </c>
      <c r="V310" s="2"/>
      <c r="W310" s="27"/>
      <c r="X310" s="27"/>
      <c r="Y310" s="27"/>
      <c r="Z310" s="27"/>
      <c r="AA310" s="27"/>
      <c r="AB310" s="27" t="s">
        <v>518</v>
      </c>
      <c r="AC310" s="27" t="s">
        <v>356</v>
      </c>
      <c r="AD310" s="27">
        <v>11</v>
      </c>
      <c r="AE310" s="62">
        <f>$S$310+($T$310/2)</f>
        <v>45963.189236111109</v>
      </c>
      <c r="AF310" s="27">
        <f>$U$309+($T$310/2)</f>
        <v>26.476736111111677</v>
      </c>
      <c r="AG310" s="27" t="s">
        <v>55</v>
      </c>
      <c r="AH310" s="27" t="s">
        <v>55</v>
      </c>
      <c r="AI310" s="27" t="s">
        <v>55</v>
      </c>
      <c r="AJ310" s="27" t="s">
        <v>55</v>
      </c>
      <c r="AK310" s="27" t="s">
        <v>55</v>
      </c>
      <c r="AL310" s="27" t="s">
        <v>55</v>
      </c>
      <c r="AM310" s="27" t="s">
        <v>55</v>
      </c>
      <c r="AN310" s="27" t="s">
        <v>55</v>
      </c>
      <c r="AO310" s="27" t="s">
        <v>55</v>
      </c>
      <c r="AP310" s="27" t="s">
        <v>55</v>
      </c>
      <c r="AQ310" s="27" t="s">
        <v>55</v>
      </c>
      <c r="AR310" s="27" t="s">
        <v>55</v>
      </c>
      <c r="AS310" s="27" t="s">
        <v>55</v>
      </c>
    </row>
    <row r="311" spans="1:61" s="2" customFormat="1" ht="60" customHeight="1" x14ac:dyDescent="0.35">
      <c r="A311" s="32"/>
      <c r="B311" s="20"/>
      <c r="E311" s="44"/>
      <c r="F311" s="44"/>
      <c r="G311" s="44"/>
      <c r="H311" s="44"/>
      <c r="P311" s="2">
        <v>2.75</v>
      </c>
      <c r="R311" s="3">
        <v>45964</v>
      </c>
      <c r="S311" s="58">
        <v>0.3527777777777778</v>
      </c>
      <c r="U311" s="2">
        <f t="shared" si="69"/>
        <v>31</v>
      </c>
      <c r="W311" s="27"/>
      <c r="X311" s="27"/>
      <c r="Y311" s="27"/>
      <c r="Z311" s="27"/>
      <c r="AA311" s="27"/>
      <c r="AB311" s="27" t="s">
        <v>552</v>
      </c>
      <c r="AC311" s="27" t="s">
        <v>551</v>
      </c>
      <c r="AD311" s="27">
        <v>11</v>
      </c>
      <c r="AE311" s="62">
        <f t="shared" ref="AE311:AE312" si="70">$S$310+($T$310/2)</f>
        <v>45963.189236111109</v>
      </c>
      <c r="AF311" s="27">
        <f t="shared" ref="AF311:AF312" si="71">$U$309+($T$310/2)</f>
        <v>26.476736111111677</v>
      </c>
      <c r="AG311" s="37" t="s">
        <v>633</v>
      </c>
      <c r="AH311" s="27">
        <v>32.97</v>
      </c>
      <c r="AI311" s="27">
        <v>25</v>
      </c>
      <c r="AJ311" s="27">
        <f>AH311-AI311</f>
        <v>7.9699999999999989</v>
      </c>
      <c r="AK311" s="27" t="s">
        <v>55</v>
      </c>
      <c r="AL311" s="27" t="s">
        <v>55</v>
      </c>
      <c r="AM311" s="27" t="s">
        <v>55</v>
      </c>
      <c r="AN311" s="27" t="s">
        <v>55</v>
      </c>
      <c r="AO311" s="27" t="s">
        <v>55</v>
      </c>
      <c r="AP311" s="27" t="s">
        <v>55</v>
      </c>
      <c r="AQ311" s="27" t="s">
        <v>55</v>
      </c>
      <c r="AR311" s="27" t="s">
        <v>55</v>
      </c>
      <c r="AS311" s="27" t="s">
        <v>55</v>
      </c>
      <c r="BI311" s="2" t="s">
        <v>606</v>
      </c>
    </row>
    <row r="312" spans="1:61" s="2" customFormat="1" ht="60" customHeight="1" x14ac:dyDescent="0.35">
      <c r="A312" s="32"/>
      <c r="B312" s="20"/>
      <c r="E312" s="44"/>
      <c r="F312" s="44"/>
      <c r="G312" s="44"/>
      <c r="H312" s="44"/>
      <c r="P312" s="2">
        <v>2.75</v>
      </c>
      <c r="R312" s="3">
        <v>45968</v>
      </c>
      <c r="S312" s="58">
        <v>0.6791666666666667</v>
      </c>
      <c r="U312" s="2">
        <f t="shared" si="69"/>
        <v>35</v>
      </c>
      <c r="W312" s="27"/>
      <c r="X312" s="27"/>
      <c r="Y312" s="27"/>
      <c r="Z312" s="27"/>
      <c r="AA312" s="27"/>
      <c r="AB312" s="27" t="s">
        <v>580</v>
      </c>
      <c r="AC312" s="27" t="s">
        <v>319</v>
      </c>
      <c r="AD312" s="27">
        <v>11</v>
      </c>
      <c r="AE312" s="62">
        <f t="shared" si="70"/>
        <v>45963.189236111109</v>
      </c>
      <c r="AF312" s="27">
        <f t="shared" si="71"/>
        <v>26.476736111111677</v>
      </c>
      <c r="AG312" s="37" t="s">
        <v>581</v>
      </c>
      <c r="AH312" s="27">
        <v>96.51</v>
      </c>
      <c r="AI312" s="27">
        <v>12.77</v>
      </c>
      <c r="AJ312" s="27">
        <f>AH312-AI312</f>
        <v>83.740000000000009</v>
      </c>
      <c r="AK312" s="27" t="s">
        <v>55</v>
      </c>
      <c r="AL312" s="27" t="s">
        <v>55</v>
      </c>
      <c r="AM312" s="27" t="s">
        <v>55</v>
      </c>
      <c r="AN312" s="27">
        <v>68.39</v>
      </c>
      <c r="AO312" s="27">
        <v>0</v>
      </c>
      <c r="AP312" s="27">
        <f>AN312-AO312</f>
        <v>68.39</v>
      </c>
      <c r="AQ312" s="27" t="s">
        <v>55</v>
      </c>
      <c r="AR312" s="27" t="s">
        <v>55</v>
      </c>
      <c r="AS312" s="27" t="s">
        <v>55</v>
      </c>
    </row>
    <row r="313" spans="1:61" s="2" customFormat="1" ht="60" customHeight="1" x14ac:dyDescent="0.35">
      <c r="A313" s="32"/>
      <c r="B313" s="20"/>
      <c r="E313" s="44"/>
      <c r="F313" s="44"/>
      <c r="G313" s="44"/>
      <c r="H313" s="44"/>
      <c r="R313" s="3"/>
      <c r="S313" s="58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3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</row>
    <row r="314" spans="1:61" s="66" customFormat="1" ht="60" customHeight="1" x14ac:dyDescent="0.35">
      <c r="A314" s="64">
        <v>25</v>
      </c>
      <c r="B314" s="65" t="s">
        <v>330</v>
      </c>
      <c r="D314" s="67">
        <v>45939</v>
      </c>
      <c r="E314" s="68">
        <f t="shared" ref="E314:E336" si="72">D314-C314</f>
        <v>45939</v>
      </c>
      <c r="F314" s="68"/>
      <c r="G314" s="68">
        <f t="shared" si="67"/>
        <v>125.86027397260274</v>
      </c>
      <c r="H314" s="68">
        <f t="shared" si="68"/>
        <v>190.66249999999999</v>
      </c>
      <c r="R314" s="67">
        <v>45944</v>
      </c>
      <c r="S314" s="69">
        <v>0.66319444444444442</v>
      </c>
      <c r="T314" s="67"/>
      <c r="U314" s="70">
        <f>R314-$D$314</f>
        <v>5</v>
      </c>
      <c r="V314" s="70"/>
      <c r="BI314" s="70" t="s">
        <v>364</v>
      </c>
    </row>
    <row r="315" spans="1:61" s="66" customFormat="1" ht="60" customHeight="1" x14ac:dyDescent="0.5">
      <c r="A315" s="71"/>
      <c r="B315" s="72"/>
      <c r="E315" s="68"/>
      <c r="F315" s="68"/>
      <c r="G315" s="68"/>
      <c r="H315" s="68"/>
      <c r="R315" s="67">
        <v>45947</v>
      </c>
      <c r="S315" s="69">
        <v>0.49166666666666664</v>
      </c>
      <c r="U315" s="70">
        <f>R315-$D$314</f>
        <v>8</v>
      </c>
      <c r="V315" s="70"/>
      <c r="BI315" s="70" t="s">
        <v>433</v>
      </c>
    </row>
    <row r="316" spans="1:61" ht="60" customHeight="1" x14ac:dyDescent="0.5">
      <c r="E316" s="44"/>
      <c r="F316" s="44"/>
      <c r="G316" s="44"/>
      <c r="H316" s="44"/>
    </row>
    <row r="317" spans="1:61" ht="60" customHeight="1" x14ac:dyDescent="0.5">
      <c r="E317" s="44"/>
      <c r="F317" s="44"/>
      <c r="G317" s="44"/>
      <c r="H317" s="44"/>
    </row>
    <row r="318" spans="1:61" ht="60" customHeight="1" x14ac:dyDescent="0.5">
      <c r="E318" s="44"/>
      <c r="F318" s="44"/>
      <c r="G318" s="44"/>
      <c r="H318" s="44"/>
    </row>
    <row r="319" spans="1:61" ht="60" customHeight="1" x14ac:dyDescent="0.5">
      <c r="E319" s="44"/>
      <c r="F319" s="44"/>
      <c r="G319" s="44"/>
      <c r="H319" s="44"/>
    </row>
    <row r="320" spans="1:61" ht="60" customHeight="1" x14ac:dyDescent="0.5">
      <c r="E320" s="44"/>
      <c r="F320" s="44"/>
      <c r="G320" s="44"/>
      <c r="H320" s="44"/>
    </row>
    <row r="321" spans="1:61" ht="60" customHeight="1" x14ac:dyDescent="0.5">
      <c r="E321" s="44"/>
      <c r="F321" s="44"/>
      <c r="G321" s="44"/>
      <c r="H321" s="44"/>
    </row>
    <row r="322" spans="1:61" ht="60" customHeight="1" x14ac:dyDescent="0.5">
      <c r="E322" s="44"/>
      <c r="F322" s="44"/>
      <c r="G322" s="44"/>
      <c r="H322" s="44"/>
    </row>
    <row r="323" spans="1:61" ht="60" customHeight="1" x14ac:dyDescent="0.35">
      <c r="A323" s="32">
        <v>26</v>
      </c>
      <c r="B323" s="57" t="s">
        <v>367</v>
      </c>
      <c r="C323" s="43">
        <v>43952</v>
      </c>
      <c r="D323" s="3">
        <v>45937</v>
      </c>
      <c r="E323" s="44">
        <f t="shared" si="72"/>
        <v>1985</v>
      </c>
      <c r="F323" s="44">
        <f>E323/30</f>
        <v>66.166666666666671</v>
      </c>
      <c r="G323" s="44">
        <f t="shared" si="67"/>
        <v>5.4383561643835616</v>
      </c>
      <c r="H323" s="44">
        <f t="shared" si="68"/>
        <v>7.520833333333333</v>
      </c>
      <c r="P323" s="2">
        <v>3</v>
      </c>
      <c r="Q323" s="2"/>
      <c r="R323" s="3">
        <v>45944</v>
      </c>
      <c r="S323" s="58">
        <v>0.66319444444444442</v>
      </c>
      <c r="T323" s="2"/>
      <c r="U323" s="2">
        <f t="shared" ref="U323:U334" si="73">R323-$D$323</f>
        <v>7</v>
      </c>
      <c r="V323" s="17">
        <f>R333-D323</f>
        <v>42</v>
      </c>
      <c r="W323" s="27"/>
      <c r="X323" s="27"/>
      <c r="Y323" s="27"/>
      <c r="Z323" s="27"/>
      <c r="AA323" s="27"/>
      <c r="AB323" s="27" t="s">
        <v>55</v>
      </c>
      <c r="AC323" s="27" t="s">
        <v>55</v>
      </c>
      <c r="AD323" s="27" t="s">
        <v>55</v>
      </c>
      <c r="AE323" s="27" t="s">
        <v>55</v>
      </c>
      <c r="AF323" s="27" t="s">
        <v>55</v>
      </c>
      <c r="AG323" s="27" t="s">
        <v>55</v>
      </c>
      <c r="AH323" s="27" t="s">
        <v>55</v>
      </c>
      <c r="AI323" s="27" t="s">
        <v>55</v>
      </c>
      <c r="AJ323" s="27" t="s">
        <v>55</v>
      </c>
      <c r="AK323" s="27" t="s">
        <v>55</v>
      </c>
      <c r="AL323" s="27" t="s">
        <v>55</v>
      </c>
      <c r="AM323" s="27" t="s">
        <v>55</v>
      </c>
      <c r="AN323" s="27" t="s">
        <v>55</v>
      </c>
      <c r="AO323" s="27" t="s">
        <v>55</v>
      </c>
      <c r="AP323" s="27" t="s">
        <v>55</v>
      </c>
      <c r="AQ323" s="27" t="s">
        <v>55</v>
      </c>
      <c r="AR323" s="27" t="s">
        <v>55</v>
      </c>
      <c r="AS323" s="27" t="s">
        <v>55</v>
      </c>
      <c r="BI323" s="2" t="s">
        <v>359</v>
      </c>
    </row>
    <row r="324" spans="1:61" ht="60" customHeight="1" x14ac:dyDescent="0.5">
      <c r="E324" s="44"/>
      <c r="F324" s="44"/>
      <c r="G324" s="44"/>
      <c r="H324" s="44"/>
      <c r="P324" s="2">
        <v>3</v>
      </c>
      <c r="Q324" s="2"/>
      <c r="R324" s="3">
        <v>45947</v>
      </c>
      <c r="S324" s="58">
        <v>0.5083333333333333</v>
      </c>
      <c r="T324" s="2"/>
      <c r="U324" s="2">
        <f t="shared" si="73"/>
        <v>10</v>
      </c>
      <c r="V324" s="2"/>
      <c r="W324" s="27"/>
      <c r="X324" s="27"/>
      <c r="Y324" s="27"/>
      <c r="Z324" s="27"/>
      <c r="AA324" s="27"/>
      <c r="AB324" s="27" t="s">
        <v>55</v>
      </c>
      <c r="AC324" s="27" t="s">
        <v>381</v>
      </c>
      <c r="AD324" s="27">
        <f>$U$324</f>
        <v>10</v>
      </c>
      <c r="AE324" s="27" t="s">
        <v>55</v>
      </c>
      <c r="AF324" s="27" t="s">
        <v>55</v>
      </c>
      <c r="AG324" s="27" t="s">
        <v>55</v>
      </c>
      <c r="AH324" s="27" t="s">
        <v>55</v>
      </c>
      <c r="AI324" s="27" t="s">
        <v>55</v>
      </c>
      <c r="AJ324" s="27" t="s">
        <v>55</v>
      </c>
      <c r="AK324" s="27" t="s">
        <v>55</v>
      </c>
      <c r="AL324" s="27" t="s">
        <v>55</v>
      </c>
      <c r="AM324" s="27" t="s">
        <v>55</v>
      </c>
      <c r="AN324" s="27" t="s">
        <v>55</v>
      </c>
      <c r="AO324" s="27" t="s">
        <v>55</v>
      </c>
      <c r="AP324" s="27" t="s">
        <v>55</v>
      </c>
      <c r="AQ324" s="27" t="s">
        <v>55</v>
      </c>
      <c r="AR324" s="27" t="s">
        <v>55</v>
      </c>
      <c r="AS324" s="27" t="s">
        <v>55</v>
      </c>
    </row>
    <row r="325" spans="1:61" ht="60" customHeight="1" x14ac:dyDescent="0.5">
      <c r="E325" s="44"/>
      <c r="F325" s="44"/>
      <c r="G325" s="44"/>
      <c r="H325" s="44"/>
      <c r="P325" s="2">
        <v>2.75</v>
      </c>
      <c r="R325" s="3">
        <v>45951</v>
      </c>
      <c r="S325" s="58">
        <v>0.68888888888888888</v>
      </c>
      <c r="U325" s="2">
        <f t="shared" si="73"/>
        <v>14</v>
      </c>
      <c r="V325" s="2"/>
      <c r="AB325" s="27" t="s">
        <v>409</v>
      </c>
      <c r="AC325" s="27" t="s">
        <v>408</v>
      </c>
      <c r="AD325" s="27">
        <v>10</v>
      </c>
      <c r="AE325" s="27" t="s">
        <v>55</v>
      </c>
      <c r="AF325" s="27" t="s">
        <v>55</v>
      </c>
      <c r="AG325" s="27" t="s">
        <v>55</v>
      </c>
      <c r="AH325" s="27" t="s">
        <v>55</v>
      </c>
      <c r="AI325" s="27" t="s">
        <v>55</v>
      </c>
      <c r="AJ325" s="27" t="s">
        <v>55</v>
      </c>
      <c r="AK325" s="27" t="s">
        <v>55</v>
      </c>
      <c r="AL325" s="27" t="s">
        <v>55</v>
      </c>
      <c r="AM325" s="27" t="s">
        <v>55</v>
      </c>
      <c r="AN325" s="27" t="s">
        <v>55</v>
      </c>
      <c r="AO325" s="27" t="s">
        <v>55</v>
      </c>
      <c r="AP325" s="27" t="s">
        <v>55</v>
      </c>
      <c r="AQ325" s="27" t="s">
        <v>55</v>
      </c>
      <c r="AR325" s="27" t="s">
        <v>55</v>
      </c>
      <c r="AS325" s="27" t="s">
        <v>55</v>
      </c>
    </row>
    <row r="326" spans="1:61" ht="60" customHeight="1" x14ac:dyDescent="0.5">
      <c r="E326" s="44"/>
      <c r="F326" s="44"/>
      <c r="G326" s="44"/>
      <c r="H326" s="44"/>
      <c r="P326" s="2">
        <v>2.75</v>
      </c>
      <c r="Q326" s="2"/>
      <c r="R326" s="3">
        <v>45954</v>
      </c>
      <c r="S326" s="58">
        <v>0.71250000000000002</v>
      </c>
      <c r="U326" s="2">
        <f t="shared" si="73"/>
        <v>17</v>
      </c>
      <c r="V326" s="2"/>
      <c r="AB326" s="27" t="s">
        <v>137</v>
      </c>
      <c r="AC326" s="27" t="s">
        <v>55</v>
      </c>
      <c r="AD326" s="27">
        <v>10</v>
      </c>
      <c r="AE326" s="27" t="s">
        <v>55</v>
      </c>
      <c r="AF326" s="27" t="s">
        <v>55</v>
      </c>
      <c r="AG326" s="27" t="s">
        <v>55</v>
      </c>
      <c r="AH326" s="27" t="s">
        <v>55</v>
      </c>
      <c r="AI326" s="27" t="s">
        <v>55</v>
      </c>
      <c r="AJ326" s="27" t="s">
        <v>55</v>
      </c>
      <c r="AK326" s="27" t="s">
        <v>55</v>
      </c>
      <c r="AL326" s="27" t="s">
        <v>55</v>
      </c>
      <c r="AM326" s="27" t="s">
        <v>55</v>
      </c>
      <c r="AN326" s="27" t="s">
        <v>55</v>
      </c>
      <c r="AO326" s="27" t="s">
        <v>55</v>
      </c>
      <c r="AP326" s="27" t="s">
        <v>55</v>
      </c>
      <c r="AQ326" s="27" t="s">
        <v>55</v>
      </c>
      <c r="AR326" s="27" t="s">
        <v>55</v>
      </c>
      <c r="AS326" s="27" t="s">
        <v>55</v>
      </c>
    </row>
    <row r="327" spans="1:61" ht="60" customHeight="1" x14ac:dyDescent="0.5">
      <c r="E327" s="44"/>
      <c r="F327" s="44"/>
      <c r="G327" s="44"/>
      <c r="H327" s="44"/>
      <c r="P327" s="2">
        <v>3</v>
      </c>
      <c r="Q327" s="2"/>
      <c r="R327" s="3">
        <v>45958</v>
      </c>
      <c r="S327" s="58">
        <v>0.78680555555555554</v>
      </c>
      <c r="T327" s="2"/>
      <c r="U327" s="2">
        <f t="shared" si="73"/>
        <v>21</v>
      </c>
      <c r="V327" s="2"/>
      <c r="W327" s="27"/>
      <c r="X327" s="27"/>
      <c r="Y327" s="27"/>
      <c r="Z327" s="27"/>
      <c r="AB327" s="27" t="s">
        <v>472</v>
      </c>
      <c r="AC327" s="27" t="s">
        <v>235</v>
      </c>
      <c r="AD327" s="27">
        <v>10</v>
      </c>
      <c r="AE327" s="27" t="s">
        <v>55</v>
      </c>
      <c r="AF327" s="27" t="s">
        <v>55</v>
      </c>
      <c r="AG327" s="27" t="s">
        <v>55</v>
      </c>
      <c r="AH327" s="27" t="s">
        <v>55</v>
      </c>
      <c r="AI327" s="27" t="s">
        <v>55</v>
      </c>
      <c r="AJ327" s="27" t="s">
        <v>55</v>
      </c>
      <c r="AK327" s="27" t="s">
        <v>55</v>
      </c>
      <c r="AL327" s="27" t="s">
        <v>55</v>
      </c>
      <c r="AM327" s="27" t="s">
        <v>55</v>
      </c>
      <c r="AN327" s="27" t="s">
        <v>55</v>
      </c>
      <c r="AO327" s="27" t="s">
        <v>55</v>
      </c>
      <c r="AP327" s="27" t="s">
        <v>55</v>
      </c>
      <c r="AQ327" s="27" t="s">
        <v>55</v>
      </c>
      <c r="AR327" s="27" t="s">
        <v>55</v>
      </c>
      <c r="AS327" s="27" t="s">
        <v>55</v>
      </c>
    </row>
    <row r="328" spans="1:61" ht="60" customHeight="1" x14ac:dyDescent="0.5">
      <c r="E328" s="44"/>
      <c r="F328" s="44"/>
      <c r="G328" s="44"/>
      <c r="H328" s="44"/>
      <c r="P328" s="2">
        <v>3</v>
      </c>
      <c r="Q328" s="2"/>
      <c r="R328" s="3">
        <v>45961</v>
      </c>
      <c r="S328" s="58">
        <v>0.73402777777777772</v>
      </c>
      <c r="T328" s="2"/>
      <c r="U328" s="2">
        <f t="shared" si="73"/>
        <v>24</v>
      </c>
      <c r="V328" s="2"/>
      <c r="W328" s="27"/>
      <c r="X328" s="27"/>
      <c r="Y328" s="27"/>
      <c r="Z328" s="27"/>
      <c r="AA328" s="27"/>
      <c r="AB328" s="27" t="s">
        <v>529</v>
      </c>
      <c r="AC328" s="27" t="s">
        <v>355</v>
      </c>
      <c r="AD328" s="27">
        <v>10</v>
      </c>
      <c r="AE328" s="27" t="s">
        <v>55</v>
      </c>
      <c r="AF328" s="27" t="s">
        <v>55</v>
      </c>
      <c r="AG328" s="27" t="s">
        <v>55</v>
      </c>
      <c r="AH328" s="27" t="s">
        <v>55</v>
      </c>
      <c r="AI328" s="27" t="s">
        <v>55</v>
      </c>
      <c r="AJ328" s="27" t="s">
        <v>55</v>
      </c>
      <c r="AK328" s="27" t="s">
        <v>55</v>
      </c>
      <c r="AL328" s="27" t="s">
        <v>55</v>
      </c>
      <c r="AM328" s="27" t="s">
        <v>55</v>
      </c>
      <c r="AN328" s="27" t="s">
        <v>55</v>
      </c>
      <c r="AO328" s="27" t="s">
        <v>55</v>
      </c>
      <c r="AP328" s="27" t="s">
        <v>55</v>
      </c>
      <c r="AQ328" s="27" t="s">
        <v>55</v>
      </c>
      <c r="AR328" s="27" t="s">
        <v>55</v>
      </c>
      <c r="AS328" s="27" t="s">
        <v>55</v>
      </c>
    </row>
    <row r="329" spans="1:61" s="2" customFormat="1" ht="60" customHeight="1" x14ac:dyDescent="0.35">
      <c r="A329" s="32"/>
      <c r="B329" s="20"/>
      <c r="E329" s="44"/>
      <c r="F329" s="44"/>
      <c r="G329" s="44"/>
      <c r="H329" s="44"/>
      <c r="P329" s="2">
        <v>2.75</v>
      </c>
      <c r="R329" s="3">
        <v>45964</v>
      </c>
      <c r="S329" s="58">
        <v>0.38541666666666669</v>
      </c>
      <c r="U329" s="2">
        <f t="shared" si="73"/>
        <v>27</v>
      </c>
      <c r="W329" s="27"/>
      <c r="X329" s="27"/>
      <c r="Y329" s="27"/>
      <c r="Z329" s="27"/>
      <c r="AA329" s="27"/>
      <c r="AB329" s="27" t="s">
        <v>557</v>
      </c>
      <c r="AC329" s="27" t="s">
        <v>556</v>
      </c>
      <c r="AD329" s="27">
        <v>10</v>
      </c>
      <c r="AE329" s="27" t="s">
        <v>55</v>
      </c>
      <c r="AF329" s="27" t="s">
        <v>55</v>
      </c>
      <c r="AG329" s="27" t="s">
        <v>55</v>
      </c>
      <c r="AH329" s="27" t="s">
        <v>55</v>
      </c>
      <c r="AI329" s="27" t="s">
        <v>55</v>
      </c>
      <c r="AJ329" s="27" t="s">
        <v>55</v>
      </c>
      <c r="AK329" s="27" t="s">
        <v>55</v>
      </c>
      <c r="AL329" s="27" t="s">
        <v>55</v>
      </c>
      <c r="AM329" s="27" t="s">
        <v>55</v>
      </c>
      <c r="AN329" s="27" t="s">
        <v>55</v>
      </c>
      <c r="AO329" s="27" t="s">
        <v>55</v>
      </c>
      <c r="AP329" s="27" t="s">
        <v>55</v>
      </c>
      <c r="AQ329" s="27" t="s">
        <v>55</v>
      </c>
      <c r="AR329" s="27" t="s">
        <v>55</v>
      </c>
      <c r="AS329" s="27" t="s">
        <v>55</v>
      </c>
      <c r="BI329" s="2" t="s">
        <v>606</v>
      </c>
    </row>
    <row r="330" spans="1:61" s="2" customFormat="1" ht="60" customHeight="1" x14ac:dyDescent="0.35">
      <c r="A330" s="32"/>
      <c r="B330" s="20"/>
      <c r="E330" s="44"/>
      <c r="F330" s="44"/>
      <c r="G330" s="44"/>
      <c r="H330" s="44"/>
      <c r="P330" s="2">
        <v>2.75</v>
      </c>
      <c r="R330" s="3">
        <v>45968</v>
      </c>
      <c r="S330" s="58">
        <v>0.6791666666666667</v>
      </c>
      <c r="U330" s="2">
        <f t="shared" si="73"/>
        <v>31</v>
      </c>
      <c r="W330" s="27"/>
      <c r="X330" s="27"/>
      <c r="Y330" s="27"/>
      <c r="Z330" s="27"/>
      <c r="AA330" s="27"/>
      <c r="AB330" s="27" t="s">
        <v>576</v>
      </c>
      <c r="AC330" s="27" t="s">
        <v>577</v>
      </c>
      <c r="AD330" s="27">
        <v>10</v>
      </c>
      <c r="AE330" s="27" t="s">
        <v>55</v>
      </c>
      <c r="AF330" s="27" t="s">
        <v>55</v>
      </c>
      <c r="AG330" s="27" t="s">
        <v>575</v>
      </c>
      <c r="AH330" s="27">
        <v>12.64</v>
      </c>
      <c r="AI330" s="27">
        <v>0</v>
      </c>
      <c r="AJ330" s="27">
        <f>AH330-AI330</f>
        <v>12.64</v>
      </c>
      <c r="AK330" s="27" t="s">
        <v>55</v>
      </c>
      <c r="AL330" s="27" t="s">
        <v>55</v>
      </c>
      <c r="AM330" s="27" t="s">
        <v>55</v>
      </c>
      <c r="AN330" s="27" t="s">
        <v>55</v>
      </c>
      <c r="AO330" s="27" t="s">
        <v>55</v>
      </c>
      <c r="AP330" s="27" t="s">
        <v>55</v>
      </c>
      <c r="AQ330" s="27" t="s">
        <v>55</v>
      </c>
      <c r="AR330" s="27" t="s">
        <v>55</v>
      </c>
      <c r="AS330" s="27" t="s">
        <v>55</v>
      </c>
    </row>
    <row r="331" spans="1:61" s="2" customFormat="1" ht="60" customHeight="1" x14ac:dyDescent="0.35">
      <c r="A331" s="32"/>
      <c r="B331" s="20"/>
      <c r="E331" s="44"/>
      <c r="F331" s="44"/>
      <c r="G331" s="44"/>
      <c r="H331" s="44"/>
      <c r="P331" s="2">
        <v>2.75</v>
      </c>
      <c r="R331" s="3">
        <v>45972</v>
      </c>
      <c r="S331" s="58">
        <v>0.75902777777777775</v>
      </c>
      <c r="U331" s="2">
        <f t="shared" si="73"/>
        <v>35</v>
      </c>
      <c r="W331" s="27"/>
      <c r="X331" s="27"/>
      <c r="Y331" s="27"/>
      <c r="Z331" s="27"/>
      <c r="AA331" s="27"/>
      <c r="AB331" s="27" t="s">
        <v>589</v>
      </c>
      <c r="AC331" s="27" t="s">
        <v>430</v>
      </c>
      <c r="AD331" s="27">
        <v>10</v>
      </c>
      <c r="AE331" s="27" t="s">
        <v>55</v>
      </c>
      <c r="AF331" s="27" t="s">
        <v>55</v>
      </c>
      <c r="AG331" s="27" t="s">
        <v>55</v>
      </c>
      <c r="AH331" s="27" t="s">
        <v>55</v>
      </c>
      <c r="AI331" s="27" t="s">
        <v>55</v>
      </c>
      <c r="AJ331" s="27" t="s">
        <v>55</v>
      </c>
      <c r="AK331" s="27" t="s">
        <v>55</v>
      </c>
      <c r="AL331" s="27" t="s">
        <v>55</v>
      </c>
      <c r="AM331" s="27" t="s">
        <v>55</v>
      </c>
      <c r="AN331" s="27" t="s">
        <v>55</v>
      </c>
      <c r="AO331" s="27" t="s">
        <v>55</v>
      </c>
      <c r="AP331" s="27" t="s">
        <v>55</v>
      </c>
      <c r="AQ331" s="27" t="s">
        <v>55</v>
      </c>
      <c r="AR331" s="27" t="s">
        <v>55</v>
      </c>
      <c r="AS331" s="27" t="s">
        <v>55</v>
      </c>
    </row>
    <row r="332" spans="1:61" s="2" customFormat="1" ht="60" customHeight="1" x14ac:dyDescent="0.35">
      <c r="A332" s="32"/>
      <c r="B332" s="20"/>
      <c r="E332" s="44"/>
      <c r="F332" s="44"/>
      <c r="G332" s="44"/>
      <c r="H332" s="44"/>
      <c r="P332" s="2">
        <v>2.75</v>
      </c>
      <c r="R332" s="3">
        <v>45976</v>
      </c>
      <c r="S332" s="61">
        <v>45976.402083333334</v>
      </c>
      <c r="U332" s="2">
        <f t="shared" si="73"/>
        <v>39</v>
      </c>
      <c r="W332" s="27"/>
      <c r="X332" s="27"/>
      <c r="Y332" s="27"/>
      <c r="Z332" s="27"/>
      <c r="AA332" s="27"/>
      <c r="AB332" s="27" t="s">
        <v>185</v>
      </c>
      <c r="AC332" s="27" t="s">
        <v>603</v>
      </c>
      <c r="AD332" s="27">
        <v>10</v>
      </c>
      <c r="AE332" s="27" t="s">
        <v>55</v>
      </c>
      <c r="AF332" s="27" t="s">
        <v>55</v>
      </c>
      <c r="AG332" s="27" t="s">
        <v>55</v>
      </c>
      <c r="AH332" s="27" t="s">
        <v>55</v>
      </c>
      <c r="AI332" s="27" t="s">
        <v>55</v>
      </c>
      <c r="AJ332" s="27" t="s">
        <v>55</v>
      </c>
      <c r="AK332" s="27" t="s">
        <v>55</v>
      </c>
      <c r="AL332" s="27" t="s">
        <v>55</v>
      </c>
      <c r="AM332" s="27" t="s">
        <v>55</v>
      </c>
      <c r="AN332" s="27" t="s">
        <v>55</v>
      </c>
      <c r="AO332" s="27" t="s">
        <v>55</v>
      </c>
      <c r="AP332" s="27" t="s">
        <v>55</v>
      </c>
      <c r="AQ332" s="27" t="s">
        <v>55</v>
      </c>
      <c r="AR332" s="27" t="s">
        <v>55</v>
      </c>
      <c r="AS332" s="27" t="s">
        <v>55</v>
      </c>
      <c r="BI332" s="2" t="s">
        <v>606</v>
      </c>
    </row>
    <row r="333" spans="1:61" s="2" customFormat="1" ht="60" customHeight="1" x14ac:dyDescent="0.35">
      <c r="A333" s="32"/>
      <c r="B333" s="20"/>
      <c r="E333" s="44"/>
      <c r="F333" s="44"/>
      <c r="G333" s="44"/>
      <c r="H333" s="44"/>
      <c r="P333" s="2">
        <v>2.75</v>
      </c>
      <c r="R333" s="3">
        <v>45979</v>
      </c>
      <c r="S333" s="61">
        <v>45979.657638888886</v>
      </c>
      <c r="T333" s="2">
        <f>S333-S332</f>
        <v>3.2555555555518367</v>
      </c>
      <c r="U333" s="2">
        <f t="shared" si="73"/>
        <v>42</v>
      </c>
      <c r="W333" s="27"/>
      <c r="X333" s="27"/>
      <c r="Y333" s="27"/>
      <c r="Z333" s="27"/>
      <c r="AA333" s="27"/>
      <c r="AB333" s="27" t="s">
        <v>614</v>
      </c>
      <c r="AC333" s="27" t="s">
        <v>562</v>
      </c>
      <c r="AD333" s="27">
        <v>10</v>
      </c>
      <c r="AE333" s="62">
        <f>$S$333+($T$333/2)</f>
        <v>45981.285416666666</v>
      </c>
      <c r="AF333" s="27">
        <f>$U$332+($T$333/2)</f>
        <v>40.627777777775918</v>
      </c>
      <c r="AG333" s="37" t="s">
        <v>615</v>
      </c>
      <c r="AH333" s="27">
        <v>77.69</v>
      </c>
      <c r="AI333" s="27">
        <v>12.49</v>
      </c>
      <c r="AJ333" s="27">
        <f>AH333-AI333</f>
        <v>65.2</v>
      </c>
      <c r="AK333" s="27" t="s">
        <v>55</v>
      </c>
      <c r="AL333" s="27" t="s">
        <v>55</v>
      </c>
      <c r="AM333" s="27" t="s">
        <v>55</v>
      </c>
      <c r="AN333" s="27">
        <v>57.45</v>
      </c>
      <c r="AO333" s="27">
        <v>1.66</v>
      </c>
      <c r="AP333" s="27">
        <f>AN333-AO333</f>
        <v>55.790000000000006</v>
      </c>
      <c r="AQ333" s="27" t="s">
        <v>55</v>
      </c>
      <c r="AR333" s="27" t="s">
        <v>55</v>
      </c>
      <c r="AS333" s="27" t="s">
        <v>55</v>
      </c>
    </row>
    <row r="334" spans="1:61" s="2" customFormat="1" ht="60" customHeight="1" x14ac:dyDescent="0.35">
      <c r="A334" s="32"/>
      <c r="B334" s="20"/>
      <c r="E334" s="44"/>
      <c r="F334" s="44"/>
      <c r="G334" s="44"/>
      <c r="H334" s="44"/>
      <c r="P334" s="2">
        <v>2.75</v>
      </c>
      <c r="R334" s="3">
        <v>45983</v>
      </c>
      <c r="S334" s="58">
        <v>0.44305555555555554</v>
      </c>
      <c r="U334" s="2">
        <f t="shared" si="73"/>
        <v>46</v>
      </c>
      <c r="W334" s="27"/>
      <c r="X334" s="27"/>
      <c r="Y334" s="27"/>
      <c r="Z334" s="27"/>
      <c r="AA334" s="27"/>
      <c r="AB334" s="37" t="s">
        <v>621</v>
      </c>
      <c r="AC334" s="37" t="s">
        <v>623</v>
      </c>
      <c r="AD334" s="27">
        <v>10</v>
      </c>
      <c r="AE334" s="62">
        <f>$S$333+($T$333/2)</f>
        <v>45981.285416666666</v>
      </c>
      <c r="AF334" s="27">
        <f>$U$332+($T$333/2)</f>
        <v>40.627777777775918</v>
      </c>
      <c r="AG334" s="37" t="s">
        <v>622</v>
      </c>
      <c r="AH334" s="27">
        <v>68.989999999999995</v>
      </c>
      <c r="AI334" s="27">
        <v>0</v>
      </c>
      <c r="AJ334" s="27">
        <f>AH334-AI334</f>
        <v>68.989999999999995</v>
      </c>
      <c r="AK334" s="27" t="s">
        <v>55</v>
      </c>
      <c r="AL334" s="27" t="s">
        <v>55</v>
      </c>
      <c r="AM334" s="27" t="s">
        <v>55</v>
      </c>
      <c r="AN334" s="27">
        <v>110.95</v>
      </c>
      <c r="AO334" s="27">
        <v>9.86</v>
      </c>
      <c r="AP334" s="27">
        <f>AN334-AO334</f>
        <v>101.09</v>
      </c>
      <c r="AQ334" s="27">
        <v>70.86</v>
      </c>
      <c r="AR334" s="27">
        <v>0</v>
      </c>
      <c r="AS334" s="27">
        <f>AQ334-AR334</f>
        <v>70.86</v>
      </c>
    </row>
    <row r="335" spans="1:61" ht="60" customHeight="1" x14ac:dyDescent="0.5">
      <c r="E335" s="44"/>
      <c r="F335" s="44"/>
      <c r="G335" s="44"/>
      <c r="H335" s="44"/>
    </row>
    <row r="336" spans="1:61" s="2" customFormat="1" ht="60" customHeight="1" x14ac:dyDescent="0.35">
      <c r="A336" s="32">
        <v>27</v>
      </c>
      <c r="B336" s="57" t="s">
        <v>597</v>
      </c>
      <c r="C336" s="3">
        <v>45283</v>
      </c>
      <c r="D336" s="3">
        <v>45957</v>
      </c>
      <c r="E336" s="44">
        <f t="shared" si="72"/>
        <v>674</v>
      </c>
      <c r="F336" s="44">
        <f>E336/30</f>
        <v>22.466666666666665</v>
      </c>
      <c r="G336" s="44">
        <f t="shared" si="67"/>
        <v>1.8465753424657534</v>
      </c>
      <c r="H336" s="44">
        <f t="shared" si="68"/>
        <v>2.0583333333333331</v>
      </c>
      <c r="P336" s="2">
        <v>3</v>
      </c>
      <c r="R336" s="3">
        <v>45972</v>
      </c>
      <c r="S336" s="58">
        <v>0.77083333333333337</v>
      </c>
      <c r="U336" s="2">
        <f t="shared" ref="U336:U342" si="74">R336-$D$336</f>
        <v>15</v>
      </c>
      <c r="V336" s="17">
        <f>R341-D336</f>
        <v>33</v>
      </c>
      <c r="W336" s="27"/>
      <c r="X336" s="27"/>
      <c r="Y336" s="27"/>
      <c r="Z336" s="27"/>
      <c r="AA336" s="27"/>
      <c r="AB336" s="27" t="s">
        <v>596</v>
      </c>
      <c r="AC336" s="27" t="s">
        <v>242</v>
      </c>
      <c r="AD336" s="27">
        <f>U336</f>
        <v>15</v>
      </c>
      <c r="AE336" s="27" t="s">
        <v>55</v>
      </c>
      <c r="AF336" s="27" t="s">
        <v>55</v>
      </c>
      <c r="AG336" s="27" t="s">
        <v>55</v>
      </c>
      <c r="AH336" s="27" t="s">
        <v>55</v>
      </c>
      <c r="AI336" s="27" t="s">
        <v>55</v>
      </c>
      <c r="AJ336" s="27" t="s">
        <v>55</v>
      </c>
      <c r="AK336" s="27" t="s">
        <v>55</v>
      </c>
      <c r="AL336" s="27" t="s">
        <v>55</v>
      </c>
      <c r="AM336" s="27" t="s">
        <v>55</v>
      </c>
      <c r="AN336" s="27" t="s">
        <v>55</v>
      </c>
      <c r="AO336" s="27" t="s">
        <v>55</v>
      </c>
      <c r="AP336" s="27" t="s">
        <v>55</v>
      </c>
      <c r="AQ336" s="27" t="s">
        <v>55</v>
      </c>
      <c r="AR336" s="27" t="s">
        <v>55</v>
      </c>
      <c r="AS336" s="27" t="s">
        <v>55</v>
      </c>
      <c r="BI336" s="2" t="s">
        <v>595</v>
      </c>
    </row>
    <row r="337" spans="1:61" s="2" customFormat="1" ht="60" customHeight="1" x14ac:dyDescent="0.35">
      <c r="A337" s="32"/>
      <c r="B337" s="20"/>
      <c r="E337" s="44"/>
      <c r="F337" s="44"/>
      <c r="G337" s="44"/>
      <c r="H337" s="44"/>
      <c r="P337" s="2">
        <v>2.75</v>
      </c>
      <c r="R337" s="3">
        <v>45976</v>
      </c>
      <c r="S337" s="58">
        <v>0.4236111111111111</v>
      </c>
      <c r="U337" s="2">
        <f t="shared" si="74"/>
        <v>19</v>
      </c>
      <c r="W337" s="27"/>
      <c r="X337" s="27"/>
      <c r="Y337" s="27"/>
      <c r="Z337" s="27"/>
      <c r="AA337" s="27"/>
      <c r="AB337" s="27" t="s">
        <v>605</v>
      </c>
      <c r="AC337" s="27" t="s">
        <v>185</v>
      </c>
      <c r="AD337" s="27">
        <v>15</v>
      </c>
      <c r="AE337" s="27" t="s">
        <v>55</v>
      </c>
      <c r="AF337" s="27" t="s">
        <v>55</v>
      </c>
      <c r="AG337" s="27" t="s">
        <v>55</v>
      </c>
      <c r="AH337" s="27" t="s">
        <v>55</v>
      </c>
      <c r="AI337" s="27" t="s">
        <v>55</v>
      </c>
      <c r="AJ337" s="27" t="s">
        <v>55</v>
      </c>
      <c r="AK337" s="27" t="s">
        <v>55</v>
      </c>
      <c r="AL337" s="27" t="s">
        <v>55</v>
      </c>
      <c r="AM337" s="27" t="s">
        <v>55</v>
      </c>
      <c r="AN337" s="27" t="s">
        <v>55</v>
      </c>
      <c r="AO337" s="27" t="s">
        <v>55</v>
      </c>
      <c r="AP337" s="27" t="s">
        <v>55</v>
      </c>
      <c r="AQ337" s="27" t="s">
        <v>55</v>
      </c>
      <c r="AR337" s="27" t="s">
        <v>55</v>
      </c>
      <c r="AS337" s="27" t="s">
        <v>55</v>
      </c>
      <c r="BI337" s="2" t="s">
        <v>606</v>
      </c>
    </row>
    <row r="338" spans="1:61" s="2" customFormat="1" ht="60" customHeight="1" x14ac:dyDescent="0.35">
      <c r="A338" s="32"/>
      <c r="B338" s="20"/>
      <c r="E338" s="44"/>
      <c r="F338" s="44"/>
      <c r="G338" s="44"/>
      <c r="H338" s="44"/>
      <c r="P338" s="2">
        <v>2.75</v>
      </c>
      <c r="R338" s="3">
        <v>45979</v>
      </c>
      <c r="S338" s="58">
        <v>0.65416666666666667</v>
      </c>
      <c r="U338" s="2">
        <f t="shared" si="74"/>
        <v>22</v>
      </c>
      <c r="W338" s="27"/>
      <c r="X338" s="27"/>
      <c r="Y338" s="27"/>
      <c r="Z338" s="27"/>
      <c r="AA338" s="27"/>
      <c r="AB338" s="27" t="s">
        <v>613</v>
      </c>
      <c r="AC338" s="27" t="s">
        <v>133</v>
      </c>
      <c r="AD338" s="27">
        <v>15</v>
      </c>
      <c r="AE338" s="27" t="s">
        <v>55</v>
      </c>
      <c r="AF338" s="27" t="s">
        <v>55</v>
      </c>
      <c r="AG338" s="27" t="s">
        <v>55</v>
      </c>
      <c r="AH338" s="27" t="s">
        <v>55</v>
      </c>
      <c r="AI338" s="27" t="s">
        <v>55</v>
      </c>
      <c r="AJ338" s="27" t="s">
        <v>55</v>
      </c>
      <c r="AK338" s="27" t="s">
        <v>55</v>
      </c>
      <c r="AL338" s="27" t="s">
        <v>55</v>
      </c>
      <c r="AM338" s="27" t="s">
        <v>55</v>
      </c>
      <c r="AN338" s="27" t="s">
        <v>55</v>
      </c>
      <c r="AO338" s="27" t="s">
        <v>55</v>
      </c>
      <c r="AP338" s="27" t="s">
        <v>55</v>
      </c>
      <c r="AQ338" s="27" t="s">
        <v>55</v>
      </c>
      <c r="AR338" s="27" t="s">
        <v>55</v>
      </c>
      <c r="AS338" s="27" t="s">
        <v>55</v>
      </c>
      <c r="BI338" s="2" t="s">
        <v>620</v>
      </c>
    </row>
    <row r="339" spans="1:61" s="2" customFormat="1" ht="60" customHeight="1" x14ac:dyDescent="0.35">
      <c r="A339" s="32"/>
      <c r="B339" s="20"/>
      <c r="E339" s="44"/>
      <c r="F339" s="44"/>
      <c r="G339" s="44"/>
      <c r="H339" s="44"/>
      <c r="P339" s="2">
        <v>2.75</v>
      </c>
      <c r="R339" s="3">
        <v>45983</v>
      </c>
      <c r="S339" s="58">
        <v>0.43125000000000002</v>
      </c>
      <c r="U339" s="2">
        <f t="shared" si="74"/>
        <v>26</v>
      </c>
      <c r="W339" s="27"/>
      <c r="X339" s="27"/>
      <c r="Y339" s="27"/>
      <c r="Z339" s="27"/>
      <c r="AA339" s="27"/>
      <c r="AB339" s="27" t="s">
        <v>618</v>
      </c>
      <c r="AC339" s="27" t="s">
        <v>619</v>
      </c>
      <c r="AD339" s="27">
        <v>15</v>
      </c>
      <c r="AE339" s="27" t="s">
        <v>55</v>
      </c>
      <c r="AF339" s="27" t="s">
        <v>55</v>
      </c>
      <c r="AG339" s="27" t="s">
        <v>55</v>
      </c>
      <c r="AH339" s="27" t="s">
        <v>55</v>
      </c>
      <c r="AI339" s="27" t="s">
        <v>55</v>
      </c>
      <c r="AJ339" s="27" t="s">
        <v>55</v>
      </c>
      <c r="AK339" s="27" t="s">
        <v>55</v>
      </c>
      <c r="AL339" s="27" t="s">
        <v>55</v>
      </c>
      <c r="AM339" s="27" t="s">
        <v>55</v>
      </c>
      <c r="AN339" s="27" t="s">
        <v>55</v>
      </c>
      <c r="AO339" s="27" t="s">
        <v>55</v>
      </c>
      <c r="AP339" s="27" t="s">
        <v>55</v>
      </c>
      <c r="AQ339" s="27" t="s">
        <v>55</v>
      </c>
      <c r="AR339" s="27" t="s">
        <v>55</v>
      </c>
      <c r="AS339" s="27" t="s">
        <v>55</v>
      </c>
      <c r="BI339" s="2" t="s">
        <v>620</v>
      </c>
    </row>
    <row r="340" spans="1:61" s="2" customFormat="1" ht="60" customHeight="1" x14ac:dyDescent="0.35">
      <c r="A340" s="32"/>
      <c r="B340" s="20"/>
      <c r="E340" s="44"/>
      <c r="F340" s="44"/>
      <c r="G340" s="44"/>
      <c r="H340" s="44"/>
      <c r="P340" s="2">
        <v>2.75</v>
      </c>
      <c r="R340" s="3">
        <v>45985</v>
      </c>
      <c r="S340" s="61">
        <v>45985.462500000001</v>
      </c>
      <c r="U340" s="2">
        <f t="shared" si="74"/>
        <v>28</v>
      </c>
      <c r="W340" s="27"/>
      <c r="X340" s="27"/>
      <c r="Y340" s="27"/>
      <c r="Z340" s="27"/>
      <c r="AA340" s="27"/>
      <c r="AB340" s="27" t="s">
        <v>113</v>
      </c>
      <c r="AC340" s="27" t="s">
        <v>129</v>
      </c>
      <c r="AD340" s="27">
        <v>15</v>
      </c>
      <c r="AE340" s="27" t="s">
        <v>55</v>
      </c>
      <c r="AF340" s="27" t="s">
        <v>55</v>
      </c>
      <c r="AG340" s="27" t="s">
        <v>55</v>
      </c>
      <c r="AH340" s="27" t="s">
        <v>55</v>
      </c>
      <c r="AI340" s="27" t="s">
        <v>55</v>
      </c>
      <c r="AJ340" s="27" t="s">
        <v>55</v>
      </c>
      <c r="AK340" s="27" t="s">
        <v>55</v>
      </c>
      <c r="AL340" s="27" t="s">
        <v>55</v>
      </c>
      <c r="AM340" s="27" t="s">
        <v>55</v>
      </c>
      <c r="AN340" s="27" t="s">
        <v>55</v>
      </c>
      <c r="AO340" s="27" t="s">
        <v>55</v>
      </c>
      <c r="AP340" s="27" t="s">
        <v>55</v>
      </c>
      <c r="AQ340" s="27" t="s">
        <v>55</v>
      </c>
      <c r="AR340" s="27" t="s">
        <v>55</v>
      </c>
      <c r="AS340" s="27" t="s">
        <v>55</v>
      </c>
      <c r="BI340" s="2" t="s">
        <v>606</v>
      </c>
    </row>
    <row r="341" spans="1:61" s="2" customFormat="1" ht="60" customHeight="1" x14ac:dyDescent="0.35">
      <c r="A341" s="32"/>
      <c r="B341" s="20"/>
      <c r="E341" s="44"/>
      <c r="F341" s="44"/>
      <c r="G341" s="44"/>
      <c r="H341" s="44"/>
      <c r="P341" s="2">
        <v>2.75</v>
      </c>
      <c r="R341" s="3">
        <v>45990</v>
      </c>
      <c r="S341" s="61">
        <v>45990.480555555558</v>
      </c>
      <c r="T341" s="2">
        <f>S341-S340</f>
        <v>5.0180555555562023</v>
      </c>
      <c r="U341" s="2">
        <f t="shared" si="74"/>
        <v>33</v>
      </c>
      <c r="W341" s="27"/>
      <c r="X341" s="27"/>
      <c r="Y341" s="27"/>
      <c r="Z341" s="27"/>
      <c r="AA341" s="27"/>
      <c r="AB341" s="37" t="s">
        <v>624</v>
      </c>
      <c r="AC341" s="27" t="s">
        <v>625</v>
      </c>
      <c r="AD341" s="27">
        <v>15</v>
      </c>
      <c r="AE341" s="62">
        <f>$S$340+($T$341/2)</f>
        <v>45987.97152777778</v>
      </c>
      <c r="AF341" s="27">
        <f>$U$340+($T$341/2)</f>
        <v>30.509027777778101</v>
      </c>
      <c r="AG341" s="37" t="s">
        <v>626</v>
      </c>
      <c r="AH341" s="27">
        <v>81.62</v>
      </c>
      <c r="AI341" s="27">
        <v>5.84</v>
      </c>
      <c r="AJ341" s="27">
        <f>AH341-AI341</f>
        <v>75.78</v>
      </c>
      <c r="AK341" s="27" t="s">
        <v>55</v>
      </c>
      <c r="AL341" s="27" t="s">
        <v>55</v>
      </c>
      <c r="AM341" s="27" t="s">
        <v>55</v>
      </c>
      <c r="AN341" s="27">
        <v>71.459999999999994</v>
      </c>
      <c r="AO341" s="27">
        <v>6.72</v>
      </c>
      <c r="AP341" s="27">
        <f>AN341-AO341</f>
        <v>64.739999999999995</v>
      </c>
      <c r="AQ341" s="27" t="s">
        <v>55</v>
      </c>
      <c r="AR341" s="27" t="s">
        <v>55</v>
      </c>
      <c r="AS341" s="27" t="s">
        <v>55</v>
      </c>
      <c r="BI341" s="2" t="s">
        <v>632</v>
      </c>
    </row>
    <row r="342" spans="1:61" s="2" customFormat="1" ht="60" customHeight="1" x14ac:dyDescent="0.35">
      <c r="A342" s="32"/>
      <c r="B342" s="20"/>
      <c r="E342" s="44"/>
      <c r="F342" s="44"/>
      <c r="G342" s="44"/>
      <c r="H342" s="44"/>
      <c r="P342" s="2">
        <v>2.75</v>
      </c>
      <c r="R342" s="3">
        <v>45992</v>
      </c>
      <c r="S342" s="58">
        <v>0.72222222222222221</v>
      </c>
      <c r="U342" s="2">
        <f t="shared" si="74"/>
        <v>35</v>
      </c>
      <c r="W342" s="27"/>
      <c r="X342" s="27"/>
      <c r="Y342" s="27"/>
      <c r="Z342" s="27"/>
      <c r="AA342" s="27"/>
      <c r="AB342" s="27" t="s">
        <v>629</v>
      </c>
      <c r="AC342" s="37" t="s">
        <v>627</v>
      </c>
      <c r="AD342" s="27">
        <v>15</v>
      </c>
      <c r="AE342" s="62">
        <f>$S$340+($T$341/2)</f>
        <v>45987.97152777778</v>
      </c>
      <c r="AF342" s="27">
        <f>$U$340+($T$341/2)</f>
        <v>30.509027777778101</v>
      </c>
      <c r="AG342" s="37" t="s">
        <v>628</v>
      </c>
      <c r="AH342" s="27" t="s">
        <v>55</v>
      </c>
      <c r="AI342" s="27" t="s">
        <v>55</v>
      </c>
      <c r="AJ342" s="27" t="s">
        <v>55</v>
      </c>
      <c r="AK342" s="27" t="s">
        <v>55</v>
      </c>
      <c r="AL342" s="27" t="s">
        <v>55</v>
      </c>
      <c r="AM342" s="27" t="s">
        <v>55</v>
      </c>
      <c r="AN342" s="27">
        <v>88.23</v>
      </c>
      <c r="AO342" s="27">
        <v>2.69</v>
      </c>
      <c r="AP342" s="27">
        <f>AN342-AO342</f>
        <v>85.54</v>
      </c>
      <c r="AQ342" s="27" t="s">
        <v>55</v>
      </c>
      <c r="AR342" s="27" t="s">
        <v>55</v>
      </c>
      <c r="AS342" s="27" t="s">
        <v>55</v>
      </c>
      <c r="BI342" s="2" t="s">
        <v>632</v>
      </c>
    </row>
    <row r="343" spans="1:61" ht="60" customHeight="1" x14ac:dyDescent="0.5">
      <c r="E343" s="44"/>
      <c r="F343" s="44"/>
      <c r="G343" s="44"/>
      <c r="H343" s="44"/>
      <c r="U343" s="2">
        <f t="shared" ref="U343" si="75">R343-$D$336</f>
        <v>-45957</v>
      </c>
      <c r="V343" s="2"/>
    </row>
    <row r="344" spans="1:61" s="2" customFormat="1" ht="60" customHeight="1" x14ac:dyDescent="0.35">
      <c r="A344" s="32"/>
      <c r="B344" s="20"/>
      <c r="D344" s="3"/>
      <c r="E344" s="44"/>
      <c r="F344" s="44"/>
      <c r="G344" s="44"/>
      <c r="H344" s="44"/>
      <c r="R344" s="3"/>
      <c r="W344" s="27"/>
      <c r="X344" s="27"/>
      <c r="Y344" s="27"/>
      <c r="Z344" s="27"/>
      <c r="AA344" s="27"/>
      <c r="AB344" s="3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</row>
    <row r="349" spans="1:61" s="2" customFormat="1" ht="60" customHeight="1" x14ac:dyDescent="0.35">
      <c r="A349" s="32"/>
      <c r="B349" s="20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28"/>
      <c r="X349" s="28"/>
      <c r="Y349" s="28"/>
      <c r="Z349" s="28"/>
      <c r="AA349" s="28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</row>
    <row r="355" spans="1:61" s="2" customFormat="1" ht="60" customHeight="1" x14ac:dyDescent="0.35">
      <c r="A355" s="32"/>
      <c r="B355" s="20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27">
        <v>16.5</v>
      </c>
      <c r="X355" s="27">
        <v>6.98</v>
      </c>
      <c r="Y355" s="27">
        <v>2.64</v>
      </c>
      <c r="Z355" s="27">
        <v>7.26</v>
      </c>
      <c r="AA355" s="27">
        <v>2.92</v>
      </c>
      <c r="AB355" s="27" t="s">
        <v>635</v>
      </c>
      <c r="AC355" s="27" t="s">
        <v>636</v>
      </c>
      <c r="AD355" s="45">
        <v>46000</v>
      </c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" t="s">
        <v>84</v>
      </c>
      <c r="BI355" s="2" t="s">
        <v>637</v>
      </c>
    </row>
    <row r="356" spans="1:61" ht="60" customHeight="1" x14ac:dyDescent="0.5">
      <c r="B356" s="20"/>
      <c r="E356" s="44"/>
      <c r="F356" s="44"/>
    </row>
    <row r="357" spans="1:61" ht="60" customHeight="1" x14ac:dyDescent="0.5">
      <c r="E357" s="44"/>
      <c r="F357" s="44"/>
    </row>
    <row r="358" spans="1:61" ht="60" customHeight="1" x14ac:dyDescent="0.5">
      <c r="E358" s="44"/>
      <c r="F358" s="44"/>
    </row>
    <row r="359" spans="1:61" ht="60" customHeight="1" x14ac:dyDescent="0.5">
      <c r="E359" s="44"/>
      <c r="F359" s="44"/>
    </row>
    <row r="360" spans="1:61" ht="60" customHeight="1" x14ac:dyDescent="0.5">
      <c r="B360" s="20"/>
      <c r="D360" s="3"/>
      <c r="E360" s="44"/>
      <c r="F360" s="44"/>
    </row>
    <row r="361" spans="1:61" ht="60" customHeight="1" x14ac:dyDescent="0.5">
      <c r="B361" s="20"/>
    </row>
    <row r="365" spans="1:61" ht="60" customHeight="1" x14ac:dyDescent="0.5">
      <c r="B365" s="20"/>
      <c r="D365" s="110"/>
    </row>
    <row r="369" spans="4:4" ht="60" customHeight="1" x14ac:dyDescent="0.5">
      <c r="D369" s="109">
        <v>46000</v>
      </c>
    </row>
  </sheetData>
  <mergeCells count="2">
    <mergeCell ref="W1:AF1"/>
    <mergeCell ref="AT1:BH1"/>
  </mergeCells>
  <phoneticPr fontId="1" type="noConversion"/>
  <pageMargins left="0.7" right="0.7" top="0.75" bottom="0.75" header="0.3" footer="0.3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410C-BE0B-2646-8E89-38B33DC57E0C}">
  <dimension ref="A1:AZ29"/>
  <sheetViews>
    <sheetView zoomScale="5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Z4" sqref="AZ4"/>
    </sheetView>
  </sheetViews>
  <sheetFormatPr defaultColWidth="12.453125" defaultRowHeight="60" customHeight="1" x14ac:dyDescent="0.45"/>
  <cols>
    <col min="1" max="1" width="3.36328125" style="1" customWidth="1"/>
    <col min="2" max="2" width="15.6328125" style="23" customWidth="1"/>
    <col min="3" max="3" width="11.6328125" style="1" customWidth="1"/>
    <col min="4" max="4" width="12.453125" style="1" customWidth="1"/>
    <col min="5" max="6" width="10.6328125" style="11" customWidth="1"/>
    <col min="7" max="7" width="9.6328125" style="11" customWidth="1"/>
    <col min="8" max="8" width="10.6328125" style="39" customWidth="1"/>
    <col min="9" max="9" width="11.453125" style="1" customWidth="1"/>
    <col min="10" max="10" width="10.1796875" style="1" customWidth="1"/>
    <col min="11" max="13" width="10.6328125" style="11" customWidth="1"/>
    <col min="14" max="14" width="10.6328125" style="39" customWidth="1"/>
    <col min="15" max="16" width="10.453125" style="1" customWidth="1"/>
    <col min="17" max="17" width="10.6328125" style="11" customWidth="1"/>
    <col min="18" max="18" width="11.1796875" style="11" customWidth="1"/>
    <col min="19" max="19" width="10.36328125" style="11" customWidth="1"/>
    <col min="20" max="20" width="10.6328125" style="39" customWidth="1"/>
    <col min="21" max="22" width="9.6328125" style="1" customWidth="1"/>
    <col min="23" max="23" width="10.6328125" style="11" customWidth="1"/>
    <col min="24" max="25" width="9.6328125" style="11" customWidth="1"/>
    <col min="26" max="26" width="10.6328125" style="39" customWidth="1"/>
    <col min="27" max="28" width="9.6328125" style="1" customWidth="1"/>
    <col min="29" max="29" width="10.81640625" style="11" customWidth="1"/>
    <col min="30" max="31" width="9.6328125" style="11" customWidth="1"/>
    <col min="32" max="32" width="10.81640625" style="1" customWidth="1"/>
    <col min="33" max="34" width="12.453125" style="1"/>
    <col min="35" max="37" width="12.453125" style="11"/>
    <col min="38" max="45" width="12.453125" style="1"/>
    <col min="46" max="46" width="12.81640625" style="1" customWidth="1"/>
    <col min="47" max="50" width="13.6328125" style="1" customWidth="1"/>
    <col min="51" max="51" width="14.36328125" style="1" customWidth="1"/>
    <col min="52" max="52" width="14.1796875" style="1" customWidth="1"/>
    <col min="53" max="16384" width="12.453125" style="1"/>
  </cols>
  <sheetData>
    <row r="1" spans="1:52" s="6" customFormat="1" ht="60" customHeight="1" x14ac:dyDescent="0.35">
      <c r="A1" s="7" t="s">
        <v>0</v>
      </c>
      <c r="B1" s="20" t="s">
        <v>14</v>
      </c>
      <c r="C1" s="8" t="s">
        <v>7</v>
      </c>
      <c r="D1" s="8" t="s">
        <v>15</v>
      </c>
      <c r="E1" s="9" t="s">
        <v>68</v>
      </c>
      <c r="F1" s="9" t="s">
        <v>16</v>
      </c>
      <c r="G1" s="9" t="s">
        <v>24</v>
      </c>
      <c r="H1" s="8" t="s">
        <v>69</v>
      </c>
      <c r="I1" s="8" t="s">
        <v>17</v>
      </c>
      <c r="J1" s="8" t="s">
        <v>25</v>
      </c>
      <c r="K1" s="9" t="s">
        <v>70</v>
      </c>
      <c r="L1" s="9" t="s">
        <v>18</v>
      </c>
      <c r="M1" s="9" t="s">
        <v>26</v>
      </c>
      <c r="N1" s="8" t="s">
        <v>71</v>
      </c>
      <c r="O1" s="8" t="s">
        <v>19</v>
      </c>
      <c r="P1" s="8" t="s">
        <v>27</v>
      </c>
      <c r="Q1" s="9" t="s">
        <v>72</v>
      </c>
      <c r="R1" s="9" t="s">
        <v>20</v>
      </c>
      <c r="S1" s="9" t="s">
        <v>27</v>
      </c>
      <c r="T1" s="8" t="s">
        <v>73</v>
      </c>
      <c r="U1" s="8" t="s">
        <v>21</v>
      </c>
      <c r="V1" s="8" t="s">
        <v>27</v>
      </c>
      <c r="W1" s="9" t="s">
        <v>74</v>
      </c>
      <c r="X1" s="9" t="s">
        <v>23</v>
      </c>
      <c r="Y1" s="9" t="s">
        <v>27</v>
      </c>
      <c r="Z1" s="8" t="s">
        <v>75</v>
      </c>
      <c r="AA1" s="8" t="s">
        <v>22</v>
      </c>
      <c r="AB1" s="8" t="s">
        <v>27</v>
      </c>
      <c r="AC1" s="48" t="s">
        <v>195</v>
      </c>
      <c r="AD1" s="48" t="s">
        <v>196</v>
      </c>
      <c r="AE1" s="48" t="s">
        <v>24</v>
      </c>
      <c r="AF1" s="49" t="s">
        <v>212</v>
      </c>
      <c r="AG1" s="50" t="s">
        <v>213</v>
      </c>
      <c r="AH1" s="50" t="s">
        <v>24</v>
      </c>
      <c r="AI1" s="48" t="s">
        <v>238</v>
      </c>
      <c r="AJ1" s="48" t="s">
        <v>239</v>
      </c>
      <c r="AK1" s="48" t="s">
        <v>24</v>
      </c>
      <c r="AL1" s="50" t="s">
        <v>258</v>
      </c>
      <c r="AM1" s="50" t="s">
        <v>259</v>
      </c>
      <c r="AN1" s="50" t="s">
        <v>24</v>
      </c>
      <c r="AO1" s="48" t="s">
        <v>293</v>
      </c>
      <c r="AP1" s="48" t="s">
        <v>294</v>
      </c>
      <c r="AQ1" s="48" t="s">
        <v>295</v>
      </c>
      <c r="AR1" s="50" t="s">
        <v>312</v>
      </c>
      <c r="AS1" s="50" t="s">
        <v>313</v>
      </c>
      <c r="AT1" s="50" t="s">
        <v>24</v>
      </c>
      <c r="AU1" s="48" t="s">
        <v>365</v>
      </c>
      <c r="AV1" s="48" t="s">
        <v>366</v>
      </c>
      <c r="AW1" s="48" t="s">
        <v>24</v>
      </c>
      <c r="AX1" s="50" t="s">
        <v>371</v>
      </c>
      <c r="AY1" s="50" t="s">
        <v>372</v>
      </c>
      <c r="AZ1" s="50" t="s">
        <v>24</v>
      </c>
    </row>
    <row r="2" spans="1:52" s="19" customFormat="1" ht="60" customHeight="1" x14ac:dyDescent="0.35">
      <c r="A2" s="17">
        <v>1</v>
      </c>
      <c r="B2" s="21">
        <v>4107</v>
      </c>
      <c r="C2" s="18">
        <v>45807</v>
      </c>
      <c r="D2" s="17">
        <v>0</v>
      </c>
      <c r="E2" s="18">
        <v>45809</v>
      </c>
      <c r="F2" s="17">
        <v>4.5949999999999998</v>
      </c>
      <c r="G2" s="17">
        <v>0</v>
      </c>
      <c r="H2" s="18">
        <v>45815</v>
      </c>
      <c r="I2" s="17">
        <v>6.88</v>
      </c>
      <c r="J2" s="17">
        <f>(I2-F2)/(H2-E2)</f>
        <v>0.38083333333333336</v>
      </c>
      <c r="K2" s="18">
        <v>45822</v>
      </c>
      <c r="L2" s="17">
        <v>8.74</v>
      </c>
      <c r="M2" s="17">
        <f>(L2-I2)/(K2-H2)</f>
        <v>0.26571428571428574</v>
      </c>
      <c r="N2" s="18">
        <v>45829</v>
      </c>
      <c r="O2" s="17">
        <v>10.36</v>
      </c>
      <c r="P2" s="17">
        <f>(O2-L2)/(N2-K2)</f>
        <v>0.23142857142857132</v>
      </c>
      <c r="Q2" s="18">
        <v>45836</v>
      </c>
      <c r="R2" s="17">
        <v>11.85</v>
      </c>
      <c r="S2" s="17">
        <f>(R2-O2)/(Q2-N2)</f>
        <v>0.21285714285714288</v>
      </c>
      <c r="T2" s="17"/>
    </row>
    <row r="3" spans="1:52" s="19" customFormat="1" ht="60" customHeight="1" x14ac:dyDescent="0.35">
      <c r="A3" s="17">
        <v>2</v>
      </c>
      <c r="B3" s="21">
        <v>4108</v>
      </c>
      <c r="C3" s="18">
        <v>45799</v>
      </c>
      <c r="D3" s="17">
        <v>5.4950000000000001</v>
      </c>
      <c r="E3" s="18">
        <v>45809</v>
      </c>
      <c r="F3" s="17">
        <v>8.9949999999999992</v>
      </c>
      <c r="G3" s="17">
        <f>(F3-D3)/(E3-C3)</f>
        <v>0.34999999999999992</v>
      </c>
      <c r="H3" s="18">
        <v>45815</v>
      </c>
      <c r="I3" s="17">
        <v>10.35</v>
      </c>
      <c r="J3" s="17">
        <f>(I3-F3)/(H3-E3)</f>
        <v>0.22583333333333341</v>
      </c>
      <c r="K3" s="18">
        <v>45822</v>
      </c>
      <c r="L3" s="17">
        <v>11.02</v>
      </c>
      <c r="M3" s="17">
        <f>(L3-I3)/(K3-H3)</f>
        <v>9.571428571428571E-2</v>
      </c>
      <c r="N3" s="18">
        <v>45829</v>
      </c>
      <c r="O3" s="17">
        <v>12.61</v>
      </c>
      <c r="P3" s="17">
        <f t="shared" ref="P3:P29" si="0">(O3-L3)/(N3-K3)</f>
        <v>0.22714285714285712</v>
      </c>
      <c r="Q3" s="18">
        <v>45836</v>
      </c>
      <c r="R3" s="17">
        <v>13.49</v>
      </c>
      <c r="S3" s="17">
        <f>(R3-O3)/(Q3-N3)</f>
        <v>0.12571428571428583</v>
      </c>
      <c r="T3" s="17"/>
      <c r="AD3" s="17"/>
    </row>
    <row r="4" spans="1:52" ht="60" customHeight="1" x14ac:dyDescent="0.35">
      <c r="A4" s="2">
        <v>3</v>
      </c>
      <c r="B4" s="22">
        <v>4109</v>
      </c>
      <c r="C4" s="3">
        <v>45889</v>
      </c>
      <c r="D4" s="2">
        <v>3.99</v>
      </c>
      <c r="E4" s="40">
        <v>45896</v>
      </c>
      <c r="F4" s="10">
        <v>4.9450000000000003</v>
      </c>
      <c r="G4" s="10">
        <f>(F4-D4)/(E4-C4)</f>
        <v>0.13642857142857143</v>
      </c>
      <c r="H4" s="43">
        <v>45901</v>
      </c>
      <c r="I4" s="2">
        <v>5.91</v>
      </c>
      <c r="J4" s="2">
        <f>(I4-F4)/(H4-E4)</f>
        <v>0.19299999999999998</v>
      </c>
      <c r="K4" s="40">
        <v>45903</v>
      </c>
      <c r="L4" s="10">
        <v>6.415</v>
      </c>
      <c r="M4" s="10">
        <f t="shared" ref="M4:M29" si="1">(L4-I4)/(K4-H4)</f>
        <v>0.25249999999999995</v>
      </c>
      <c r="N4" s="43">
        <v>45905</v>
      </c>
      <c r="O4" s="2">
        <v>6.9</v>
      </c>
      <c r="P4" s="38">
        <f>(O4-L4)/(N4-K4)</f>
        <v>0.24250000000000016</v>
      </c>
      <c r="Q4" s="40">
        <v>45908</v>
      </c>
      <c r="R4" s="10">
        <v>7.5949999999999998</v>
      </c>
      <c r="S4" s="10">
        <f t="shared" ref="S4:S25" si="2">(R4-O4)/(Q4-N4)</f>
        <v>0.23166666666666647</v>
      </c>
      <c r="T4" s="43">
        <v>45910</v>
      </c>
      <c r="U4" s="2">
        <v>8.0050000000000008</v>
      </c>
      <c r="V4" s="2">
        <f>(U4-R4)/(T4-Q4)</f>
        <v>0.20500000000000052</v>
      </c>
      <c r="W4" s="40">
        <v>45912</v>
      </c>
      <c r="X4" s="10">
        <v>8.1999999999999993</v>
      </c>
      <c r="Y4" s="10">
        <f>(X4-U4)/(W4-T4)</f>
        <v>9.7499999999999254E-2</v>
      </c>
      <c r="Z4" s="43">
        <v>45915</v>
      </c>
      <c r="AA4" s="2">
        <v>8.7100000000000009</v>
      </c>
      <c r="AB4" s="2">
        <f>(AA4-X4)/(Z4-W4)</f>
        <v>0.17000000000000051</v>
      </c>
      <c r="AC4" s="40">
        <v>45918</v>
      </c>
      <c r="AD4" s="10">
        <v>9.6300000000000008</v>
      </c>
      <c r="AE4" s="10">
        <f>(AD4-AA4)/(AC4-Z4)</f>
        <v>0.30666666666666664</v>
      </c>
      <c r="AF4" s="3">
        <v>45922</v>
      </c>
      <c r="AG4" s="2">
        <v>10.4</v>
      </c>
      <c r="AH4" s="2">
        <f>(AG4-AD4)/(AF4-AC4)</f>
        <v>0.19249999999999989</v>
      </c>
      <c r="AI4" s="40">
        <v>45925</v>
      </c>
      <c r="AJ4" s="10">
        <v>11</v>
      </c>
      <c r="AK4" s="10">
        <f>(AJ4-AG4)/(AI4-AF4)</f>
        <v>0.19999999999999987</v>
      </c>
      <c r="AL4" s="3">
        <v>45930</v>
      </c>
      <c r="AM4" s="2">
        <v>12.16</v>
      </c>
      <c r="AN4" s="2">
        <f>(AM4-AJ4)/(AL4-AI4)</f>
        <v>0.23200000000000004</v>
      </c>
      <c r="AO4" s="3">
        <v>45936</v>
      </c>
      <c r="AP4" s="2">
        <v>13.79</v>
      </c>
      <c r="AQ4" s="2">
        <f>(AP4-AM4)/(AO4-AL4)</f>
        <v>0.2716666666666665</v>
      </c>
      <c r="AR4" s="3">
        <v>45939</v>
      </c>
      <c r="AS4" s="2">
        <v>13.5</v>
      </c>
      <c r="AT4" s="2">
        <f>(AS4-AP4)/(AR4-AO4)</f>
        <v>-9.6666666666666387E-2</v>
      </c>
      <c r="AU4" s="3">
        <v>45944</v>
      </c>
      <c r="AV4" s="2">
        <v>14.6</v>
      </c>
      <c r="AW4" s="2">
        <f>(AV4-AS4)/(AU4-AR4)</f>
        <v>0.21999999999999992</v>
      </c>
      <c r="AX4" s="3">
        <v>45947</v>
      </c>
      <c r="AY4" s="2">
        <v>13.48</v>
      </c>
      <c r="AZ4" s="2">
        <f>(AY4-AV4)/(AX4-AU4)</f>
        <v>-0.37333333333333307</v>
      </c>
    </row>
    <row r="5" spans="1:52" ht="60" customHeight="1" x14ac:dyDescent="0.35">
      <c r="A5" s="2">
        <v>4</v>
      </c>
      <c r="B5" s="22">
        <v>4110</v>
      </c>
      <c r="C5" s="3">
        <v>45892</v>
      </c>
      <c r="D5" s="2">
        <v>3.2</v>
      </c>
      <c r="E5" s="40">
        <v>45896</v>
      </c>
      <c r="F5" s="10">
        <v>4.68</v>
      </c>
      <c r="G5" s="10">
        <f>(F5-D5)/(E5-C5)</f>
        <v>0.36999999999999988</v>
      </c>
      <c r="H5" s="43">
        <v>45901</v>
      </c>
      <c r="I5" s="2">
        <v>5.91</v>
      </c>
      <c r="J5" s="2">
        <f>(I5-F5)/(H5-E5)</f>
        <v>0.24600000000000008</v>
      </c>
      <c r="K5" s="40">
        <v>45903</v>
      </c>
      <c r="L5" s="10">
        <v>6.415</v>
      </c>
      <c r="M5" s="10">
        <f t="shared" si="1"/>
        <v>0.25249999999999995</v>
      </c>
      <c r="N5" s="43">
        <v>45905</v>
      </c>
      <c r="O5" s="2">
        <v>7.2</v>
      </c>
      <c r="P5" s="38">
        <f t="shared" si="0"/>
        <v>0.39250000000000007</v>
      </c>
      <c r="Q5" s="40">
        <v>45908</v>
      </c>
      <c r="R5" s="10">
        <v>7.335</v>
      </c>
      <c r="S5" s="10">
        <f t="shared" si="2"/>
        <v>4.4999999999999929E-2</v>
      </c>
      <c r="T5" s="43">
        <v>45910</v>
      </c>
      <c r="U5" s="2">
        <v>8.18</v>
      </c>
      <c r="V5" s="2">
        <f t="shared" ref="V5:V25" si="3">(U5-R5)/(T5-Q5)</f>
        <v>0.42249999999999988</v>
      </c>
      <c r="W5" s="40">
        <v>45912</v>
      </c>
      <c r="X5" s="10">
        <v>8.4450000000000003</v>
      </c>
      <c r="Y5" s="10">
        <f t="shared" ref="Y5:Y25" si="4">(X5-U5)/(W5-T5)</f>
        <v>0.13250000000000028</v>
      </c>
      <c r="Z5" s="43">
        <v>45915</v>
      </c>
      <c r="AA5" s="2">
        <v>8.7899999999999991</v>
      </c>
      <c r="AB5" s="2">
        <f t="shared" ref="AB5:AB25" si="5">(AA5-X5)/(Z5-W5)</f>
        <v>0.11499999999999962</v>
      </c>
      <c r="AC5" s="40">
        <v>45918</v>
      </c>
      <c r="AD5" s="10">
        <v>9.5</v>
      </c>
      <c r="AE5" s="10">
        <f t="shared" ref="AE5:AE25" si="6">(AD5-AA5)/(AC5-Z5)</f>
        <v>0.23666666666666694</v>
      </c>
      <c r="AF5" s="3">
        <v>45922</v>
      </c>
      <c r="AG5" s="2">
        <v>11.1</v>
      </c>
      <c r="AH5" s="2">
        <f t="shared" ref="AH5:AH25" si="7">(AG5-AD5)/(AF5-AC5)</f>
        <v>0.39999999999999991</v>
      </c>
      <c r="AI5" s="40">
        <v>45925</v>
      </c>
      <c r="AJ5" s="10">
        <v>11.6</v>
      </c>
      <c r="AK5" s="10">
        <f t="shared" ref="AK5:AK25" si="8">(AJ5-AG5)/(AI5-AF5)</f>
        <v>0.16666666666666666</v>
      </c>
      <c r="AL5" s="3">
        <v>45930</v>
      </c>
      <c r="AM5" s="2">
        <v>12.53</v>
      </c>
      <c r="AN5" s="2">
        <f t="shared" ref="AN5:AN15" si="9">(AM5-AJ5)/(AL5-AI5)</f>
        <v>0.18599999999999994</v>
      </c>
      <c r="AO5" s="3">
        <v>45936</v>
      </c>
      <c r="AP5" s="2">
        <v>14.54</v>
      </c>
      <c r="AQ5" s="2">
        <f t="shared" ref="AQ5:AQ15" si="10">(AP5-AM5)/(AO5-AL5)</f>
        <v>0.33499999999999996</v>
      </c>
      <c r="AR5" s="3">
        <v>45939</v>
      </c>
      <c r="AS5" s="2">
        <v>14</v>
      </c>
      <c r="AT5" s="2">
        <f>(AS5-AP5)/(AR5-AO5)</f>
        <v>-0.17999999999999972</v>
      </c>
      <c r="AU5" s="3">
        <v>45944</v>
      </c>
      <c r="AV5" s="2">
        <v>15.4</v>
      </c>
      <c r="AW5" s="2">
        <f t="shared" ref="AW5:AW15" si="11">(AV5-AS5)/(AU5-AR5)</f>
        <v>0.28000000000000008</v>
      </c>
      <c r="AX5" s="3">
        <v>45947</v>
      </c>
      <c r="AY5" s="2">
        <v>16.010000000000002</v>
      </c>
      <c r="AZ5" s="2">
        <f t="shared" ref="AZ5:AZ9" si="12">(AY5-AV5)/(AX5-AU5)</f>
        <v>0.20333333333333373</v>
      </c>
    </row>
    <row r="6" spans="1:52" ht="60" customHeight="1" x14ac:dyDescent="0.35">
      <c r="A6" s="2">
        <v>5</v>
      </c>
      <c r="B6" s="22">
        <v>4111</v>
      </c>
      <c r="C6" s="3">
        <v>45892</v>
      </c>
      <c r="D6" s="2">
        <v>2.5</v>
      </c>
      <c r="E6" s="40">
        <v>45896</v>
      </c>
      <c r="F6" s="10">
        <v>3.32</v>
      </c>
      <c r="G6" s="10">
        <f t="shared" ref="G6:G8" si="13">(F6-D6)/(E6-C6)</f>
        <v>0.20499999999999996</v>
      </c>
      <c r="H6" s="43">
        <v>45901</v>
      </c>
      <c r="I6" s="2">
        <v>4.0049999999999999</v>
      </c>
      <c r="J6" s="2">
        <f t="shared" ref="J6:J29" si="14">(I6-F6)/(H6-E6)</f>
        <v>0.13700000000000001</v>
      </c>
      <c r="K6" s="40">
        <v>45903</v>
      </c>
      <c r="L6" s="10">
        <v>4.335</v>
      </c>
      <c r="M6" s="10">
        <f t="shared" si="1"/>
        <v>0.16500000000000004</v>
      </c>
      <c r="N6" s="43">
        <v>45905</v>
      </c>
      <c r="O6" s="2">
        <v>4.5250000000000004</v>
      </c>
      <c r="P6" s="38">
        <f t="shared" si="0"/>
        <v>9.5000000000000195E-2</v>
      </c>
      <c r="Q6" s="40">
        <v>45908</v>
      </c>
      <c r="R6" s="10">
        <v>5.09</v>
      </c>
      <c r="S6" s="10">
        <f t="shared" si="2"/>
        <v>0.18833333333333316</v>
      </c>
      <c r="T6" s="43">
        <v>45910</v>
      </c>
      <c r="U6" s="2">
        <v>4.8099999999999996</v>
      </c>
      <c r="V6" s="2">
        <f t="shared" si="3"/>
        <v>-0.14000000000000012</v>
      </c>
      <c r="W6" s="40">
        <v>45912</v>
      </c>
      <c r="X6" s="10">
        <v>5.2149999999999999</v>
      </c>
      <c r="Y6" s="10">
        <f t="shared" si="4"/>
        <v>0.20250000000000012</v>
      </c>
      <c r="Z6" s="43">
        <v>45915</v>
      </c>
      <c r="AA6" s="2">
        <v>6</v>
      </c>
      <c r="AB6" s="2">
        <f t="shared" si="5"/>
        <v>0.26166666666666671</v>
      </c>
      <c r="AC6" s="40">
        <v>45918</v>
      </c>
      <c r="AD6" s="10">
        <v>6.3</v>
      </c>
      <c r="AE6" s="10">
        <f t="shared" si="6"/>
        <v>9.9999999999999936E-2</v>
      </c>
      <c r="AF6" s="3">
        <v>45922</v>
      </c>
      <c r="AG6" s="2">
        <v>7.3</v>
      </c>
      <c r="AH6" s="2">
        <f t="shared" si="7"/>
        <v>0.25</v>
      </c>
      <c r="AI6" s="40">
        <v>45925</v>
      </c>
      <c r="AJ6" s="10">
        <v>7.62</v>
      </c>
      <c r="AK6" s="10">
        <f t="shared" si="8"/>
        <v>0.10666666666666676</v>
      </c>
      <c r="AL6" s="3">
        <v>45930</v>
      </c>
      <c r="AM6" s="2">
        <v>8.125</v>
      </c>
      <c r="AN6" s="2">
        <f t="shared" si="9"/>
        <v>0.10099999999999998</v>
      </c>
      <c r="AO6" s="3">
        <v>45936</v>
      </c>
      <c r="AP6" s="2">
        <v>9.6999999999999993</v>
      </c>
      <c r="AQ6" s="2">
        <f t="shared" si="10"/>
        <v>0.2624999999999999</v>
      </c>
      <c r="AR6" s="3">
        <v>45939</v>
      </c>
      <c r="AS6" s="2">
        <v>9.4</v>
      </c>
      <c r="AT6" s="2">
        <f t="shared" ref="AT6:AT15" si="15">(AS6-AP6)/(AR6-AO6)</f>
        <v>-9.9999999999999645E-2</v>
      </c>
      <c r="AU6" s="3">
        <v>45944</v>
      </c>
      <c r="AV6" s="2">
        <v>10.29</v>
      </c>
      <c r="AW6" s="2">
        <f t="shared" si="11"/>
        <v>0.17799999999999977</v>
      </c>
      <c r="AX6" s="3">
        <v>45947</v>
      </c>
      <c r="AY6" s="2">
        <v>9.3699999999999992</v>
      </c>
      <c r="AZ6" s="2">
        <f t="shared" si="12"/>
        <v>-0.30666666666666664</v>
      </c>
    </row>
    <row r="7" spans="1:52" ht="60" customHeight="1" x14ac:dyDescent="0.35">
      <c r="A7" s="2">
        <v>6</v>
      </c>
      <c r="B7" s="22">
        <v>4112</v>
      </c>
      <c r="C7" s="3">
        <v>45893</v>
      </c>
      <c r="D7" s="2">
        <v>4.28</v>
      </c>
      <c r="E7" s="40">
        <v>45896</v>
      </c>
      <c r="F7" s="10">
        <v>5.46</v>
      </c>
      <c r="G7" s="10">
        <f t="shared" si="13"/>
        <v>0.39333333333333326</v>
      </c>
      <c r="H7" s="43">
        <v>45901</v>
      </c>
      <c r="I7" s="2">
        <v>6.73</v>
      </c>
      <c r="J7" s="2">
        <f t="shared" si="14"/>
        <v>0.25400000000000011</v>
      </c>
      <c r="K7" s="40">
        <v>45903</v>
      </c>
      <c r="L7" s="10">
        <v>7.64</v>
      </c>
      <c r="M7" s="10">
        <f t="shared" si="1"/>
        <v>0.45499999999999963</v>
      </c>
      <c r="N7" s="43">
        <v>45905</v>
      </c>
      <c r="O7" s="2">
        <v>7.94</v>
      </c>
      <c r="P7" s="38">
        <f>(O7-L7)/(N7-K7)</f>
        <v>0.15000000000000036</v>
      </c>
      <c r="Q7" s="40">
        <v>45908</v>
      </c>
      <c r="R7" s="10">
        <v>8.84</v>
      </c>
      <c r="S7" s="10">
        <f t="shared" si="2"/>
        <v>0.29999999999999982</v>
      </c>
      <c r="T7" s="43">
        <v>45910</v>
      </c>
      <c r="U7" s="2">
        <v>9.2249999999999996</v>
      </c>
      <c r="V7" s="2">
        <f t="shared" si="3"/>
        <v>0.19249999999999989</v>
      </c>
      <c r="W7" s="40">
        <v>45912</v>
      </c>
      <c r="X7" s="10">
        <v>9.48</v>
      </c>
      <c r="Y7" s="10">
        <f t="shared" si="4"/>
        <v>0.12750000000000039</v>
      </c>
      <c r="Z7" s="43">
        <v>45915</v>
      </c>
      <c r="AA7" s="2">
        <v>10.14</v>
      </c>
      <c r="AB7" s="2">
        <f t="shared" si="5"/>
        <v>0.22000000000000006</v>
      </c>
      <c r="AC7" s="40">
        <v>45918</v>
      </c>
      <c r="AD7" s="10">
        <v>10.23</v>
      </c>
      <c r="AE7" s="10">
        <f t="shared" si="6"/>
        <v>2.9999999999999954E-2</v>
      </c>
      <c r="AF7" s="3">
        <v>45922</v>
      </c>
      <c r="AG7" s="2">
        <v>11.6</v>
      </c>
      <c r="AH7" s="2">
        <f t="shared" si="7"/>
        <v>0.3424999999999998</v>
      </c>
      <c r="AI7" s="40">
        <v>45925</v>
      </c>
      <c r="AJ7" s="10">
        <v>12.57</v>
      </c>
      <c r="AK7" s="10">
        <f t="shared" si="8"/>
        <v>0.32333333333333353</v>
      </c>
      <c r="AL7" s="3">
        <v>45930</v>
      </c>
      <c r="AM7" s="2">
        <v>13.65</v>
      </c>
      <c r="AN7" s="2">
        <f t="shared" si="9"/>
        <v>0.21600000000000003</v>
      </c>
      <c r="AO7" s="3">
        <v>45936</v>
      </c>
      <c r="AP7" s="2">
        <v>15.11</v>
      </c>
      <c r="AQ7" s="2">
        <f t="shared" si="10"/>
        <v>0.24333333333333318</v>
      </c>
      <c r="AR7" s="3">
        <v>45939</v>
      </c>
      <c r="AS7" s="2">
        <v>15.1</v>
      </c>
      <c r="AT7" s="2">
        <f t="shared" si="15"/>
        <v>-3.3333333333332624E-3</v>
      </c>
      <c r="AU7" s="3">
        <v>45944</v>
      </c>
      <c r="AV7" s="2">
        <v>16.3</v>
      </c>
      <c r="AW7" s="2">
        <f t="shared" si="11"/>
        <v>0.24000000000000021</v>
      </c>
      <c r="AX7" s="3">
        <v>45947</v>
      </c>
      <c r="AY7" s="2">
        <v>17</v>
      </c>
      <c r="AZ7" s="2">
        <f t="shared" si="12"/>
        <v>0.23333333333333309</v>
      </c>
    </row>
    <row r="8" spans="1:52" s="2" customFormat="1" ht="60" customHeight="1" x14ac:dyDescent="0.35">
      <c r="A8" s="2">
        <v>7</v>
      </c>
      <c r="B8" s="22">
        <v>4113</v>
      </c>
      <c r="C8" s="3">
        <v>45893</v>
      </c>
      <c r="D8" s="2">
        <v>4.1100000000000003</v>
      </c>
      <c r="E8" s="40">
        <v>45896</v>
      </c>
      <c r="F8" s="10">
        <v>4.9950000000000001</v>
      </c>
      <c r="G8" s="10">
        <f t="shared" si="13"/>
        <v>0.29499999999999993</v>
      </c>
      <c r="H8" s="43">
        <v>45901</v>
      </c>
      <c r="I8" s="2">
        <v>6.17</v>
      </c>
      <c r="J8" s="2">
        <f t="shared" si="14"/>
        <v>0.23499999999999996</v>
      </c>
      <c r="K8" s="40">
        <v>45903</v>
      </c>
      <c r="L8" s="10">
        <v>6.6950000000000003</v>
      </c>
      <c r="M8" s="10">
        <f t="shared" si="1"/>
        <v>0.26250000000000018</v>
      </c>
      <c r="N8" s="43">
        <v>45905</v>
      </c>
      <c r="O8" s="2">
        <v>7</v>
      </c>
      <c r="P8" s="38">
        <f t="shared" si="0"/>
        <v>0.15249999999999986</v>
      </c>
      <c r="Q8" s="40">
        <v>45908</v>
      </c>
      <c r="R8" s="10">
        <v>7.5250000000000004</v>
      </c>
      <c r="S8" s="10">
        <f t="shared" si="2"/>
        <v>0.17500000000000013</v>
      </c>
      <c r="T8" s="43">
        <v>45910</v>
      </c>
      <c r="U8" s="2">
        <v>7.94</v>
      </c>
      <c r="V8" s="2">
        <f>(U8-R8)/(T8-Q8)</f>
        <v>0.20750000000000002</v>
      </c>
      <c r="W8" s="40">
        <v>45912</v>
      </c>
      <c r="X8" s="10">
        <v>8.1150000000000002</v>
      </c>
      <c r="Y8" s="10">
        <f t="shared" si="4"/>
        <v>8.7499999999999911E-2</v>
      </c>
      <c r="Z8" s="43">
        <v>45915</v>
      </c>
      <c r="AA8" s="2">
        <v>8.4600000000000009</v>
      </c>
      <c r="AB8" s="2">
        <f t="shared" si="5"/>
        <v>0.11500000000000021</v>
      </c>
      <c r="AC8" s="40">
        <v>45918</v>
      </c>
      <c r="AD8" s="10">
        <v>8.93</v>
      </c>
      <c r="AE8" s="10">
        <f t="shared" si="6"/>
        <v>0.15666666666666629</v>
      </c>
      <c r="AF8" s="3">
        <v>45922</v>
      </c>
      <c r="AG8" s="2">
        <v>10.199999999999999</v>
      </c>
      <c r="AH8" s="2">
        <f t="shared" si="7"/>
        <v>0.31749999999999989</v>
      </c>
      <c r="AI8" s="40">
        <v>45925</v>
      </c>
      <c r="AJ8" s="10">
        <v>10.3</v>
      </c>
      <c r="AK8" s="10">
        <f t="shared" si="8"/>
        <v>3.3333333333333805E-2</v>
      </c>
      <c r="AL8" s="3">
        <v>45930</v>
      </c>
      <c r="AM8" s="2">
        <v>10.54</v>
      </c>
      <c r="AN8" s="2">
        <f t="shared" si="9"/>
        <v>4.7999999999999689E-2</v>
      </c>
      <c r="AO8" s="3">
        <v>45936</v>
      </c>
      <c r="AP8" s="2">
        <v>12.84</v>
      </c>
      <c r="AQ8" s="2">
        <f t="shared" si="10"/>
        <v>0.38333333333333347</v>
      </c>
      <c r="AR8" s="3">
        <v>45939</v>
      </c>
      <c r="AS8" s="2">
        <v>13.56</v>
      </c>
      <c r="AT8" s="2">
        <f t="shared" si="15"/>
        <v>0.24000000000000021</v>
      </c>
      <c r="AU8" s="3">
        <v>45944</v>
      </c>
      <c r="AV8" s="2">
        <v>13.7</v>
      </c>
      <c r="AW8" s="2">
        <f t="shared" si="11"/>
        <v>2.7999999999999758E-2</v>
      </c>
      <c r="AX8" s="3">
        <v>45947</v>
      </c>
      <c r="AY8" s="2">
        <v>13.8</v>
      </c>
      <c r="AZ8" s="2">
        <f t="shared" si="12"/>
        <v>3.3333333333333805E-2</v>
      </c>
    </row>
    <row r="9" spans="1:52" s="2" customFormat="1" ht="60" customHeight="1" x14ac:dyDescent="0.35">
      <c r="A9" s="2">
        <v>8</v>
      </c>
      <c r="B9" s="22">
        <v>4114</v>
      </c>
      <c r="C9" s="3">
        <v>45894</v>
      </c>
      <c r="D9" s="2">
        <v>2.84</v>
      </c>
      <c r="E9" s="40">
        <v>45896</v>
      </c>
      <c r="F9" s="10">
        <v>3.355</v>
      </c>
      <c r="G9" s="10">
        <f>(F9-D9)/(E9-C9)</f>
        <v>0.25750000000000006</v>
      </c>
      <c r="H9" s="43">
        <v>45901</v>
      </c>
      <c r="I9" s="2">
        <v>4.82</v>
      </c>
      <c r="J9" s="2">
        <f t="shared" si="14"/>
        <v>0.29300000000000004</v>
      </c>
      <c r="K9" s="40">
        <v>45903</v>
      </c>
      <c r="L9" s="10">
        <v>5.2949999999999999</v>
      </c>
      <c r="M9" s="10">
        <f t="shared" si="1"/>
        <v>0.23749999999999982</v>
      </c>
      <c r="N9" s="43">
        <v>45905</v>
      </c>
      <c r="O9" s="2">
        <v>5.47</v>
      </c>
      <c r="P9" s="38">
        <f t="shared" si="0"/>
        <v>8.7499999999999911E-2</v>
      </c>
      <c r="Q9" s="40">
        <v>45908</v>
      </c>
      <c r="R9" s="10">
        <v>5.9349999999999996</v>
      </c>
      <c r="S9" s="10">
        <f t="shared" si="2"/>
        <v>0.15499999999999994</v>
      </c>
      <c r="T9" s="43">
        <v>45910</v>
      </c>
      <c r="U9" s="2">
        <v>5.99</v>
      </c>
      <c r="V9" s="2">
        <f t="shared" si="3"/>
        <v>2.7500000000000302E-2</v>
      </c>
      <c r="W9" s="40">
        <v>45912</v>
      </c>
      <c r="X9" s="10">
        <v>6.3849999999999998</v>
      </c>
      <c r="Y9" s="10">
        <f t="shared" si="4"/>
        <v>0.19749999999999979</v>
      </c>
      <c r="Z9" s="43">
        <v>45915</v>
      </c>
      <c r="AA9" s="2">
        <v>6.9</v>
      </c>
      <c r="AB9" s="2">
        <f t="shared" si="5"/>
        <v>0.17166666666666686</v>
      </c>
      <c r="AC9" s="40">
        <v>45918</v>
      </c>
      <c r="AD9" s="10">
        <v>7.32</v>
      </c>
      <c r="AE9" s="10">
        <f t="shared" si="6"/>
        <v>0.13999999999999999</v>
      </c>
      <c r="AF9" s="3">
        <v>45922</v>
      </c>
      <c r="AG9" s="2">
        <v>8.4</v>
      </c>
      <c r="AH9" s="2">
        <f t="shared" si="7"/>
        <v>0.27</v>
      </c>
      <c r="AI9" s="40">
        <v>45925</v>
      </c>
      <c r="AJ9" s="10">
        <v>8.68</v>
      </c>
      <c r="AK9" s="10">
        <f t="shared" si="8"/>
        <v>9.3333333333333116E-2</v>
      </c>
      <c r="AL9" s="3">
        <v>45930</v>
      </c>
      <c r="AM9" s="2">
        <v>9.1349999999999998</v>
      </c>
      <c r="AN9" s="2">
        <f t="shared" si="9"/>
        <v>9.1000000000000011E-2</v>
      </c>
      <c r="AO9" s="3">
        <v>45936</v>
      </c>
      <c r="AP9" s="2">
        <v>9.9949999999999992</v>
      </c>
      <c r="AQ9" s="2">
        <f t="shared" si="10"/>
        <v>0.14333333333333323</v>
      </c>
      <c r="AR9" s="3">
        <v>45939</v>
      </c>
      <c r="AS9" s="2">
        <v>9.4</v>
      </c>
      <c r="AT9" s="2">
        <f t="shared" si="15"/>
        <v>-0.19833333333333295</v>
      </c>
      <c r="AU9" s="3">
        <v>45944</v>
      </c>
      <c r="AV9" s="2">
        <v>9.8000000000000007</v>
      </c>
      <c r="AW9" s="2">
        <f t="shared" si="11"/>
        <v>8.0000000000000071E-2</v>
      </c>
      <c r="AX9" s="3">
        <v>45947</v>
      </c>
      <c r="AY9" s="2">
        <v>11.16</v>
      </c>
      <c r="AZ9" s="2">
        <f t="shared" si="12"/>
        <v>0.45333333333333314</v>
      </c>
    </row>
    <row r="10" spans="1:52" ht="60" customHeight="1" x14ac:dyDescent="0.35">
      <c r="A10" s="42">
        <v>9</v>
      </c>
      <c r="B10" s="22">
        <v>4115</v>
      </c>
      <c r="C10" s="3">
        <v>45898</v>
      </c>
      <c r="D10" s="2">
        <v>3.43</v>
      </c>
      <c r="E10" s="40">
        <v>45901</v>
      </c>
      <c r="F10" s="10">
        <v>3.6</v>
      </c>
      <c r="G10" s="10">
        <f>(F10-D10)/(E10-C10)</f>
        <v>5.6666666666666643E-2</v>
      </c>
      <c r="H10" s="43">
        <v>45903</v>
      </c>
      <c r="I10" s="2">
        <v>4.1449999999999996</v>
      </c>
      <c r="J10" s="2">
        <f t="shared" si="14"/>
        <v>0.27249999999999974</v>
      </c>
      <c r="K10" s="40">
        <v>45905</v>
      </c>
      <c r="L10" s="10">
        <v>4.5250000000000004</v>
      </c>
      <c r="M10" s="10">
        <f t="shared" si="1"/>
        <v>0.19000000000000039</v>
      </c>
      <c r="N10" s="43">
        <v>45908</v>
      </c>
      <c r="O10" s="2">
        <v>5</v>
      </c>
      <c r="P10" s="2">
        <f t="shared" si="0"/>
        <v>0.15833333333333321</v>
      </c>
      <c r="Q10" s="40">
        <v>45910</v>
      </c>
      <c r="R10" s="10">
        <v>5.49</v>
      </c>
      <c r="S10" s="10">
        <f t="shared" si="2"/>
        <v>0.24500000000000011</v>
      </c>
      <c r="T10" s="43">
        <v>45912</v>
      </c>
      <c r="U10" s="2">
        <v>5.585</v>
      </c>
      <c r="V10" s="2">
        <f t="shared" si="3"/>
        <v>4.7499999999999876E-2</v>
      </c>
      <c r="W10" s="40">
        <v>45915</v>
      </c>
      <c r="X10" s="10">
        <v>5.77</v>
      </c>
      <c r="Y10" s="10">
        <f t="shared" si="4"/>
        <v>6.1666666666666536E-2</v>
      </c>
      <c r="Z10" s="43">
        <v>45918</v>
      </c>
      <c r="AA10" s="2">
        <v>6.6</v>
      </c>
      <c r="AB10" s="2">
        <f t="shared" si="5"/>
        <v>0.27666666666666667</v>
      </c>
      <c r="AC10" s="40">
        <v>45922</v>
      </c>
      <c r="AD10" s="10">
        <v>7.4</v>
      </c>
      <c r="AE10" s="10">
        <f t="shared" si="6"/>
        <v>0.20000000000000018</v>
      </c>
      <c r="AF10" s="3">
        <v>45925</v>
      </c>
      <c r="AG10" s="2">
        <v>7.62</v>
      </c>
      <c r="AH10" s="2">
        <f t="shared" si="7"/>
        <v>7.333333333333325E-2</v>
      </c>
      <c r="AI10" s="40">
        <v>45930</v>
      </c>
      <c r="AJ10" s="10">
        <v>8.3249999999999993</v>
      </c>
      <c r="AK10" s="10">
        <f t="shared" si="8"/>
        <v>0.14099999999999985</v>
      </c>
      <c r="AL10" s="3">
        <v>45936</v>
      </c>
      <c r="AM10" s="2">
        <v>9.5150000000000006</v>
      </c>
      <c r="AN10" s="2">
        <f t="shared" si="9"/>
        <v>0.19833333333333356</v>
      </c>
      <c r="AO10" s="3">
        <v>45939</v>
      </c>
      <c r="AP10" s="2">
        <v>9.6</v>
      </c>
      <c r="AQ10" s="2">
        <f t="shared" si="10"/>
        <v>2.8333333333333027E-2</v>
      </c>
      <c r="AR10" s="3">
        <v>45944</v>
      </c>
      <c r="AS10" s="2">
        <v>10.15</v>
      </c>
      <c r="AT10" s="2">
        <f t="shared" si="15"/>
        <v>0.11000000000000014</v>
      </c>
      <c r="AU10" s="3">
        <v>45947</v>
      </c>
      <c r="AV10" s="2">
        <v>10.46</v>
      </c>
      <c r="AW10" s="2">
        <f t="shared" si="11"/>
        <v>0.1033333333333335</v>
      </c>
    </row>
    <row r="11" spans="1:52" ht="60" customHeight="1" x14ac:dyDescent="0.35">
      <c r="A11" s="2">
        <v>10</v>
      </c>
      <c r="B11" s="22">
        <v>4116</v>
      </c>
      <c r="C11" s="3">
        <v>45898</v>
      </c>
      <c r="D11" s="2">
        <v>3.54</v>
      </c>
      <c r="E11" s="40">
        <v>45901</v>
      </c>
      <c r="F11" s="10">
        <v>3.8</v>
      </c>
      <c r="G11" s="10">
        <f>(F11-D11)/(E11-C11)</f>
        <v>8.66666666666666E-2</v>
      </c>
      <c r="H11" s="43">
        <v>45903</v>
      </c>
      <c r="I11" s="2">
        <v>4.2249999999999996</v>
      </c>
      <c r="J11" s="2">
        <f t="shared" si="14"/>
        <v>0.21249999999999991</v>
      </c>
      <c r="K11" s="40">
        <v>45905</v>
      </c>
      <c r="L11" s="10">
        <v>4.1349999999999998</v>
      </c>
      <c r="M11" s="10">
        <f t="shared" si="1"/>
        <v>-4.4999999999999929E-2</v>
      </c>
      <c r="N11" s="43">
        <v>45908</v>
      </c>
      <c r="O11" s="2">
        <v>4.4800000000000004</v>
      </c>
      <c r="P11" s="2">
        <f t="shared" si="0"/>
        <v>0.11500000000000021</v>
      </c>
      <c r="Q11" s="40">
        <v>45910</v>
      </c>
      <c r="R11" s="10">
        <v>4.625</v>
      </c>
      <c r="S11" s="10">
        <f t="shared" si="2"/>
        <v>7.2499999999999787E-2</v>
      </c>
      <c r="T11" s="43">
        <v>45912</v>
      </c>
      <c r="U11" s="2">
        <v>4.7249999999999996</v>
      </c>
      <c r="V11" s="2">
        <f t="shared" si="3"/>
        <v>4.9999999999999822E-2</v>
      </c>
      <c r="W11" s="40">
        <v>45915</v>
      </c>
      <c r="X11" s="10">
        <v>4.8099999999999996</v>
      </c>
      <c r="Y11" s="10">
        <f t="shared" si="4"/>
        <v>2.8333333333333321E-2</v>
      </c>
      <c r="Z11" s="43">
        <v>45918</v>
      </c>
      <c r="AA11" s="2">
        <v>4.8</v>
      </c>
      <c r="AB11" s="2">
        <f t="shared" si="5"/>
        <v>-3.3333333333332624E-3</v>
      </c>
      <c r="AC11" s="40">
        <v>45922</v>
      </c>
      <c r="AD11" s="10">
        <v>5.5</v>
      </c>
      <c r="AE11" s="10">
        <f t="shared" si="6"/>
        <v>0.17500000000000004</v>
      </c>
      <c r="AF11" s="3">
        <v>45925</v>
      </c>
      <c r="AG11" s="2">
        <v>5.9950000000000001</v>
      </c>
      <c r="AH11" s="2">
        <f t="shared" si="7"/>
        <v>0.16500000000000004</v>
      </c>
      <c r="AI11" s="40">
        <v>45930</v>
      </c>
      <c r="AJ11" s="10">
        <v>6.48</v>
      </c>
      <c r="AK11" s="10">
        <f t="shared" si="8"/>
        <v>9.7000000000000058E-2</v>
      </c>
      <c r="AL11" s="3">
        <v>45936</v>
      </c>
      <c r="AM11" s="2">
        <v>7.4950000000000001</v>
      </c>
      <c r="AN11" s="2">
        <f t="shared" si="9"/>
        <v>0.1691666666666666</v>
      </c>
      <c r="AO11" s="3">
        <v>45939</v>
      </c>
      <c r="AP11" s="2">
        <v>6.64</v>
      </c>
      <c r="AQ11" s="2">
        <f t="shared" si="10"/>
        <v>-0.28500000000000014</v>
      </c>
      <c r="AR11" s="3">
        <v>45944</v>
      </c>
      <c r="AS11" s="2">
        <v>7.93</v>
      </c>
      <c r="AT11" s="2">
        <f t="shared" si="15"/>
        <v>0.25800000000000001</v>
      </c>
      <c r="AU11" s="3">
        <v>45947</v>
      </c>
      <c r="AV11" s="2">
        <v>7.3</v>
      </c>
      <c r="AW11" s="2">
        <f t="shared" si="11"/>
        <v>-0.20999999999999996</v>
      </c>
    </row>
    <row r="12" spans="1:52" ht="60" customHeight="1" x14ac:dyDescent="0.35">
      <c r="A12" s="2">
        <v>11</v>
      </c>
      <c r="B12" s="22">
        <v>4117</v>
      </c>
      <c r="C12" s="3">
        <v>45903</v>
      </c>
      <c r="D12" s="2">
        <v>3.93</v>
      </c>
      <c r="E12" s="40">
        <v>45905</v>
      </c>
      <c r="F12" s="10">
        <v>4.26</v>
      </c>
      <c r="G12" s="10">
        <f>(F12-D12)/(E12-C12)</f>
        <v>0.16499999999999981</v>
      </c>
      <c r="H12" s="43">
        <v>45908</v>
      </c>
      <c r="I12" s="2">
        <v>5.29</v>
      </c>
      <c r="J12" s="2">
        <f t="shared" si="14"/>
        <v>0.34333333333333343</v>
      </c>
      <c r="K12" s="40">
        <v>45910</v>
      </c>
      <c r="L12" s="10">
        <v>5.9349999999999996</v>
      </c>
      <c r="M12" s="10">
        <f t="shared" si="1"/>
        <v>0.32249999999999979</v>
      </c>
      <c r="N12" s="43">
        <v>45912</v>
      </c>
      <c r="O12" s="2">
        <v>6.2549999999999999</v>
      </c>
      <c r="P12" s="2">
        <f t="shared" si="0"/>
        <v>0.16000000000000014</v>
      </c>
      <c r="Q12" s="40">
        <v>45915</v>
      </c>
      <c r="R12" s="10">
        <v>7</v>
      </c>
      <c r="S12" s="10">
        <f t="shared" si="2"/>
        <v>0.24833333333333338</v>
      </c>
      <c r="T12" s="43">
        <v>45918</v>
      </c>
      <c r="U12" s="2">
        <v>8.02</v>
      </c>
      <c r="V12" s="2">
        <f t="shared" si="3"/>
        <v>0.33999999999999986</v>
      </c>
      <c r="W12" s="40">
        <v>45922</v>
      </c>
      <c r="X12" s="10">
        <v>8.6999999999999993</v>
      </c>
      <c r="Y12" s="10">
        <f t="shared" si="4"/>
        <v>0.16999999999999993</v>
      </c>
      <c r="Z12" s="43">
        <v>45925</v>
      </c>
      <c r="AA12" s="2">
        <v>9.1999999999999993</v>
      </c>
      <c r="AB12" s="2">
        <f t="shared" si="5"/>
        <v>0.16666666666666666</v>
      </c>
      <c r="AC12" s="40">
        <v>45930</v>
      </c>
      <c r="AD12" s="10">
        <v>9.7100000000000009</v>
      </c>
      <c r="AE12" s="10">
        <f t="shared" si="6"/>
        <v>0.10200000000000031</v>
      </c>
      <c r="AF12" s="3">
        <v>45936</v>
      </c>
      <c r="AG12" s="2">
        <v>10.99</v>
      </c>
      <c r="AH12" s="2">
        <f t="shared" si="7"/>
        <v>0.21333333333333324</v>
      </c>
      <c r="AI12" s="40">
        <v>45939</v>
      </c>
      <c r="AJ12" s="10">
        <v>11.5</v>
      </c>
      <c r="AK12" s="10">
        <f t="shared" si="8"/>
        <v>0.16999999999999993</v>
      </c>
      <c r="AL12" s="3">
        <v>45944</v>
      </c>
      <c r="AM12" s="2">
        <v>12</v>
      </c>
      <c r="AN12" s="2">
        <f t="shared" si="9"/>
        <v>0.1</v>
      </c>
      <c r="AO12" s="3">
        <v>45947</v>
      </c>
      <c r="AP12" s="2">
        <v>12.72</v>
      </c>
      <c r="AQ12" s="2">
        <f t="shared" si="10"/>
        <v>0.24000000000000021</v>
      </c>
      <c r="AT12" s="2"/>
      <c r="AW12" s="2"/>
    </row>
    <row r="13" spans="1:52" ht="60" customHeight="1" x14ac:dyDescent="0.35">
      <c r="A13" s="2">
        <v>12</v>
      </c>
      <c r="B13" s="22">
        <v>4118</v>
      </c>
      <c r="C13" s="3">
        <v>45907</v>
      </c>
      <c r="D13" s="2">
        <v>2.4649999999999999</v>
      </c>
      <c r="E13" s="40">
        <v>45908</v>
      </c>
      <c r="F13" s="10">
        <v>2.5649999999999999</v>
      </c>
      <c r="G13" s="10">
        <f t="shared" ref="G13:G29" si="16">(F13-D13)/(E13-C13)</f>
        <v>0.10000000000000009</v>
      </c>
      <c r="H13" s="43">
        <v>45910</v>
      </c>
      <c r="I13" s="2">
        <v>3.08</v>
      </c>
      <c r="J13" s="2">
        <f t="shared" si="14"/>
        <v>0.25750000000000006</v>
      </c>
      <c r="K13" s="40">
        <v>45912</v>
      </c>
      <c r="L13" s="10">
        <v>3.41</v>
      </c>
      <c r="M13" s="10">
        <f t="shared" si="1"/>
        <v>0.16500000000000004</v>
      </c>
      <c r="N13" s="43">
        <v>45915</v>
      </c>
      <c r="O13" s="2">
        <v>3.7850000000000001</v>
      </c>
      <c r="P13" s="2">
        <f t="shared" si="0"/>
        <v>0.125</v>
      </c>
      <c r="Q13" s="40">
        <v>45918</v>
      </c>
      <c r="R13" s="10">
        <v>4.4800000000000004</v>
      </c>
      <c r="S13" s="10">
        <f t="shared" si="2"/>
        <v>0.23166666666666677</v>
      </c>
      <c r="T13" s="43">
        <v>45922</v>
      </c>
      <c r="U13" s="2">
        <v>4.5</v>
      </c>
      <c r="V13" s="2">
        <f t="shared" si="3"/>
        <v>4.9999999999998934E-3</v>
      </c>
      <c r="W13" s="40">
        <v>45925</v>
      </c>
      <c r="X13" s="10">
        <v>4.67</v>
      </c>
      <c r="Y13" s="10">
        <f t="shared" si="4"/>
        <v>5.6666666666666643E-2</v>
      </c>
      <c r="Z13" s="43">
        <v>45930</v>
      </c>
      <c r="AA13" s="2">
        <v>4.9249999999999998</v>
      </c>
      <c r="AB13" s="2">
        <f t="shared" si="5"/>
        <v>5.0999999999999976E-2</v>
      </c>
      <c r="AC13" s="40">
        <v>45936</v>
      </c>
      <c r="AD13" s="10">
        <v>5.41</v>
      </c>
      <c r="AE13" s="10">
        <f t="shared" si="6"/>
        <v>8.0833333333333382E-2</v>
      </c>
      <c r="AF13" s="3">
        <v>45939</v>
      </c>
      <c r="AG13" s="2">
        <v>5.83</v>
      </c>
      <c r="AH13" s="2">
        <f t="shared" si="7"/>
        <v>0.13999999999999999</v>
      </c>
      <c r="AI13" s="40">
        <v>45944</v>
      </c>
      <c r="AJ13" s="10">
        <v>6.3</v>
      </c>
      <c r="AK13" s="10">
        <f t="shared" si="8"/>
        <v>9.3999999999999945E-2</v>
      </c>
      <c r="AL13" s="3">
        <v>45947</v>
      </c>
      <c r="AM13" s="2">
        <v>5.62</v>
      </c>
      <c r="AN13" s="2">
        <f t="shared" si="9"/>
        <v>-0.22666666666666657</v>
      </c>
      <c r="AO13" s="3">
        <v>45951</v>
      </c>
      <c r="AP13" s="2">
        <v>6.4</v>
      </c>
      <c r="AQ13" s="2">
        <f t="shared" si="10"/>
        <v>0.19500000000000006</v>
      </c>
      <c r="AT13" s="2"/>
      <c r="AW13" s="2"/>
    </row>
    <row r="14" spans="1:52" ht="60" customHeight="1" x14ac:dyDescent="0.35">
      <c r="A14" s="2">
        <v>13</v>
      </c>
      <c r="B14" s="22">
        <v>4119</v>
      </c>
      <c r="C14" s="3">
        <v>45907</v>
      </c>
      <c r="D14" s="2">
        <v>2.96</v>
      </c>
      <c r="E14" s="40">
        <v>45908</v>
      </c>
      <c r="F14" s="10">
        <v>3.06</v>
      </c>
      <c r="G14" s="10">
        <f t="shared" si="16"/>
        <v>0.10000000000000009</v>
      </c>
      <c r="H14" s="43">
        <v>45910</v>
      </c>
      <c r="I14" s="2">
        <v>3.53</v>
      </c>
      <c r="J14" s="2">
        <f t="shared" si="14"/>
        <v>0.23499999999999988</v>
      </c>
      <c r="K14" s="40">
        <v>45912</v>
      </c>
      <c r="L14" s="10">
        <v>3.77</v>
      </c>
      <c r="M14" s="10">
        <f t="shared" si="1"/>
        <v>0.12000000000000011</v>
      </c>
      <c r="N14" s="43">
        <v>45915</v>
      </c>
      <c r="O14" s="2">
        <v>4.2949999999999999</v>
      </c>
      <c r="P14" s="2">
        <f t="shared" si="0"/>
        <v>0.17499999999999996</v>
      </c>
      <c r="Q14" s="40">
        <v>45918</v>
      </c>
      <c r="R14" s="10">
        <v>4.42</v>
      </c>
      <c r="S14" s="10">
        <f t="shared" si="2"/>
        <v>4.1666666666666664E-2</v>
      </c>
      <c r="T14" s="43">
        <v>45922</v>
      </c>
      <c r="U14" s="2">
        <v>4.8</v>
      </c>
      <c r="V14" s="2">
        <f t="shared" si="3"/>
        <v>9.4999999999999973E-2</v>
      </c>
      <c r="W14" s="40">
        <v>45925</v>
      </c>
      <c r="X14" s="10">
        <v>5.2450000000000001</v>
      </c>
      <c r="Y14" s="10">
        <f t="shared" si="4"/>
        <v>0.14833333333333343</v>
      </c>
      <c r="Z14" s="43">
        <v>45930</v>
      </c>
      <c r="AA14" s="2">
        <v>5.28</v>
      </c>
      <c r="AB14" s="2">
        <f t="shared" si="5"/>
        <v>7.0000000000000288E-3</v>
      </c>
      <c r="AC14" s="40">
        <v>45936</v>
      </c>
      <c r="AD14" s="10">
        <v>6.53</v>
      </c>
      <c r="AE14" s="10">
        <f t="shared" si="6"/>
        <v>0.20833333333333334</v>
      </c>
      <c r="AF14" s="3">
        <v>45939</v>
      </c>
      <c r="AG14" s="2">
        <v>6.6</v>
      </c>
      <c r="AH14" s="2">
        <f t="shared" si="7"/>
        <v>2.3333333333333133E-2</v>
      </c>
      <c r="AI14" s="40">
        <v>45944</v>
      </c>
      <c r="AJ14" s="10">
        <v>7</v>
      </c>
      <c r="AK14" s="10">
        <f t="shared" si="8"/>
        <v>8.0000000000000071E-2</v>
      </c>
      <c r="AL14" s="3">
        <v>45947</v>
      </c>
      <c r="AM14" s="2">
        <v>7.3550000000000004</v>
      </c>
      <c r="AN14" s="2">
        <f t="shared" si="9"/>
        <v>0.11833333333333347</v>
      </c>
      <c r="AO14" s="3">
        <v>45951</v>
      </c>
      <c r="AP14" s="2">
        <v>7.47</v>
      </c>
      <c r="AQ14" s="2">
        <f t="shared" si="10"/>
        <v>2.8749999999999831E-2</v>
      </c>
      <c r="AT14" s="2"/>
      <c r="AW14" s="2"/>
    </row>
    <row r="15" spans="1:52" ht="60" customHeight="1" x14ac:dyDescent="0.35">
      <c r="A15" s="2">
        <v>14</v>
      </c>
      <c r="B15" s="22">
        <v>4120</v>
      </c>
      <c r="C15" s="3">
        <v>45908</v>
      </c>
      <c r="D15" s="2">
        <v>3.1</v>
      </c>
      <c r="E15" s="40">
        <v>45910</v>
      </c>
      <c r="F15" s="10">
        <v>3.29</v>
      </c>
      <c r="G15" s="10">
        <f t="shared" si="16"/>
        <v>9.4999999999999973E-2</v>
      </c>
      <c r="H15" s="43">
        <v>45912</v>
      </c>
      <c r="I15" s="2">
        <v>3.7949999999999999</v>
      </c>
      <c r="J15" s="2">
        <f t="shared" si="14"/>
        <v>0.25249999999999995</v>
      </c>
      <c r="K15" s="40">
        <v>45915</v>
      </c>
      <c r="L15" s="10">
        <v>4.38</v>
      </c>
      <c r="M15" s="10">
        <f t="shared" si="1"/>
        <v>0.19499999999999998</v>
      </c>
      <c r="N15" s="43">
        <v>45918</v>
      </c>
      <c r="O15" s="2">
        <v>5.15</v>
      </c>
      <c r="P15" s="2">
        <f t="shared" si="0"/>
        <v>0.25666666666666682</v>
      </c>
      <c r="Q15" s="40">
        <v>45922</v>
      </c>
      <c r="R15" s="10">
        <v>6</v>
      </c>
      <c r="S15" s="10">
        <f t="shared" si="2"/>
        <v>0.21249999999999991</v>
      </c>
      <c r="T15" s="43">
        <v>45925</v>
      </c>
      <c r="U15" s="2">
        <v>6.5049999999999999</v>
      </c>
      <c r="V15" s="2">
        <f t="shared" si="3"/>
        <v>0.16833333333333331</v>
      </c>
      <c r="W15" s="40">
        <v>45930</v>
      </c>
      <c r="X15" s="10">
        <v>7.6550000000000002</v>
      </c>
      <c r="Y15" s="10">
        <f t="shared" si="4"/>
        <v>0.23000000000000007</v>
      </c>
      <c r="Z15" s="43">
        <v>45936</v>
      </c>
      <c r="AA15" s="2">
        <v>8.58</v>
      </c>
      <c r="AB15" s="2">
        <f t="shared" si="5"/>
        <v>0.15416666666666665</v>
      </c>
      <c r="AC15" s="40">
        <v>45939</v>
      </c>
      <c r="AD15" s="10">
        <v>8.59</v>
      </c>
      <c r="AE15" s="10">
        <f t="shared" si="6"/>
        <v>3.3333333333332624E-3</v>
      </c>
      <c r="AF15" s="3">
        <v>45944</v>
      </c>
      <c r="AG15" s="2">
        <v>10</v>
      </c>
      <c r="AH15" s="2">
        <f t="shared" si="7"/>
        <v>0.28200000000000003</v>
      </c>
      <c r="AI15" s="40">
        <v>45947</v>
      </c>
      <c r="AJ15" s="10">
        <v>10.74</v>
      </c>
      <c r="AK15" s="10">
        <f t="shared" si="8"/>
        <v>0.24666666666666673</v>
      </c>
      <c r="AL15" s="3">
        <v>45951</v>
      </c>
      <c r="AM15" s="2">
        <v>11.01</v>
      </c>
      <c r="AN15" s="2">
        <f t="shared" si="9"/>
        <v>6.7499999999999893E-2</v>
      </c>
      <c r="AO15" s="3">
        <v>45954</v>
      </c>
      <c r="AP15" s="2">
        <v>12.57</v>
      </c>
      <c r="AQ15" s="2">
        <f t="shared" si="10"/>
        <v>0.52000000000000013</v>
      </c>
      <c r="AR15" s="3">
        <v>45958</v>
      </c>
      <c r="AS15" s="2">
        <v>13</v>
      </c>
      <c r="AT15" s="2">
        <f t="shared" si="15"/>
        <v>0.10749999999999993</v>
      </c>
      <c r="AU15" s="3">
        <v>45961</v>
      </c>
      <c r="AV15" s="2">
        <v>13.77</v>
      </c>
      <c r="AW15" s="2">
        <f t="shared" si="11"/>
        <v>0.25666666666666654</v>
      </c>
    </row>
    <row r="16" spans="1:52" s="54" customFormat="1" ht="60" customHeight="1" x14ac:dyDescent="0.35">
      <c r="A16" s="51">
        <v>15</v>
      </c>
      <c r="B16" s="52">
        <v>4121</v>
      </c>
      <c r="C16" s="53">
        <v>45916</v>
      </c>
      <c r="D16" s="51">
        <v>3.56</v>
      </c>
      <c r="E16" s="53">
        <v>45922</v>
      </c>
      <c r="F16" s="51" t="s">
        <v>214</v>
      </c>
      <c r="G16" s="51"/>
      <c r="J16" s="55"/>
      <c r="M16" s="55"/>
      <c r="P16" s="55"/>
      <c r="S16" s="55"/>
      <c r="V16" s="55"/>
      <c r="Y16" s="55"/>
      <c r="AB16" s="55"/>
      <c r="AE16" s="55"/>
      <c r="AH16" s="55"/>
      <c r="AK16" s="55"/>
    </row>
    <row r="17" spans="1:37" ht="60" customHeight="1" x14ac:dyDescent="0.35">
      <c r="A17" s="2">
        <v>16</v>
      </c>
      <c r="B17" s="22">
        <v>4122</v>
      </c>
      <c r="C17" s="3">
        <v>45917</v>
      </c>
      <c r="D17" s="2">
        <v>2.3149999999999999</v>
      </c>
      <c r="E17" s="40">
        <v>45922</v>
      </c>
      <c r="F17" s="10">
        <v>2.9</v>
      </c>
      <c r="G17" s="10">
        <f t="shared" si="16"/>
        <v>0.11699999999999999</v>
      </c>
      <c r="H17" s="43">
        <v>45925</v>
      </c>
      <c r="I17" s="2">
        <v>3.4649999999999999</v>
      </c>
      <c r="J17" s="2">
        <f t="shared" si="14"/>
        <v>0.18833333333333332</v>
      </c>
      <c r="K17" s="40">
        <v>45930</v>
      </c>
      <c r="L17" s="10">
        <v>4.09</v>
      </c>
      <c r="M17" s="10">
        <f t="shared" si="1"/>
        <v>0.125</v>
      </c>
      <c r="N17" s="43">
        <v>45936</v>
      </c>
      <c r="O17" s="2">
        <v>4.75</v>
      </c>
      <c r="P17" s="2">
        <f t="shared" si="0"/>
        <v>0.11000000000000003</v>
      </c>
      <c r="Q17" s="40">
        <v>45939</v>
      </c>
      <c r="R17" s="10">
        <v>5</v>
      </c>
      <c r="S17" s="10">
        <f t="shared" si="2"/>
        <v>8.3333333333333329E-2</v>
      </c>
      <c r="T17" s="43">
        <v>45944</v>
      </c>
      <c r="U17" s="2">
        <v>5.4</v>
      </c>
      <c r="V17" s="2">
        <f t="shared" si="3"/>
        <v>8.0000000000000071E-2</v>
      </c>
      <c r="W17" s="40">
        <v>45947</v>
      </c>
      <c r="X17" s="10">
        <v>5.5750000000000002</v>
      </c>
      <c r="Y17" s="10">
        <f t="shared" si="4"/>
        <v>5.8333333333333272E-2</v>
      </c>
      <c r="AB17" s="2"/>
      <c r="AE17" s="10"/>
      <c r="AH17" s="2"/>
      <c r="AK17" s="10"/>
    </row>
    <row r="18" spans="1:37" ht="60" customHeight="1" x14ac:dyDescent="0.35">
      <c r="A18" s="2">
        <v>17</v>
      </c>
      <c r="B18" s="22">
        <v>4123</v>
      </c>
      <c r="C18" s="3">
        <v>45918</v>
      </c>
      <c r="D18" s="2">
        <v>4.5</v>
      </c>
      <c r="E18" s="40">
        <v>45922</v>
      </c>
      <c r="F18" s="10">
        <v>4.5999999999999996</v>
      </c>
      <c r="G18" s="10">
        <f t="shared" si="16"/>
        <v>2.4999999999999911E-2</v>
      </c>
      <c r="H18" s="43">
        <v>45925</v>
      </c>
      <c r="I18" s="2">
        <v>5.1849999999999996</v>
      </c>
      <c r="J18" s="2">
        <f t="shared" si="14"/>
        <v>0.19499999999999998</v>
      </c>
      <c r="K18" s="40">
        <v>45930</v>
      </c>
      <c r="L18" s="10">
        <v>5.48</v>
      </c>
      <c r="M18" s="10">
        <f t="shared" si="1"/>
        <v>5.9000000000000163E-2</v>
      </c>
      <c r="N18" s="43">
        <v>45936</v>
      </c>
      <c r="O18" s="2">
        <v>6.14</v>
      </c>
      <c r="P18" s="2">
        <f t="shared" si="0"/>
        <v>0.10999999999999988</v>
      </c>
      <c r="Q18" s="40">
        <v>45939</v>
      </c>
      <c r="R18" s="10">
        <v>5.69</v>
      </c>
      <c r="S18" s="10">
        <f t="shared" si="2"/>
        <v>-0.14999999999999977</v>
      </c>
      <c r="T18" s="43">
        <v>45944</v>
      </c>
      <c r="U18" s="2">
        <v>5.6</v>
      </c>
      <c r="V18" s="2">
        <f t="shared" si="3"/>
        <v>-1.8000000000000148E-2</v>
      </c>
      <c r="W18" s="40">
        <v>45947</v>
      </c>
      <c r="X18" s="10">
        <v>5.5949999999999998</v>
      </c>
      <c r="Y18" s="10">
        <f t="shared" si="4"/>
        <v>-1.6666666666666312E-3</v>
      </c>
      <c r="AB18" s="2"/>
      <c r="AE18" s="10"/>
      <c r="AH18" s="2"/>
      <c r="AK18" s="10"/>
    </row>
    <row r="19" spans="1:37" ht="60" customHeight="1" x14ac:dyDescent="0.35">
      <c r="A19" s="2">
        <v>18</v>
      </c>
      <c r="B19" s="22">
        <v>4124</v>
      </c>
      <c r="C19" s="3">
        <v>45918</v>
      </c>
      <c r="D19" s="2">
        <v>3.57</v>
      </c>
      <c r="E19" s="40">
        <v>45922</v>
      </c>
      <c r="F19" s="10">
        <v>3.89</v>
      </c>
      <c r="G19" s="10">
        <f t="shared" si="16"/>
        <v>8.0000000000000071E-2</v>
      </c>
      <c r="H19" s="43">
        <v>45925</v>
      </c>
      <c r="I19" s="2">
        <v>4.7649999999999997</v>
      </c>
      <c r="J19" s="2">
        <f t="shared" si="14"/>
        <v>0.29166666666666652</v>
      </c>
      <c r="K19" s="40">
        <v>45930</v>
      </c>
      <c r="L19" s="10">
        <v>5</v>
      </c>
      <c r="M19" s="10">
        <f t="shared" si="1"/>
        <v>4.7000000000000063E-2</v>
      </c>
      <c r="N19" s="43">
        <v>45936</v>
      </c>
      <c r="O19" s="2">
        <v>6.5049999999999999</v>
      </c>
      <c r="P19" s="2">
        <f t="shared" si="0"/>
        <v>0.2508333333333333</v>
      </c>
      <c r="Q19" s="40">
        <v>45939</v>
      </c>
      <c r="R19" s="10">
        <v>6.6</v>
      </c>
      <c r="S19" s="10">
        <f t="shared" si="2"/>
        <v>3.1666666666666586E-2</v>
      </c>
      <c r="T19" s="43">
        <v>45944</v>
      </c>
      <c r="U19" s="2">
        <v>7.47</v>
      </c>
      <c r="V19" s="2">
        <f t="shared" si="3"/>
        <v>0.17400000000000002</v>
      </c>
      <c r="W19" s="40">
        <v>45947</v>
      </c>
      <c r="X19" s="10">
        <v>8.11</v>
      </c>
      <c r="Y19" s="10">
        <f t="shared" si="4"/>
        <v>0.21333333333333324</v>
      </c>
      <c r="AB19" s="2"/>
      <c r="AE19" s="10"/>
      <c r="AH19" s="2"/>
      <c r="AK19" s="10"/>
    </row>
    <row r="20" spans="1:37" ht="60" customHeight="1" x14ac:dyDescent="0.35">
      <c r="A20" s="2">
        <v>19</v>
      </c>
      <c r="B20" s="22">
        <v>4125</v>
      </c>
      <c r="C20" s="3">
        <v>45918</v>
      </c>
      <c r="D20" s="2">
        <v>3.2349999999999999</v>
      </c>
      <c r="E20" s="40">
        <v>45922</v>
      </c>
      <c r="F20" s="10">
        <v>4.1500000000000004</v>
      </c>
      <c r="G20" s="10">
        <f t="shared" si="16"/>
        <v>0.22875000000000012</v>
      </c>
      <c r="H20" s="43">
        <v>45925</v>
      </c>
      <c r="I20" s="2">
        <v>4.51</v>
      </c>
      <c r="J20" s="2">
        <f t="shared" si="14"/>
        <v>0.11999999999999982</v>
      </c>
      <c r="K20" s="40">
        <v>45930</v>
      </c>
      <c r="L20" s="10">
        <v>5.0049999999999999</v>
      </c>
      <c r="M20" s="10">
        <f t="shared" si="1"/>
        <v>9.9000000000000019E-2</v>
      </c>
      <c r="N20" s="43">
        <v>45936</v>
      </c>
      <c r="O20" s="2">
        <v>5.91</v>
      </c>
      <c r="P20" s="2">
        <f t="shared" si="0"/>
        <v>0.15083333333333337</v>
      </c>
      <c r="Q20" s="40">
        <v>45939</v>
      </c>
      <c r="R20" s="10">
        <v>6.1</v>
      </c>
      <c r="S20" s="10">
        <f t="shared" si="2"/>
        <v>6.3333333333333172E-2</v>
      </c>
      <c r="T20" s="43">
        <v>45944</v>
      </c>
      <c r="U20" s="2">
        <v>6.5</v>
      </c>
      <c r="V20" s="2">
        <f t="shared" si="3"/>
        <v>8.0000000000000071E-2</v>
      </c>
      <c r="W20" s="40">
        <v>45947</v>
      </c>
      <c r="X20" s="10">
        <v>6.8</v>
      </c>
      <c r="Y20" s="10">
        <f t="shared" si="4"/>
        <v>9.9999999999999936E-2</v>
      </c>
      <c r="AB20" s="2"/>
      <c r="AE20" s="10"/>
      <c r="AH20" s="2"/>
      <c r="AK20" s="10"/>
    </row>
    <row r="21" spans="1:37" ht="60" customHeight="1" x14ac:dyDescent="0.35">
      <c r="A21" s="2">
        <v>20</v>
      </c>
      <c r="B21" s="22">
        <v>4126</v>
      </c>
      <c r="C21" s="3">
        <v>45917</v>
      </c>
      <c r="D21" s="2">
        <v>3.39</v>
      </c>
      <c r="E21" s="40">
        <v>45922</v>
      </c>
      <c r="F21" s="10">
        <v>3.9</v>
      </c>
      <c r="G21" s="10">
        <f t="shared" si="16"/>
        <v>0.10199999999999995</v>
      </c>
      <c r="H21" s="43">
        <v>45925</v>
      </c>
      <c r="I21" s="2">
        <v>4.55</v>
      </c>
      <c r="J21" s="2">
        <f t="shared" si="14"/>
        <v>0.21666666666666665</v>
      </c>
      <c r="K21" s="40">
        <v>45930</v>
      </c>
      <c r="L21" s="10">
        <v>5.16</v>
      </c>
      <c r="M21" s="10">
        <f t="shared" si="1"/>
        <v>0.12200000000000007</v>
      </c>
      <c r="N21" s="43">
        <v>45936</v>
      </c>
      <c r="O21" s="2">
        <v>5.33</v>
      </c>
      <c r="P21" s="2">
        <f t="shared" si="0"/>
        <v>2.8333333333333321E-2</v>
      </c>
      <c r="Q21" s="40">
        <v>45939</v>
      </c>
      <c r="R21" s="10">
        <v>5.5</v>
      </c>
      <c r="S21" s="10">
        <f t="shared" si="2"/>
        <v>5.6666666666666643E-2</v>
      </c>
      <c r="T21" s="43">
        <v>45944</v>
      </c>
      <c r="U21" s="2">
        <v>5.6</v>
      </c>
      <c r="V21" s="2">
        <f t="shared" si="3"/>
        <v>1.9999999999999928E-2</v>
      </c>
      <c r="W21" s="40">
        <v>45947</v>
      </c>
      <c r="X21" s="10">
        <v>5.87</v>
      </c>
      <c r="Y21" s="10">
        <f t="shared" si="4"/>
        <v>9.0000000000000149E-2</v>
      </c>
      <c r="AB21" s="2"/>
      <c r="AE21" s="10"/>
      <c r="AH21" s="2"/>
      <c r="AK21" s="10"/>
    </row>
    <row r="22" spans="1:37" ht="60" customHeight="1" x14ac:dyDescent="0.35">
      <c r="A22" s="2">
        <v>21</v>
      </c>
      <c r="B22" s="22">
        <v>4127</v>
      </c>
      <c r="C22" s="3">
        <v>45918</v>
      </c>
      <c r="D22" s="2">
        <v>4.0999999999999996</v>
      </c>
      <c r="E22" s="40">
        <v>45922</v>
      </c>
      <c r="F22" s="10">
        <v>4.7</v>
      </c>
      <c r="G22" s="10">
        <f t="shared" si="16"/>
        <v>0.15000000000000013</v>
      </c>
      <c r="H22" s="43">
        <v>45925</v>
      </c>
      <c r="I22" s="2">
        <v>5.4349999999999996</v>
      </c>
      <c r="J22" s="2">
        <f t="shared" si="14"/>
        <v>0.2449999999999998</v>
      </c>
      <c r="K22" s="40">
        <v>45930</v>
      </c>
      <c r="L22" s="10">
        <v>6.3250000000000002</v>
      </c>
      <c r="M22" s="10">
        <f t="shared" si="1"/>
        <v>0.1780000000000001</v>
      </c>
      <c r="N22" s="43">
        <v>45936</v>
      </c>
      <c r="O22" s="2">
        <v>7.49</v>
      </c>
      <c r="P22" s="2">
        <f t="shared" si="0"/>
        <v>0.19416666666666668</v>
      </c>
      <c r="Q22" s="40">
        <v>45939</v>
      </c>
      <c r="R22" s="10">
        <v>7.5</v>
      </c>
      <c r="S22" s="10">
        <f t="shared" si="2"/>
        <v>3.3333333333332624E-3</v>
      </c>
      <c r="T22" s="43">
        <v>45944</v>
      </c>
      <c r="U22" s="2">
        <v>8.49</v>
      </c>
      <c r="V22" s="2">
        <f t="shared" si="3"/>
        <v>0.19800000000000004</v>
      </c>
      <c r="W22" s="40">
        <v>45947</v>
      </c>
      <c r="X22" s="10">
        <v>8.67</v>
      </c>
      <c r="Y22" s="10">
        <f t="shared" si="4"/>
        <v>5.9999999999999908E-2</v>
      </c>
      <c r="AB22" s="2"/>
      <c r="AE22" s="10"/>
      <c r="AH22" s="2"/>
      <c r="AK22" s="10"/>
    </row>
    <row r="23" spans="1:37" ht="60" customHeight="1" x14ac:dyDescent="0.35">
      <c r="A23" s="2">
        <v>22</v>
      </c>
      <c r="B23" s="22">
        <v>4129</v>
      </c>
      <c r="C23" s="3">
        <v>45918</v>
      </c>
      <c r="D23" s="2">
        <v>3.2</v>
      </c>
      <c r="E23" s="40">
        <v>45922</v>
      </c>
      <c r="F23" s="10">
        <v>3.29</v>
      </c>
      <c r="G23" s="10">
        <f t="shared" si="16"/>
        <v>2.2499999999999964E-2</v>
      </c>
      <c r="H23" s="43">
        <v>45925</v>
      </c>
      <c r="I23" s="2">
        <v>3.855</v>
      </c>
      <c r="J23" s="2">
        <f t="shared" si="14"/>
        <v>0.18833333333333332</v>
      </c>
      <c r="K23" s="40">
        <v>45930</v>
      </c>
      <c r="L23" s="10">
        <v>4.34</v>
      </c>
      <c r="M23" s="10">
        <f t="shared" si="1"/>
        <v>9.6999999999999975E-2</v>
      </c>
      <c r="N23" s="43">
        <v>45936</v>
      </c>
      <c r="O23" s="2">
        <v>4.8849999999999998</v>
      </c>
      <c r="P23" s="2">
        <f t="shared" si="0"/>
        <v>9.0833333333333321E-2</v>
      </c>
      <c r="Q23" s="40">
        <v>45939</v>
      </c>
      <c r="R23" s="10">
        <v>4.9000000000000004</v>
      </c>
      <c r="S23" s="10">
        <f t="shared" si="2"/>
        <v>5.0000000000001892E-3</v>
      </c>
      <c r="T23" s="43">
        <v>45944</v>
      </c>
      <c r="U23" s="2">
        <v>5.23</v>
      </c>
      <c r="V23" s="2">
        <f t="shared" si="3"/>
        <v>6.6000000000000017E-2</v>
      </c>
      <c r="W23" s="40">
        <v>45947</v>
      </c>
      <c r="X23" s="10">
        <v>5.59</v>
      </c>
      <c r="Y23" s="10">
        <f t="shared" si="4"/>
        <v>0.11999999999999982</v>
      </c>
      <c r="AB23" s="2"/>
      <c r="AE23" s="10"/>
      <c r="AH23" s="2"/>
      <c r="AK23" s="10"/>
    </row>
    <row r="24" spans="1:37" ht="60" customHeight="1" x14ac:dyDescent="0.35">
      <c r="A24" s="2">
        <v>23</v>
      </c>
      <c r="B24" s="22">
        <v>4130</v>
      </c>
      <c r="C24" s="3">
        <v>45919</v>
      </c>
      <c r="D24" s="2">
        <v>4.0999999999999996</v>
      </c>
      <c r="E24" s="40">
        <v>45922</v>
      </c>
      <c r="F24" s="10">
        <v>4.6840000000000002</v>
      </c>
      <c r="G24" s="10">
        <f t="shared" si="16"/>
        <v>0.19466666666666685</v>
      </c>
      <c r="H24" s="43">
        <v>45925</v>
      </c>
      <c r="I24" s="2">
        <v>5.72</v>
      </c>
      <c r="J24" s="2">
        <f t="shared" si="14"/>
        <v>0.34533333333333321</v>
      </c>
      <c r="K24" s="40">
        <v>45930</v>
      </c>
      <c r="L24" s="10">
        <v>7.14</v>
      </c>
      <c r="M24" s="10">
        <f t="shared" si="1"/>
        <v>0.28399999999999997</v>
      </c>
      <c r="N24" s="43">
        <v>45936</v>
      </c>
      <c r="O24" s="2">
        <v>8.26</v>
      </c>
      <c r="P24" s="2">
        <f t="shared" si="0"/>
        <v>0.18666666666666668</v>
      </c>
      <c r="Q24" s="40">
        <v>45939</v>
      </c>
      <c r="R24" s="10">
        <v>8.4</v>
      </c>
      <c r="S24" s="10">
        <f t="shared" si="2"/>
        <v>4.6666666666666856E-2</v>
      </c>
      <c r="T24" s="43">
        <v>45944</v>
      </c>
      <c r="U24" s="2">
        <v>9.1</v>
      </c>
      <c r="V24" s="2">
        <f t="shared" si="3"/>
        <v>0.13999999999999985</v>
      </c>
      <c r="W24" s="40">
        <v>45947</v>
      </c>
      <c r="X24" s="10">
        <v>9.85</v>
      </c>
      <c r="Y24" s="10">
        <f t="shared" si="4"/>
        <v>0.25</v>
      </c>
      <c r="AB24" s="2"/>
      <c r="AE24" s="10"/>
      <c r="AH24" s="2"/>
      <c r="AK24" s="10"/>
    </row>
    <row r="25" spans="1:37" ht="60" customHeight="1" x14ac:dyDescent="0.35">
      <c r="A25" s="2">
        <v>24</v>
      </c>
      <c r="B25" s="22">
        <v>4132</v>
      </c>
      <c r="C25" s="3">
        <v>45920</v>
      </c>
      <c r="D25" s="2">
        <v>4.5179999999999998</v>
      </c>
      <c r="E25" s="40">
        <v>45922</v>
      </c>
      <c r="F25" s="10">
        <v>5.2</v>
      </c>
      <c r="G25" s="10">
        <f t="shared" si="16"/>
        <v>0.34100000000000019</v>
      </c>
      <c r="H25" s="43">
        <v>45925</v>
      </c>
      <c r="I25" s="2">
        <v>6.1950000000000003</v>
      </c>
      <c r="J25" s="2">
        <f t="shared" si="14"/>
        <v>0.33166666666666672</v>
      </c>
      <c r="K25" s="40">
        <v>45930</v>
      </c>
      <c r="L25" s="10">
        <v>7.4850000000000003</v>
      </c>
      <c r="M25" s="10">
        <f t="shared" si="1"/>
        <v>0.25800000000000001</v>
      </c>
      <c r="N25" s="43">
        <v>45936</v>
      </c>
      <c r="O25" s="2">
        <v>8.9250000000000007</v>
      </c>
      <c r="P25" s="2">
        <f t="shared" si="0"/>
        <v>0.24000000000000007</v>
      </c>
      <c r="Q25" s="40">
        <v>45939</v>
      </c>
      <c r="R25" s="10">
        <v>8.32</v>
      </c>
      <c r="S25" s="10">
        <f t="shared" si="2"/>
        <v>-0.2016666666666668</v>
      </c>
      <c r="T25" s="43">
        <v>45944</v>
      </c>
      <c r="U25" s="2">
        <v>9.5</v>
      </c>
      <c r="V25" s="2">
        <f t="shared" si="3"/>
        <v>0.23599999999999993</v>
      </c>
      <c r="W25" s="40">
        <v>45947</v>
      </c>
      <c r="X25" s="10">
        <v>9.4499999999999993</v>
      </c>
      <c r="Y25" s="10">
        <f t="shared" si="4"/>
        <v>-1.6666666666666902E-2</v>
      </c>
      <c r="Z25" s="43">
        <v>45951</v>
      </c>
      <c r="AA25" s="2">
        <v>11.6</v>
      </c>
      <c r="AB25" s="2">
        <f t="shared" si="5"/>
        <v>0.53750000000000009</v>
      </c>
      <c r="AC25" s="40">
        <v>45954</v>
      </c>
      <c r="AD25" s="10">
        <v>12.45</v>
      </c>
      <c r="AE25" s="10">
        <f t="shared" si="6"/>
        <v>0.28333333333333321</v>
      </c>
      <c r="AF25" s="3">
        <v>45958</v>
      </c>
      <c r="AG25" s="2">
        <v>13.5</v>
      </c>
      <c r="AH25" s="2">
        <f t="shared" si="7"/>
        <v>0.26250000000000018</v>
      </c>
      <c r="AI25" s="40">
        <v>45961</v>
      </c>
      <c r="AJ25" s="10">
        <v>13.27</v>
      </c>
      <c r="AK25" s="10">
        <f t="shared" si="8"/>
        <v>-7.6666666666666813E-2</v>
      </c>
    </row>
    <row r="26" spans="1:37" ht="60" customHeight="1" x14ac:dyDescent="0.35">
      <c r="A26" s="2">
        <v>25</v>
      </c>
      <c r="B26" s="22">
        <v>4128</v>
      </c>
      <c r="C26" s="3">
        <v>45929</v>
      </c>
      <c r="D26" s="2">
        <v>1.73</v>
      </c>
      <c r="E26" s="40">
        <v>45936</v>
      </c>
      <c r="F26" s="10">
        <v>2.645</v>
      </c>
      <c r="G26" s="10">
        <f t="shared" si="16"/>
        <v>0.13071428571428573</v>
      </c>
      <c r="H26" s="43">
        <v>45939</v>
      </c>
      <c r="I26" s="2">
        <v>3</v>
      </c>
      <c r="J26" s="2">
        <f t="shared" si="14"/>
        <v>0.11833333333333333</v>
      </c>
      <c r="K26" s="40">
        <v>45944</v>
      </c>
      <c r="L26" s="10">
        <v>3.56</v>
      </c>
      <c r="M26" s="10">
        <f t="shared" si="1"/>
        <v>0.11200000000000002</v>
      </c>
      <c r="N26" s="43">
        <v>45947</v>
      </c>
      <c r="O26" s="2">
        <v>4.0949999999999998</v>
      </c>
      <c r="P26" s="2">
        <f t="shared" si="0"/>
        <v>0.17833333333333323</v>
      </c>
    </row>
    <row r="27" spans="1:37" ht="60" customHeight="1" x14ac:dyDescent="0.35">
      <c r="A27" s="2">
        <v>26</v>
      </c>
      <c r="B27" s="22">
        <v>4131</v>
      </c>
      <c r="C27" s="3">
        <v>45929</v>
      </c>
      <c r="D27" s="2">
        <v>1.9950000000000001</v>
      </c>
      <c r="E27" s="40">
        <v>45936</v>
      </c>
      <c r="F27" s="10">
        <v>3.1150000000000002</v>
      </c>
      <c r="G27" s="10">
        <f t="shared" si="16"/>
        <v>0.16</v>
      </c>
      <c r="H27" s="43">
        <v>45939</v>
      </c>
      <c r="I27" s="2">
        <v>3.65</v>
      </c>
      <c r="J27" s="2">
        <f t="shared" si="14"/>
        <v>0.17833333333333323</v>
      </c>
      <c r="K27" s="40">
        <v>45944</v>
      </c>
      <c r="L27" s="10">
        <v>4.33</v>
      </c>
      <c r="M27" s="10">
        <f t="shared" si="1"/>
        <v>0.13600000000000004</v>
      </c>
      <c r="N27" s="43">
        <v>45947</v>
      </c>
      <c r="O27" s="2">
        <v>4.7249999999999996</v>
      </c>
      <c r="P27" s="2">
        <f t="shared" si="0"/>
        <v>0.13166666666666652</v>
      </c>
    </row>
    <row r="28" spans="1:37" ht="60" customHeight="1" x14ac:dyDescent="0.35">
      <c r="A28" s="2">
        <v>27</v>
      </c>
      <c r="B28" s="22">
        <v>4133</v>
      </c>
      <c r="C28" s="3">
        <v>45930</v>
      </c>
      <c r="D28" s="2">
        <v>2.5499999999999998</v>
      </c>
      <c r="E28" s="40">
        <v>45936</v>
      </c>
      <c r="F28" s="10">
        <v>3.38</v>
      </c>
      <c r="G28" s="10">
        <f t="shared" si="16"/>
        <v>0.13833333333333334</v>
      </c>
      <c r="H28" s="43">
        <v>45939</v>
      </c>
      <c r="I28" s="2">
        <v>3.9</v>
      </c>
      <c r="J28" s="2">
        <f t="shared" si="14"/>
        <v>0.17333333333333334</v>
      </c>
      <c r="K28" s="40">
        <v>45944</v>
      </c>
      <c r="L28" s="10">
        <v>4.4000000000000004</v>
      </c>
      <c r="M28" s="10">
        <f t="shared" si="1"/>
        <v>0.10000000000000009</v>
      </c>
      <c r="N28" s="43">
        <v>45947</v>
      </c>
      <c r="O28" s="2">
        <v>4.9950000000000001</v>
      </c>
      <c r="P28" s="2">
        <f t="shared" si="0"/>
        <v>0.19833333333333325</v>
      </c>
    </row>
    <row r="29" spans="1:37" ht="60" customHeight="1" x14ac:dyDescent="0.35">
      <c r="A29" s="2">
        <v>28</v>
      </c>
      <c r="B29" s="22">
        <v>4134</v>
      </c>
      <c r="C29" s="3">
        <v>45930</v>
      </c>
      <c r="D29" s="2">
        <v>2.86</v>
      </c>
      <c r="E29" s="40">
        <v>45936</v>
      </c>
      <c r="F29" s="10">
        <v>3.63</v>
      </c>
      <c r="G29" s="10">
        <f t="shared" si="16"/>
        <v>0.12833333333333333</v>
      </c>
      <c r="H29" s="43">
        <v>45939</v>
      </c>
      <c r="I29" s="2">
        <v>4</v>
      </c>
      <c r="J29" s="2">
        <f t="shared" si="14"/>
        <v>0.12333333333333336</v>
      </c>
      <c r="K29" s="40">
        <v>45944</v>
      </c>
      <c r="L29" s="10">
        <v>4.7</v>
      </c>
      <c r="M29" s="10">
        <f t="shared" si="1"/>
        <v>0.14000000000000004</v>
      </c>
      <c r="N29" s="43">
        <v>45947</v>
      </c>
      <c r="O29" s="2">
        <v>5.4649999999999999</v>
      </c>
      <c r="P29" s="2">
        <f t="shared" si="0"/>
        <v>0.25499999999999989</v>
      </c>
    </row>
  </sheetData>
  <pageMargins left="0.7" right="0.7" top="0.75" bottom="0.75" header="0.3" footer="0.3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36D0-920A-42CE-BFEF-1AEBF941C114}">
  <dimension ref="A1:AI332"/>
  <sheetViews>
    <sheetView topLeftCell="A2" zoomScale="70" workbookViewId="0">
      <pane ySplit="1" topLeftCell="A314" activePane="bottomLeft" state="frozen"/>
      <selection activeCell="A2" sqref="A2"/>
      <selection pane="bottomLeft" activeCell="E21" sqref="E21"/>
    </sheetView>
  </sheetViews>
  <sheetFormatPr defaultColWidth="8.81640625" defaultRowHeight="21" x14ac:dyDescent="0.5"/>
  <cols>
    <col min="1" max="1" width="4.453125" style="100" customWidth="1"/>
    <col min="2" max="2" width="26.6328125" style="101" customWidth="1"/>
    <col min="3" max="3" width="25.6328125" style="94" customWidth="1"/>
    <col min="4" max="5" width="12.6328125" style="94" customWidth="1"/>
    <col min="6" max="9" width="8.81640625" style="10"/>
    <col min="10" max="18" width="8.81640625" style="74"/>
    <col min="19" max="19" width="12.6328125" style="94" customWidth="1"/>
    <col min="20" max="23" width="8.81640625" style="10"/>
    <col min="24" max="32" width="8.81640625" style="74"/>
    <col min="33" max="35" width="10.6328125" style="89" customWidth="1"/>
  </cols>
  <sheetData>
    <row r="1" spans="1:35" x14ac:dyDescent="0.35">
      <c r="A1" s="91" t="s">
        <v>0</v>
      </c>
      <c r="B1" s="92" t="s">
        <v>1</v>
      </c>
      <c r="C1" s="93" t="s">
        <v>39</v>
      </c>
      <c r="D1" s="92"/>
      <c r="F1" s="150" t="s">
        <v>502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78"/>
      <c r="T1" s="151" t="s">
        <v>503</v>
      </c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79"/>
    </row>
    <row r="2" spans="1:35" ht="43.5" x14ac:dyDescent="0.35">
      <c r="A2" s="76"/>
      <c r="B2" s="77"/>
      <c r="C2" s="80"/>
      <c r="D2" s="81" t="s">
        <v>33</v>
      </c>
      <c r="E2" s="86" t="s">
        <v>28</v>
      </c>
      <c r="F2" s="78" t="s">
        <v>186</v>
      </c>
      <c r="G2" s="78" t="s">
        <v>81</v>
      </c>
      <c r="H2" s="78" t="s">
        <v>511</v>
      </c>
      <c r="I2" s="78" t="s">
        <v>217</v>
      </c>
      <c r="J2" s="87" t="s">
        <v>307</v>
      </c>
      <c r="K2" s="87" t="s">
        <v>253</v>
      </c>
      <c r="L2" s="87" t="s">
        <v>505</v>
      </c>
      <c r="M2" s="87" t="s">
        <v>244</v>
      </c>
      <c r="N2" s="87" t="s">
        <v>506</v>
      </c>
      <c r="O2" s="87" t="s">
        <v>233</v>
      </c>
      <c r="P2" s="87" t="s">
        <v>222</v>
      </c>
      <c r="Q2" s="87" t="s">
        <v>504</v>
      </c>
      <c r="R2" s="87" t="s">
        <v>610</v>
      </c>
      <c r="S2" s="86" t="s">
        <v>29</v>
      </c>
      <c r="T2" s="78" t="s">
        <v>186</v>
      </c>
      <c r="U2" s="78" t="s">
        <v>81</v>
      </c>
      <c r="V2" s="78" t="s">
        <v>511</v>
      </c>
      <c r="W2" s="78" t="s">
        <v>217</v>
      </c>
      <c r="X2" s="87" t="s">
        <v>307</v>
      </c>
      <c r="Y2" s="87" t="s">
        <v>253</v>
      </c>
      <c r="Z2" s="87" t="s">
        <v>505</v>
      </c>
      <c r="AA2" s="87" t="s">
        <v>244</v>
      </c>
      <c r="AB2" s="87" t="s">
        <v>506</v>
      </c>
      <c r="AC2" s="87" t="s">
        <v>233</v>
      </c>
      <c r="AD2" s="87" t="s">
        <v>222</v>
      </c>
      <c r="AE2" s="87" t="s">
        <v>504</v>
      </c>
      <c r="AF2" s="87" t="s">
        <v>546</v>
      </c>
      <c r="AG2" s="82" t="s">
        <v>482</v>
      </c>
      <c r="AH2" s="82" t="s">
        <v>508</v>
      </c>
      <c r="AI2" s="82" t="s">
        <v>507</v>
      </c>
    </row>
    <row r="3" spans="1:35" x14ac:dyDescent="0.35">
      <c r="A3" s="93">
        <v>1</v>
      </c>
      <c r="B3" s="95" t="s">
        <v>54</v>
      </c>
      <c r="C3" s="96">
        <v>45894</v>
      </c>
      <c r="D3" s="97" t="s">
        <v>55</v>
      </c>
      <c r="E3" s="97" t="s">
        <v>55</v>
      </c>
      <c r="F3" s="10">
        <v>0</v>
      </c>
      <c r="G3" s="10">
        <v>0</v>
      </c>
      <c r="H3" s="10">
        <v>0</v>
      </c>
      <c r="I3" s="10">
        <v>0</v>
      </c>
      <c r="J3" s="74">
        <v>0</v>
      </c>
      <c r="K3" s="74">
        <v>0</v>
      </c>
      <c r="L3" s="74">
        <v>0</v>
      </c>
      <c r="M3" s="74">
        <v>0</v>
      </c>
      <c r="N3" s="74">
        <v>0</v>
      </c>
      <c r="O3" s="74">
        <v>0</v>
      </c>
      <c r="P3" s="74">
        <v>0</v>
      </c>
      <c r="Q3" s="74">
        <v>0</v>
      </c>
      <c r="R3" s="74">
        <v>0</v>
      </c>
      <c r="S3" s="97" t="s">
        <v>55</v>
      </c>
      <c r="T3" s="10">
        <v>0</v>
      </c>
      <c r="U3" s="10">
        <v>0</v>
      </c>
      <c r="V3" s="10">
        <v>0</v>
      </c>
      <c r="W3" s="10">
        <v>0</v>
      </c>
      <c r="X3" s="74">
        <v>0</v>
      </c>
      <c r="Y3" s="74">
        <v>0</v>
      </c>
      <c r="Z3" s="74">
        <v>0</v>
      </c>
      <c r="AA3" s="74">
        <v>0</v>
      </c>
      <c r="AB3" s="74">
        <v>0</v>
      </c>
      <c r="AC3" s="74">
        <v>0</v>
      </c>
      <c r="AD3" s="74">
        <v>0</v>
      </c>
      <c r="AE3" s="74">
        <v>0</v>
      </c>
      <c r="AF3" s="74">
        <v>0</v>
      </c>
      <c r="AG3" s="90">
        <f>F3+G3+H3+I3+J3+K3+L3+M3+N3+O3+P3+Q3+R3+T3+U3+V3+W3+X3+Y3+Z3+AA3+AB3+AC3+AD3+AE3+AF3</f>
        <v>0</v>
      </c>
      <c r="AH3" s="90">
        <f>F3+G3+H3+I3+T3+U3+V3+W3</f>
        <v>0</v>
      </c>
      <c r="AI3" s="90">
        <f>J3+K3+L3+M3+N3+O3+P3+Q3+R3+X3+Y3+Z3+AA3+AB3+AC3+AD3+AE3+AF3</f>
        <v>0</v>
      </c>
    </row>
    <row r="4" spans="1:35" x14ac:dyDescent="0.35">
      <c r="A4" s="93"/>
      <c r="B4" s="95"/>
      <c r="C4" s="96">
        <v>45896</v>
      </c>
      <c r="D4" s="97" t="s">
        <v>55</v>
      </c>
      <c r="E4" s="97" t="s">
        <v>55</v>
      </c>
      <c r="F4" s="10">
        <v>0</v>
      </c>
      <c r="G4" s="10">
        <v>0</v>
      </c>
      <c r="H4" s="10">
        <v>0</v>
      </c>
      <c r="I4" s="10">
        <v>0</v>
      </c>
      <c r="J4" s="74">
        <v>0</v>
      </c>
      <c r="K4" s="74">
        <v>0</v>
      </c>
      <c r="L4" s="74">
        <v>0</v>
      </c>
      <c r="M4" s="74">
        <v>0</v>
      </c>
      <c r="N4" s="74">
        <v>0</v>
      </c>
      <c r="O4" s="74">
        <v>0</v>
      </c>
      <c r="P4" s="74">
        <v>0</v>
      </c>
      <c r="Q4" s="74">
        <v>0</v>
      </c>
      <c r="R4" s="74">
        <v>0</v>
      </c>
      <c r="S4" s="97" t="s">
        <v>55</v>
      </c>
      <c r="T4" s="10">
        <v>0</v>
      </c>
      <c r="U4" s="10">
        <v>0</v>
      </c>
      <c r="V4" s="10">
        <v>0</v>
      </c>
      <c r="W4" s="10">
        <v>0</v>
      </c>
      <c r="X4" s="74">
        <v>0</v>
      </c>
      <c r="Y4" s="74">
        <v>0</v>
      </c>
      <c r="Z4" s="74">
        <v>0</v>
      </c>
      <c r="AA4" s="74">
        <v>0</v>
      </c>
      <c r="AB4" s="74">
        <v>0</v>
      </c>
      <c r="AC4" s="74">
        <v>0</v>
      </c>
      <c r="AD4" s="74">
        <v>0</v>
      </c>
      <c r="AE4" s="74">
        <v>0</v>
      </c>
      <c r="AF4" s="74">
        <v>0</v>
      </c>
      <c r="AG4" s="90">
        <f t="shared" ref="AG4:AG67" si="0">F4+G4+H4+I4+J4+K4+L4+M4+N4+O4+P4+Q4+R4+T4+U4+V4+W4+X4+Y4+Z4+AA4+AB4+AC4+AD4+AE4+AF4</f>
        <v>0</v>
      </c>
      <c r="AH4" s="90">
        <f t="shared" ref="AH4:AH66" si="1">F4+G4+H4+I4+T4+U4+V4+W4</f>
        <v>0</v>
      </c>
      <c r="AI4" s="90">
        <f t="shared" ref="AI4:AI67" si="2">J4+K4+L4+M4+N4+O4+P4+Q4+R4+X4+Y4+Z4+AA4+AB4+AC4+AD4+AE4+AF4</f>
        <v>0</v>
      </c>
    </row>
    <row r="5" spans="1:35" x14ac:dyDescent="0.35">
      <c r="A5" s="93"/>
      <c r="B5" s="95"/>
      <c r="C5" s="96">
        <v>45898</v>
      </c>
      <c r="D5" s="97" t="s">
        <v>55</v>
      </c>
      <c r="E5" s="97" t="s">
        <v>55</v>
      </c>
      <c r="F5" s="10">
        <v>0</v>
      </c>
      <c r="G5" s="10">
        <v>0</v>
      </c>
      <c r="H5" s="10">
        <v>0</v>
      </c>
      <c r="I5" s="10">
        <v>0</v>
      </c>
      <c r="J5" s="74">
        <v>0</v>
      </c>
      <c r="K5" s="74">
        <v>0</v>
      </c>
      <c r="L5" s="74">
        <v>0</v>
      </c>
      <c r="M5" s="74">
        <v>0</v>
      </c>
      <c r="N5" s="74">
        <v>0</v>
      </c>
      <c r="O5" s="74">
        <v>0</v>
      </c>
      <c r="P5" s="74">
        <v>0</v>
      </c>
      <c r="Q5" s="74">
        <v>0</v>
      </c>
      <c r="R5" s="74">
        <v>0</v>
      </c>
      <c r="S5" s="97" t="s">
        <v>55</v>
      </c>
      <c r="T5" s="10">
        <v>0</v>
      </c>
      <c r="U5" s="10">
        <v>0</v>
      </c>
      <c r="V5" s="10">
        <v>0</v>
      </c>
      <c r="W5" s="10">
        <v>0</v>
      </c>
      <c r="X5" s="74">
        <v>0</v>
      </c>
      <c r="Y5" s="74">
        <v>0</v>
      </c>
      <c r="Z5" s="74">
        <v>0</v>
      </c>
      <c r="AA5" s="74">
        <v>0</v>
      </c>
      <c r="AB5" s="74">
        <v>0</v>
      </c>
      <c r="AC5" s="74">
        <v>0</v>
      </c>
      <c r="AD5" s="74">
        <v>0</v>
      </c>
      <c r="AE5" s="74">
        <v>0</v>
      </c>
      <c r="AF5" s="74">
        <v>0</v>
      </c>
      <c r="AG5" s="90">
        <f t="shared" si="0"/>
        <v>0</v>
      </c>
      <c r="AH5" s="90">
        <f t="shared" si="1"/>
        <v>0</v>
      </c>
      <c r="AI5" s="90">
        <f t="shared" si="2"/>
        <v>0</v>
      </c>
    </row>
    <row r="6" spans="1:35" x14ac:dyDescent="0.35">
      <c r="A6" s="93"/>
      <c r="B6" s="95"/>
      <c r="C6" s="96">
        <v>45901</v>
      </c>
      <c r="D6" s="97">
        <v>12</v>
      </c>
      <c r="E6" s="97" t="s">
        <v>87</v>
      </c>
      <c r="F6" s="10">
        <v>3</v>
      </c>
      <c r="G6" s="10">
        <v>0</v>
      </c>
      <c r="H6" s="10">
        <v>0</v>
      </c>
      <c r="I6" s="10">
        <v>1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97" t="s">
        <v>88</v>
      </c>
      <c r="T6" s="10">
        <v>4</v>
      </c>
      <c r="U6" s="10">
        <v>2</v>
      </c>
      <c r="V6" s="10">
        <v>0</v>
      </c>
      <c r="W6" s="10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  <c r="AC6" s="74">
        <v>0</v>
      </c>
      <c r="AD6" s="74">
        <v>0</v>
      </c>
      <c r="AE6" s="74">
        <v>0</v>
      </c>
      <c r="AF6" s="74">
        <v>0</v>
      </c>
      <c r="AG6" s="90">
        <f t="shared" si="0"/>
        <v>10</v>
      </c>
      <c r="AH6" s="90">
        <f t="shared" si="1"/>
        <v>10</v>
      </c>
      <c r="AI6" s="90">
        <f t="shared" si="2"/>
        <v>0</v>
      </c>
    </row>
    <row r="7" spans="1:35" x14ac:dyDescent="0.35">
      <c r="A7" s="93"/>
      <c r="B7" s="95"/>
      <c r="C7" s="96">
        <v>45903</v>
      </c>
      <c r="D7" s="97">
        <v>12</v>
      </c>
      <c r="E7" s="97" t="s">
        <v>100</v>
      </c>
      <c r="F7" s="10">
        <v>6</v>
      </c>
      <c r="G7" s="10">
        <v>0</v>
      </c>
      <c r="H7" s="10">
        <v>0</v>
      </c>
      <c r="I7" s="10">
        <v>0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97" t="s">
        <v>101</v>
      </c>
      <c r="T7" s="10">
        <v>8</v>
      </c>
      <c r="U7" s="10">
        <v>0</v>
      </c>
      <c r="V7" s="10">
        <v>0</v>
      </c>
      <c r="W7" s="10">
        <v>0</v>
      </c>
      <c r="X7" s="74">
        <v>0</v>
      </c>
      <c r="Y7" s="74">
        <v>0</v>
      </c>
      <c r="Z7" s="74">
        <v>0</v>
      </c>
      <c r="AA7" s="74">
        <v>0</v>
      </c>
      <c r="AB7" s="74">
        <v>0</v>
      </c>
      <c r="AC7" s="74">
        <v>0</v>
      </c>
      <c r="AD7" s="74">
        <v>0</v>
      </c>
      <c r="AE7" s="74">
        <v>0</v>
      </c>
      <c r="AF7" s="74">
        <v>0</v>
      </c>
      <c r="AG7" s="90">
        <f t="shared" si="0"/>
        <v>14</v>
      </c>
      <c r="AH7" s="90">
        <f t="shared" si="1"/>
        <v>14</v>
      </c>
      <c r="AI7" s="90">
        <f t="shared" si="2"/>
        <v>0</v>
      </c>
    </row>
    <row r="8" spans="1:35" x14ac:dyDescent="0.35">
      <c r="A8" s="93"/>
      <c r="B8" s="95"/>
      <c r="C8" s="96">
        <v>45905</v>
      </c>
      <c r="D8" s="97">
        <v>12</v>
      </c>
      <c r="E8" s="97" t="s">
        <v>113</v>
      </c>
      <c r="F8" s="10">
        <v>0</v>
      </c>
      <c r="G8" s="10">
        <v>2</v>
      </c>
      <c r="H8" s="10">
        <v>0</v>
      </c>
      <c r="I8" s="10">
        <v>1</v>
      </c>
      <c r="J8" s="74">
        <v>0</v>
      </c>
      <c r="K8" s="74">
        <v>0</v>
      </c>
      <c r="L8" s="74">
        <v>0</v>
      </c>
      <c r="M8" s="74">
        <v>0</v>
      </c>
      <c r="N8" s="74">
        <v>0</v>
      </c>
      <c r="O8" s="74">
        <v>0</v>
      </c>
      <c r="P8" s="74">
        <v>0</v>
      </c>
      <c r="Q8" s="74">
        <v>0</v>
      </c>
      <c r="R8" s="74">
        <v>0</v>
      </c>
      <c r="S8" s="97" t="s">
        <v>86</v>
      </c>
      <c r="T8" s="10">
        <v>0</v>
      </c>
      <c r="U8" s="10">
        <v>2</v>
      </c>
      <c r="V8" s="10">
        <v>0</v>
      </c>
      <c r="W8" s="10">
        <v>0</v>
      </c>
      <c r="X8" s="74">
        <v>0</v>
      </c>
      <c r="Y8" s="74">
        <v>1</v>
      </c>
      <c r="Z8" s="74">
        <v>0</v>
      </c>
      <c r="AA8" s="74">
        <v>0</v>
      </c>
      <c r="AB8" s="74">
        <v>0</v>
      </c>
      <c r="AC8" s="74">
        <v>0</v>
      </c>
      <c r="AD8" s="74">
        <v>0</v>
      </c>
      <c r="AE8" s="74">
        <v>0</v>
      </c>
      <c r="AF8" s="74">
        <v>0</v>
      </c>
      <c r="AG8" s="90">
        <f t="shared" si="0"/>
        <v>6</v>
      </c>
      <c r="AH8" s="90">
        <f t="shared" si="1"/>
        <v>5</v>
      </c>
      <c r="AI8" s="90">
        <f t="shared" si="2"/>
        <v>1</v>
      </c>
    </row>
    <row r="9" spans="1:35" x14ac:dyDescent="0.35">
      <c r="A9" s="93"/>
      <c r="B9" s="95"/>
      <c r="C9" s="96">
        <v>45908</v>
      </c>
      <c r="D9" s="97">
        <v>12</v>
      </c>
      <c r="E9" s="97" t="s">
        <v>121</v>
      </c>
      <c r="F9" s="10">
        <v>6</v>
      </c>
      <c r="G9" s="10">
        <v>3</v>
      </c>
      <c r="H9" s="10">
        <v>0</v>
      </c>
      <c r="I9" s="10">
        <v>1</v>
      </c>
      <c r="J9" s="74">
        <v>0</v>
      </c>
      <c r="K9" s="74">
        <v>0</v>
      </c>
      <c r="L9" s="74">
        <v>0</v>
      </c>
      <c r="M9" s="74">
        <v>0</v>
      </c>
      <c r="N9" s="74">
        <v>0</v>
      </c>
      <c r="O9" s="74">
        <v>0</v>
      </c>
      <c r="P9" s="74">
        <v>0</v>
      </c>
      <c r="Q9" s="74">
        <v>0</v>
      </c>
      <c r="R9" s="74">
        <v>0</v>
      </c>
      <c r="S9" s="97" t="s">
        <v>122</v>
      </c>
      <c r="T9" s="10">
        <v>4</v>
      </c>
      <c r="U9" s="10">
        <v>3</v>
      </c>
      <c r="V9" s="10">
        <v>0</v>
      </c>
      <c r="W9" s="10">
        <v>0</v>
      </c>
      <c r="X9" s="74">
        <v>0</v>
      </c>
      <c r="Y9" s="74">
        <v>1</v>
      </c>
      <c r="Z9" s="74">
        <v>0</v>
      </c>
      <c r="AA9" s="74">
        <v>0</v>
      </c>
      <c r="AB9" s="74">
        <v>0</v>
      </c>
      <c r="AC9" s="74">
        <v>0</v>
      </c>
      <c r="AD9" s="74">
        <v>0</v>
      </c>
      <c r="AE9" s="74">
        <v>0</v>
      </c>
      <c r="AF9" s="74">
        <v>0</v>
      </c>
      <c r="AG9" s="90">
        <f t="shared" si="0"/>
        <v>18</v>
      </c>
      <c r="AH9" s="90">
        <f t="shared" si="1"/>
        <v>17</v>
      </c>
      <c r="AI9" s="90">
        <f t="shared" si="2"/>
        <v>1</v>
      </c>
    </row>
    <row r="10" spans="1:35" x14ac:dyDescent="0.35">
      <c r="A10" s="93"/>
      <c r="B10" s="95"/>
      <c r="C10" s="96">
        <v>45910</v>
      </c>
      <c r="D10" s="97">
        <v>12</v>
      </c>
      <c r="E10" s="97" t="s">
        <v>142</v>
      </c>
      <c r="F10" s="10">
        <v>6</v>
      </c>
      <c r="G10" s="10">
        <v>0</v>
      </c>
      <c r="H10" s="10">
        <v>0</v>
      </c>
      <c r="I10" s="10">
        <v>0</v>
      </c>
      <c r="J10" s="74">
        <v>0</v>
      </c>
      <c r="K10" s="74">
        <v>0</v>
      </c>
      <c r="L10" s="74">
        <v>0</v>
      </c>
      <c r="M10" s="74">
        <v>1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97" t="s">
        <v>143</v>
      </c>
      <c r="T10" s="10">
        <v>4</v>
      </c>
      <c r="U10" s="10">
        <v>3</v>
      </c>
      <c r="V10" s="10">
        <v>0</v>
      </c>
      <c r="W10" s="10">
        <v>2</v>
      </c>
      <c r="X10" s="74">
        <v>0</v>
      </c>
      <c r="Y10" s="74">
        <v>0</v>
      </c>
      <c r="Z10" s="74">
        <v>0</v>
      </c>
      <c r="AA10" s="74">
        <v>0</v>
      </c>
      <c r="AB10" s="74">
        <v>0</v>
      </c>
      <c r="AC10" s="74">
        <v>0</v>
      </c>
      <c r="AD10" s="74">
        <v>0</v>
      </c>
      <c r="AE10" s="74">
        <v>0</v>
      </c>
      <c r="AF10" s="74">
        <v>0</v>
      </c>
      <c r="AG10" s="90">
        <f t="shared" si="0"/>
        <v>16</v>
      </c>
      <c r="AH10" s="90">
        <f t="shared" si="1"/>
        <v>15</v>
      </c>
      <c r="AI10" s="90">
        <f t="shared" si="2"/>
        <v>1</v>
      </c>
    </row>
    <row r="11" spans="1:35" x14ac:dyDescent="0.35">
      <c r="A11" s="93"/>
      <c r="B11" s="95"/>
      <c r="C11" s="96">
        <v>45912</v>
      </c>
      <c r="D11" s="97">
        <v>12</v>
      </c>
      <c r="E11" s="97" t="s">
        <v>157</v>
      </c>
      <c r="F11" s="10">
        <v>4</v>
      </c>
      <c r="G11" s="10">
        <v>0</v>
      </c>
      <c r="H11" s="10">
        <v>0</v>
      </c>
      <c r="I11" s="10">
        <v>1</v>
      </c>
      <c r="J11" s="74">
        <v>0</v>
      </c>
      <c r="K11" s="74">
        <v>0</v>
      </c>
      <c r="L11" s="74">
        <v>0</v>
      </c>
      <c r="M11" s="74">
        <v>0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97" t="s">
        <v>156</v>
      </c>
      <c r="T11" s="10">
        <v>4</v>
      </c>
      <c r="U11" s="10">
        <v>1</v>
      </c>
      <c r="V11" s="10">
        <v>0</v>
      </c>
      <c r="W11" s="10">
        <v>2</v>
      </c>
      <c r="X11" s="74">
        <v>0</v>
      </c>
      <c r="Y11" s="74">
        <v>0</v>
      </c>
      <c r="Z11" s="74">
        <v>0</v>
      </c>
      <c r="AA11" s="74">
        <v>0</v>
      </c>
      <c r="AB11" s="74">
        <v>0</v>
      </c>
      <c r="AC11" s="74">
        <v>0</v>
      </c>
      <c r="AD11" s="74">
        <v>0</v>
      </c>
      <c r="AE11" s="74">
        <v>0</v>
      </c>
      <c r="AF11" s="74">
        <v>0</v>
      </c>
      <c r="AG11" s="90">
        <f t="shared" si="0"/>
        <v>12</v>
      </c>
      <c r="AH11" s="90">
        <f t="shared" si="1"/>
        <v>12</v>
      </c>
      <c r="AI11" s="90">
        <f t="shared" si="2"/>
        <v>0</v>
      </c>
    </row>
    <row r="12" spans="1:35" x14ac:dyDescent="0.35">
      <c r="A12" s="93"/>
      <c r="B12" s="95"/>
      <c r="C12" s="96">
        <v>45915</v>
      </c>
      <c r="D12" s="97">
        <v>12</v>
      </c>
      <c r="E12" s="97" t="s">
        <v>131</v>
      </c>
      <c r="F12" s="10">
        <v>3</v>
      </c>
      <c r="G12" s="10">
        <v>1</v>
      </c>
      <c r="H12" s="10">
        <v>0</v>
      </c>
      <c r="I12" s="10">
        <v>0</v>
      </c>
      <c r="J12" s="74">
        <v>0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97" t="s">
        <v>167</v>
      </c>
      <c r="T12" s="10">
        <v>4</v>
      </c>
      <c r="U12" s="10">
        <v>2</v>
      </c>
      <c r="V12" s="10">
        <v>0</v>
      </c>
      <c r="W12" s="10">
        <v>0</v>
      </c>
      <c r="X12" s="74">
        <v>0</v>
      </c>
      <c r="Y12" s="74">
        <v>0</v>
      </c>
      <c r="Z12" s="74">
        <v>0</v>
      </c>
      <c r="AA12" s="74">
        <v>1</v>
      </c>
      <c r="AB12" s="74">
        <v>0</v>
      </c>
      <c r="AC12" s="74">
        <v>0</v>
      </c>
      <c r="AD12" s="74">
        <v>0</v>
      </c>
      <c r="AE12" s="74">
        <v>0</v>
      </c>
      <c r="AF12" s="74">
        <v>0</v>
      </c>
      <c r="AG12" s="90">
        <f t="shared" si="0"/>
        <v>11</v>
      </c>
      <c r="AH12" s="90">
        <f t="shared" si="1"/>
        <v>10</v>
      </c>
      <c r="AI12" s="90">
        <f t="shared" si="2"/>
        <v>1</v>
      </c>
    </row>
    <row r="13" spans="1:35" x14ac:dyDescent="0.35">
      <c r="A13" s="93"/>
      <c r="B13" s="95"/>
      <c r="C13" s="96">
        <v>45918</v>
      </c>
      <c r="D13" s="97">
        <v>12</v>
      </c>
      <c r="E13" s="97" t="s">
        <v>88</v>
      </c>
      <c r="F13" s="10">
        <v>4</v>
      </c>
      <c r="G13" s="10">
        <v>2</v>
      </c>
      <c r="H13" s="10">
        <v>0</v>
      </c>
      <c r="I13" s="10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97" t="s">
        <v>255</v>
      </c>
      <c r="T13" s="10">
        <v>1</v>
      </c>
      <c r="U13" s="10">
        <v>1</v>
      </c>
      <c r="V13" s="10">
        <v>0</v>
      </c>
      <c r="W13" s="10">
        <v>0</v>
      </c>
      <c r="X13" s="74">
        <v>0</v>
      </c>
      <c r="Y13" s="74">
        <v>0</v>
      </c>
      <c r="Z13" s="74">
        <v>0</v>
      </c>
      <c r="AA13" s="74">
        <v>0</v>
      </c>
      <c r="AB13" s="74">
        <v>0</v>
      </c>
      <c r="AC13" s="74">
        <v>0</v>
      </c>
      <c r="AD13" s="74">
        <v>0</v>
      </c>
      <c r="AE13" s="74">
        <v>0</v>
      </c>
      <c r="AF13" s="74">
        <v>0</v>
      </c>
      <c r="AG13" s="90">
        <f t="shared" si="0"/>
        <v>8</v>
      </c>
      <c r="AH13" s="90">
        <f t="shared" si="1"/>
        <v>8</v>
      </c>
      <c r="AI13" s="90">
        <f t="shared" si="2"/>
        <v>0</v>
      </c>
    </row>
    <row r="14" spans="1:35" x14ac:dyDescent="0.35">
      <c r="A14" s="93"/>
      <c r="B14" s="95"/>
      <c r="C14" s="96">
        <v>45922</v>
      </c>
      <c r="D14" s="97">
        <v>12</v>
      </c>
      <c r="E14" s="97" t="s">
        <v>197</v>
      </c>
      <c r="F14" s="10">
        <v>1</v>
      </c>
      <c r="G14" s="10">
        <v>1</v>
      </c>
      <c r="H14" s="10">
        <v>0</v>
      </c>
      <c r="I14" s="10">
        <v>0</v>
      </c>
      <c r="J14" s="74">
        <v>0</v>
      </c>
      <c r="K14" s="74">
        <v>0</v>
      </c>
      <c r="L14" s="74">
        <v>0</v>
      </c>
      <c r="M14" s="74">
        <v>1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97" t="s">
        <v>198</v>
      </c>
      <c r="T14" s="10">
        <v>0</v>
      </c>
      <c r="U14" s="10">
        <v>1</v>
      </c>
      <c r="V14" s="10">
        <v>0</v>
      </c>
      <c r="W14" s="10">
        <v>0</v>
      </c>
      <c r="X14" s="74">
        <v>0</v>
      </c>
      <c r="Y14" s="74">
        <v>1</v>
      </c>
      <c r="Z14" s="74">
        <v>0</v>
      </c>
      <c r="AA14" s="74">
        <v>1</v>
      </c>
      <c r="AB14" s="74">
        <v>0</v>
      </c>
      <c r="AC14" s="74">
        <v>0</v>
      </c>
      <c r="AD14" s="74">
        <v>0</v>
      </c>
      <c r="AE14" s="74">
        <v>0</v>
      </c>
      <c r="AF14" s="74">
        <v>0</v>
      </c>
      <c r="AG14" s="90">
        <f t="shared" si="0"/>
        <v>6</v>
      </c>
      <c r="AH14" s="90">
        <f t="shared" si="1"/>
        <v>3</v>
      </c>
      <c r="AI14" s="90">
        <f t="shared" si="2"/>
        <v>3</v>
      </c>
    </row>
    <row r="15" spans="1:35" x14ac:dyDescent="0.35">
      <c r="A15" s="93"/>
      <c r="B15" s="95"/>
      <c r="C15" s="96">
        <v>45925</v>
      </c>
      <c r="D15" s="97">
        <v>12</v>
      </c>
      <c r="E15" s="97" t="s">
        <v>233</v>
      </c>
      <c r="F15" s="10">
        <v>0</v>
      </c>
      <c r="G15" s="10">
        <v>0</v>
      </c>
      <c r="H15" s="10">
        <v>0</v>
      </c>
      <c r="I15" s="10">
        <v>0</v>
      </c>
      <c r="J15" s="74">
        <v>0</v>
      </c>
      <c r="K15" s="74">
        <v>0</v>
      </c>
      <c r="L15" s="74">
        <v>0</v>
      </c>
      <c r="M15" s="74">
        <v>0</v>
      </c>
      <c r="N15" s="74">
        <v>0</v>
      </c>
      <c r="O15" s="74">
        <v>1</v>
      </c>
      <c r="P15" s="74">
        <v>0</v>
      </c>
      <c r="Q15" s="74">
        <v>0</v>
      </c>
      <c r="R15" s="74">
        <v>0</v>
      </c>
      <c r="S15" s="97" t="s">
        <v>234</v>
      </c>
      <c r="T15" s="10">
        <v>0</v>
      </c>
      <c r="U15" s="10">
        <v>4</v>
      </c>
      <c r="V15" s="10">
        <v>0</v>
      </c>
      <c r="W15" s="10">
        <v>0</v>
      </c>
      <c r="X15" s="74">
        <v>0</v>
      </c>
      <c r="Y15" s="74">
        <v>0</v>
      </c>
      <c r="Z15" s="74">
        <v>1</v>
      </c>
      <c r="AA15" s="74">
        <v>0</v>
      </c>
      <c r="AB15" s="74">
        <v>0</v>
      </c>
      <c r="AC15" s="74">
        <v>0</v>
      </c>
      <c r="AD15" s="74">
        <v>0</v>
      </c>
      <c r="AE15" s="74">
        <v>0</v>
      </c>
      <c r="AF15" s="74">
        <v>0</v>
      </c>
      <c r="AG15" s="90">
        <f t="shared" si="0"/>
        <v>6</v>
      </c>
      <c r="AH15" s="90">
        <f t="shared" si="1"/>
        <v>4</v>
      </c>
      <c r="AI15" s="90">
        <f t="shared" si="2"/>
        <v>2</v>
      </c>
    </row>
    <row r="16" spans="1:35" x14ac:dyDescent="0.35">
      <c r="A16" s="93"/>
      <c r="B16" s="95"/>
      <c r="C16" s="96">
        <v>45930.697916666664</v>
      </c>
      <c r="D16" s="97">
        <v>12</v>
      </c>
      <c r="E16" s="97" t="s">
        <v>243</v>
      </c>
      <c r="F16" s="10">
        <v>0</v>
      </c>
      <c r="G16" s="10">
        <v>0</v>
      </c>
      <c r="H16" s="10">
        <v>0</v>
      </c>
      <c r="I16" s="10">
        <v>0</v>
      </c>
      <c r="J16" s="74">
        <v>0</v>
      </c>
      <c r="K16" s="74">
        <v>0</v>
      </c>
      <c r="L16" s="74">
        <v>0</v>
      </c>
      <c r="M16" s="74">
        <v>1</v>
      </c>
      <c r="N16" s="74">
        <v>0</v>
      </c>
      <c r="O16" s="74">
        <v>0</v>
      </c>
      <c r="P16" s="74">
        <v>0</v>
      </c>
      <c r="Q16" s="74">
        <v>0</v>
      </c>
      <c r="R16" s="74">
        <v>0</v>
      </c>
      <c r="S16" s="97" t="s">
        <v>244</v>
      </c>
      <c r="T16" s="10">
        <v>0</v>
      </c>
      <c r="U16" s="10">
        <v>0</v>
      </c>
      <c r="V16" s="10">
        <v>0</v>
      </c>
      <c r="W16" s="10">
        <v>0</v>
      </c>
      <c r="X16" s="74">
        <v>0</v>
      </c>
      <c r="Y16" s="74">
        <v>0</v>
      </c>
      <c r="Z16" s="74">
        <v>0</v>
      </c>
      <c r="AA16" s="74">
        <v>1</v>
      </c>
      <c r="AB16" s="74">
        <v>0</v>
      </c>
      <c r="AC16" s="74">
        <v>0</v>
      </c>
      <c r="AD16" s="74">
        <v>0</v>
      </c>
      <c r="AE16" s="74">
        <v>0</v>
      </c>
      <c r="AF16" s="74">
        <v>0</v>
      </c>
      <c r="AG16" s="90">
        <f t="shared" si="0"/>
        <v>2</v>
      </c>
      <c r="AH16" s="90">
        <f t="shared" si="1"/>
        <v>0</v>
      </c>
      <c r="AI16" s="90">
        <f t="shared" si="2"/>
        <v>2</v>
      </c>
    </row>
    <row r="17" spans="1:35" x14ac:dyDescent="0.35">
      <c r="A17" s="93"/>
      <c r="B17" s="95"/>
      <c r="C17" s="96">
        <v>45936.732638888891</v>
      </c>
      <c r="D17" s="97">
        <v>12</v>
      </c>
      <c r="E17" s="97" t="s">
        <v>269</v>
      </c>
      <c r="F17" s="10">
        <v>0</v>
      </c>
      <c r="G17" s="10">
        <v>0</v>
      </c>
      <c r="H17" s="10">
        <v>0</v>
      </c>
      <c r="I17" s="10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1</v>
      </c>
      <c r="P17" s="74">
        <v>0</v>
      </c>
      <c r="Q17" s="74">
        <v>0</v>
      </c>
      <c r="R17" s="74">
        <v>0</v>
      </c>
      <c r="S17" s="97" t="s">
        <v>272</v>
      </c>
      <c r="T17" s="10">
        <v>0</v>
      </c>
      <c r="U17" s="10">
        <v>0</v>
      </c>
      <c r="V17" s="10">
        <v>0</v>
      </c>
      <c r="W17" s="10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0</v>
      </c>
      <c r="AD17" s="74">
        <v>0</v>
      </c>
      <c r="AE17" s="74">
        <v>0</v>
      </c>
      <c r="AF17" s="74">
        <v>0</v>
      </c>
      <c r="AG17" s="90">
        <f t="shared" si="0"/>
        <v>1</v>
      </c>
      <c r="AH17" s="90">
        <f t="shared" si="1"/>
        <v>0</v>
      </c>
      <c r="AI17" s="90">
        <f t="shared" si="2"/>
        <v>1</v>
      </c>
    </row>
    <row r="18" spans="1:35" x14ac:dyDescent="0.35">
      <c r="A18" s="93"/>
      <c r="B18" s="95"/>
      <c r="C18" s="96"/>
      <c r="D18" s="97"/>
      <c r="E18" s="97"/>
      <c r="S18" s="97"/>
      <c r="AG18" s="90"/>
      <c r="AH18" s="90"/>
      <c r="AI18" s="90"/>
    </row>
    <row r="19" spans="1:35" x14ac:dyDescent="0.35">
      <c r="A19" s="93">
        <v>2</v>
      </c>
      <c r="B19" s="95" t="s">
        <v>36</v>
      </c>
      <c r="C19" s="96">
        <v>45894</v>
      </c>
      <c r="D19" s="97" t="s">
        <v>55</v>
      </c>
      <c r="E19" s="97" t="s">
        <v>55</v>
      </c>
      <c r="F19" s="10">
        <v>0</v>
      </c>
      <c r="G19" s="10">
        <v>0</v>
      </c>
      <c r="H19" s="10">
        <v>0</v>
      </c>
      <c r="I19" s="10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97" t="s">
        <v>55</v>
      </c>
      <c r="T19" s="10">
        <v>0</v>
      </c>
      <c r="U19" s="10">
        <v>0</v>
      </c>
      <c r="V19" s="10">
        <v>0</v>
      </c>
      <c r="W19" s="10">
        <v>0</v>
      </c>
      <c r="X19" s="74">
        <v>0</v>
      </c>
      <c r="Y19" s="74">
        <v>0</v>
      </c>
      <c r="Z19" s="74">
        <v>0</v>
      </c>
      <c r="AA19" s="74">
        <v>0</v>
      </c>
      <c r="AB19" s="74">
        <v>0</v>
      </c>
      <c r="AC19" s="74">
        <v>0</v>
      </c>
      <c r="AD19" s="74">
        <v>0</v>
      </c>
      <c r="AE19" s="74">
        <v>0</v>
      </c>
      <c r="AF19" s="74">
        <v>0</v>
      </c>
      <c r="AG19" s="90">
        <f t="shared" si="0"/>
        <v>0</v>
      </c>
      <c r="AH19" s="90">
        <f t="shared" si="1"/>
        <v>0</v>
      </c>
      <c r="AI19" s="90">
        <f t="shared" si="2"/>
        <v>0</v>
      </c>
    </row>
    <row r="20" spans="1:35" x14ac:dyDescent="0.35">
      <c r="A20" s="93"/>
      <c r="B20" s="95"/>
      <c r="C20" s="96">
        <v>45896</v>
      </c>
      <c r="D20" s="97" t="s">
        <v>55</v>
      </c>
      <c r="E20" s="97" t="s">
        <v>55</v>
      </c>
      <c r="F20" s="10">
        <v>0</v>
      </c>
      <c r="G20" s="10">
        <v>0</v>
      </c>
      <c r="H20" s="10">
        <v>0</v>
      </c>
      <c r="I20" s="10">
        <v>0</v>
      </c>
      <c r="J20" s="74">
        <v>0</v>
      </c>
      <c r="K20" s="74">
        <v>0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97" t="s">
        <v>55</v>
      </c>
      <c r="T20" s="10">
        <v>0</v>
      </c>
      <c r="U20" s="10">
        <v>0</v>
      </c>
      <c r="V20" s="10">
        <v>0</v>
      </c>
      <c r="W20" s="10">
        <v>0</v>
      </c>
      <c r="X20" s="74">
        <v>0</v>
      </c>
      <c r="Y20" s="74">
        <v>0</v>
      </c>
      <c r="Z20" s="74">
        <v>0</v>
      </c>
      <c r="AA20" s="74">
        <v>0</v>
      </c>
      <c r="AB20" s="74">
        <v>0</v>
      </c>
      <c r="AC20" s="74">
        <v>0</v>
      </c>
      <c r="AD20" s="74">
        <v>0</v>
      </c>
      <c r="AE20" s="74">
        <v>0</v>
      </c>
      <c r="AF20" s="74">
        <v>0</v>
      </c>
      <c r="AG20" s="90">
        <f t="shared" si="0"/>
        <v>0</v>
      </c>
      <c r="AH20" s="90">
        <f t="shared" si="1"/>
        <v>0</v>
      </c>
      <c r="AI20" s="90">
        <f t="shared" si="2"/>
        <v>0</v>
      </c>
    </row>
    <row r="21" spans="1:35" x14ac:dyDescent="0.35">
      <c r="A21" s="93"/>
      <c r="B21" s="95"/>
      <c r="C21" s="96">
        <v>45898</v>
      </c>
      <c r="D21" s="97" t="s">
        <v>55</v>
      </c>
      <c r="E21" s="97" t="s">
        <v>55</v>
      </c>
      <c r="F21" s="10">
        <v>0</v>
      </c>
      <c r="G21" s="10">
        <v>0</v>
      </c>
      <c r="H21" s="10">
        <v>0</v>
      </c>
      <c r="I21" s="10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97" t="s">
        <v>55</v>
      </c>
      <c r="T21" s="10">
        <v>0</v>
      </c>
      <c r="U21" s="10">
        <v>0</v>
      </c>
      <c r="V21" s="10">
        <v>0</v>
      </c>
      <c r="W21" s="10">
        <v>0</v>
      </c>
      <c r="X21" s="74">
        <v>0</v>
      </c>
      <c r="Y21" s="74">
        <v>0</v>
      </c>
      <c r="Z21" s="74">
        <v>0</v>
      </c>
      <c r="AA21" s="74">
        <v>0</v>
      </c>
      <c r="AB21" s="74">
        <v>0</v>
      </c>
      <c r="AC21" s="74">
        <v>0</v>
      </c>
      <c r="AD21" s="74">
        <v>0</v>
      </c>
      <c r="AE21" s="74">
        <v>0</v>
      </c>
      <c r="AF21" s="74">
        <v>0</v>
      </c>
      <c r="AG21" s="90">
        <f t="shared" si="0"/>
        <v>0</v>
      </c>
      <c r="AH21" s="90">
        <f t="shared" si="1"/>
        <v>0</v>
      </c>
      <c r="AI21" s="90">
        <f t="shared" si="2"/>
        <v>0</v>
      </c>
    </row>
    <row r="22" spans="1:35" x14ac:dyDescent="0.35">
      <c r="A22" s="93"/>
      <c r="B22" s="95"/>
      <c r="C22" s="96">
        <v>45901</v>
      </c>
      <c r="D22" s="97">
        <v>9</v>
      </c>
      <c r="E22" s="97" t="s">
        <v>55</v>
      </c>
      <c r="F22" s="10">
        <v>0</v>
      </c>
      <c r="G22" s="10">
        <v>0</v>
      </c>
      <c r="H22" s="10">
        <v>0</v>
      </c>
      <c r="I22" s="10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97" t="s">
        <v>83</v>
      </c>
      <c r="T22" s="10">
        <v>5</v>
      </c>
      <c r="U22" s="10">
        <v>3</v>
      </c>
      <c r="V22" s="10">
        <v>0</v>
      </c>
      <c r="W22" s="10">
        <v>0</v>
      </c>
      <c r="X22" s="74">
        <v>0</v>
      </c>
      <c r="Y22" s="74">
        <v>0</v>
      </c>
      <c r="Z22" s="74">
        <v>0</v>
      </c>
      <c r="AA22" s="74">
        <v>0</v>
      </c>
      <c r="AB22" s="74">
        <v>0</v>
      </c>
      <c r="AC22" s="74">
        <v>0</v>
      </c>
      <c r="AD22" s="74">
        <v>0</v>
      </c>
      <c r="AE22" s="74">
        <v>0</v>
      </c>
      <c r="AF22" s="74">
        <v>0</v>
      </c>
      <c r="AG22" s="90">
        <f t="shared" si="0"/>
        <v>8</v>
      </c>
      <c r="AH22" s="90">
        <f t="shared" si="1"/>
        <v>8</v>
      </c>
      <c r="AI22" s="90">
        <f t="shared" si="2"/>
        <v>0</v>
      </c>
    </row>
    <row r="23" spans="1:35" x14ac:dyDescent="0.35">
      <c r="A23" s="93"/>
      <c r="B23" s="95"/>
      <c r="C23" s="96">
        <v>45903</v>
      </c>
      <c r="D23" s="97">
        <v>9</v>
      </c>
      <c r="E23" s="97" t="s">
        <v>55</v>
      </c>
      <c r="F23" s="10">
        <v>0</v>
      </c>
      <c r="G23" s="10">
        <v>0</v>
      </c>
      <c r="H23" s="10">
        <v>0</v>
      </c>
      <c r="I23" s="10">
        <v>0</v>
      </c>
      <c r="J23" s="74">
        <v>0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97" t="s">
        <v>55</v>
      </c>
      <c r="T23" s="10">
        <v>0</v>
      </c>
      <c r="U23" s="10">
        <v>0</v>
      </c>
      <c r="V23" s="10">
        <v>0</v>
      </c>
      <c r="W23" s="10">
        <v>0</v>
      </c>
      <c r="X23" s="74">
        <v>0</v>
      </c>
      <c r="Y23" s="74">
        <v>0</v>
      </c>
      <c r="Z23" s="74">
        <v>0</v>
      </c>
      <c r="AA23" s="74">
        <v>0</v>
      </c>
      <c r="AB23" s="74">
        <v>0</v>
      </c>
      <c r="AC23" s="74">
        <v>0</v>
      </c>
      <c r="AD23" s="74">
        <v>0</v>
      </c>
      <c r="AE23" s="74">
        <v>0</v>
      </c>
      <c r="AF23" s="74">
        <v>0</v>
      </c>
      <c r="AG23" s="90">
        <f t="shared" si="0"/>
        <v>0</v>
      </c>
      <c r="AH23" s="90">
        <f t="shared" si="1"/>
        <v>0</v>
      </c>
      <c r="AI23" s="90">
        <f t="shared" si="2"/>
        <v>0</v>
      </c>
    </row>
    <row r="24" spans="1:35" x14ac:dyDescent="0.35">
      <c r="A24" s="93"/>
      <c r="B24" s="95"/>
      <c r="C24" s="96">
        <v>45905</v>
      </c>
      <c r="D24" s="97">
        <v>9</v>
      </c>
      <c r="E24" s="97" t="s">
        <v>116</v>
      </c>
      <c r="F24" s="10">
        <v>0</v>
      </c>
      <c r="G24" s="10">
        <v>0</v>
      </c>
      <c r="H24" s="10">
        <v>0</v>
      </c>
      <c r="I24" s="10">
        <v>1</v>
      </c>
      <c r="J24" s="74">
        <v>0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97" t="s">
        <v>115</v>
      </c>
      <c r="T24" s="10">
        <v>1</v>
      </c>
      <c r="U24" s="10">
        <v>0</v>
      </c>
      <c r="V24" s="10">
        <v>0</v>
      </c>
      <c r="W24" s="10">
        <v>0</v>
      </c>
      <c r="X24" s="74">
        <v>0</v>
      </c>
      <c r="Y24" s="74">
        <v>1</v>
      </c>
      <c r="Z24" s="74">
        <v>0</v>
      </c>
      <c r="AA24" s="74">
        <v>0</v>
      </c>
      <c r="AB24" s="74">
        <v>0</v>
      </c>
      <c r="AC24" s="74">
        <v>0</v>
      </c>
      <c r="AD24" s="74">
        <v>0</v>
      </c>
      <c r="AE24" s="74">
        <v>0</v>
      </c>
      <c r="AF24" s="74">
        <v>0</v>
      </c>
      <c r="AG24" s="90">
        <f t="shared" si="0"/>
        <v>3</v>
      </c>
      <c r="AH24" s="90">
        <f t="shared" si="1"/>
        <v>2</v>
      </c>
      <c r="AI24" s="90">
        <f t="shared" si="2"/>
        <v>1</v>
      </c>
    </row>
    <row r="25" spans="1:35" x14ac:dyDescent="0.35">
      <c r="A25" s="93"/>
      <c r="B25" s="95"/>
      <c r="C25" s="96">
        <v>45908</v>
      </c>
      <c r="D25" s="97">
        <v>9</v>
      </c>
      <c r="E25" s="97" t="s">
        <v>128</v>
      </c>
      <c r="F25" s="10">
        <v>0</v>
      </c>
      <c r="G25" s="10">
        <v>0</v>
      </c>
      <c r="H25" s="10">
        <v>0</v>
      </c>
      <c r="I25" s="10">
        <v>0</v>
      </c>
      <c r="J25" s="74">
        <v>0</v>
      </c>
      <c r="K25" s="74">
        <v>2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97" t="s">
        <v>129</v>
      </c>
      <c r="T25" s="10">
        <v>1</v>
      </c>
      <c r="U25" s="10">
        <v>1</v>
      </c>
      <c r="V25" s="10">
        <v>0</v>
      </c>
      <c r="W25" s="10">
        <v>1</v>
      </c>
      <c r="X25" s="74">
        <v>0</v>
      </c>
      <c r="Y25" s="74">
        <v>0</v>
      </c>
      <c r="Z25" s="74">
        <v>0</v>
      </c>
      <c r="AA25" s="74">
        <v>0</v>
      </c>
      <c r="AB25" s="74">
        <v>0</v>
      </c>
      <c r="AC25" s="74">
        <v>0</v>
      </c>
      <c r="AD25" s="74">
        <v>0</v>
      </c>
      <c r="AE25" s="74">
        <v>0</v>
      </c>
      <c r="AF25" s="74">
        <v>0</v>
      </c>
      <c r="AG25" s="90">
        <f t="shared" si="0"/>
        <v>5</v>
      </c>
      <c r="AH25" s="90">
        <f t="shared" si="1"/>
        <v>3</v>
      </c>
      <c r="AI25" s="90">
        <f t="shared" si="2"/>
        <v>2</v>
      </c>
    </row>
    <row r="26" spans="1:35" x14ac:dyDescent="0.35">
      <c r="A26" s="93"/>
      <c r="B26" s="95"/>
      <c r="C26" s="96">
        <v>45910</v>
      </c>
      <c r="D26" s="97">
        <v>9</v>
      </c>
      <c r="E26" s="97" t="s">
        <v>129</v>
      </c>
      <c r="F26" s="10">
        <v>1</v>
      </c>
      <c r="G26" s="10">
        <v>1</v>
      </c>
      <c r="H26" s="10">
        <v>0</v>
      </c>
      <c r="I26" s="10">
        <v>1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0</v>
      </c>
      <c r="P26" s="74">
        <v>0</v>
      </c>
      <c r="Q26" s="74">
        <v>0</v>
      </c>
      <c r="R26" s="74">
        <v>0</v>
      </c>
      <c r="S26" s="97" t="s">
        <v>140</v>
      </c>
      <c r="T26" s="10">
        <v>0</v>
      </c>
      <c r="U26" s="10">
        <v>1</v>
      </c>
      <c r="V26" s="10">
        <v>0</v>
      </c>
      <c r="W26" s="10">
        <v>1</v>
      </c>
      <c r="X26" s="74">
        <v>0</v>
      </c>
      <c r="Y26" s="74">
        <v>0</v>
      </c>
      <c r="Z26" s="74">
        <v>0</v>
      </c>
      <c r="AA26" s="74">
        <v>1</v>
      </c>
      <c r="AB26" s="74">
        <v>0</v>
      </c>
      <c r="AC26" s="74">
        <v>1</v>
      </c>
      <c r="AD26" s="74">
        <v>0</v>
      </c>
      <c r="AE26" s="74">
        <v>0</v>
      </c>
      <c r="AF26" s="74">
        <v>0</v>
      </c>
      <c r="AG26" s="90">
        <f t="shared" si="0"/>
        <v>7</v>
      </c>
      <c r="AH26" s="90">
        <f t="shared" si="1"/>
        <v>5</v>
      </c>
      <c r="AI26" s="90">
        <f t="shared" si="2"/>
        <v>2</v>
      </c>
    </row>
    <row r="27" spans="1:35" x14ac:dyDescent="0.35">
      <c r="A27" s="93"/>
      <c r="B27" s="95"/>
      <c r="C27" s="96">
        <v>45912</v>
      </c>
      <c r="D27" s="97">
        <v>9</v>
      </c>
      <c r="E27" s="97" t="s">
        <v>151</v>
      </c>
      <c r="F27" s="10">
        <v>0</v>
      </c>
      <c r="G27" s="10">
        <v>2</v>
      </c>
      <c r="H27" s="10">
        <v>0</v>
      </c>
      <c r="I27" s="10">
        <v>0</v>
      </c>
      <c r="J27" s="74">
        <v>0</v>
      </c>
      <c r="K27" s="74">
        <v>1</v>
      </c>
      <c r="L27" s="74">
        <v>0</v>
      </c>
      <c r="M27" s="74">
        <v>1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97" t="s">
        <v>150</v>
      </c>
      <c r="T27" s="10">
        <v>2</v>
      </c>
      <c r="U27" s="10">
        <v>0</v>
      </c>
      <c r="V27" s="10">
        <v>0</v>
      </c>
      <c r="W27" s="10">
        <v>1</v>
      </c>
      <c r="X27" s="74">
        <v>0</v>
      </c>
      <c r="Y27" s="74">
        <v>1</v>
      </c>
      <c r="Z27" s="74">
        <v>0</v>
      </c>
      <c r="AA27" s="74">
        <v>0</v>
      </c>
      <c r="AB27" s="74">
        <v>0</v>
      </c>
      <c r="AC27" s="74">
        <v>0</v>
      </c>
      <c r="AD27" s="74">
        <v>0</v>
      </c>
      <c r="AE27" s="74">
        <v>0</v>
      </c>
      <c r="AF27" s="74">
        <v>0</v>
      </c>
      <c r="AG27" s="90">
        <f t="shared" si="0"/>
        <v>8</v>
      </c>
      <c r="AH27" s="90">
        <f t="shared" si="1"/>
        <v>5</v>
      </c>
      <c r="AI27" s="90">
        <f t="shared" si="2"/>
        <v>3</v>
      </c>
    </row>
    <row r="28" spans="1:35" x14ac:dyDescent="0.35">
      <c r="A28" s="93"/>
      <c r="B28" s="95"/>
      <c r="C28" s="96">
        <v>45915</v>
      </c>
      <c r="D28" s="97">
        <v>9</v>
      </c>
      <c r="E28" s="97" t="s">
        <v>173</v>
      </c>
      <c r="F28" s="10">
        <v>0</v>
      </c>
      <c r="G28" s="10">
        <v>1</v>
      </c>
      <c r="H28" s="10">
        <v>0</v>
      </c>
      <c r="I28" s="10">
        <v>0</v>
      </c>
      <c r="J28" s="74">
        <v>0</v>
      </c>
      <c r="K28" s="74">
        <v>1</v>
      </c>
      <c r="L28" s="74">
        <v>0</v>
      </c>
      <c r="M28" s="74">
        <v>0</v>
      </c>
      <c r="N28" s="74">
        <v>1</v>
      </c>
      <c r="O28" s="74">
        <v>0</v>
      </c>
      <c r="P28" s="74">
        <v>0</v>
      </c>
      <c r="Q28" s="74">
        <v>0</v>
      </c>
      <c r="R28" s="74">
        <v>0</v>
      </c>
      <c r="S28" s="97" t="s">
        <v>174</v>
      </c>
      <c r="T28" s="10">
        <v>0</v>
      </c>
      <c r="U28" s="10">
        <v>0</v>
      </c>
      <c r="V28" s="10">
        <v>0</v>
      </c>
      <c r="W28" s="10">
        <v>0</v>
      </c>
      <c r="X28" s="74">
        <v>0</v>
      </c>
      <c r="Y28" s="74">
        <v>0</v>
      </c>
      <c r="Z28" s="74">
        <v>0</v>
      </c>
      <c r="AA28" s="74">
        <v>2</v>
      </c>
      <c r="AB28" s="74">
        <v>0</v>
      </c>
      <c r="AC28" s="74">
        <v>0</v>
      </c>
      <c r="AD28" s="74">
        <v>0</v>
      </c>
      <c r="AE28" s="74">
        <v>0</v>
      </c>
      <c r="AF28" s="74">
        <v>0</v>
      </c>
      <c r="AG28" s="90">
        <f t="shared" si="0"/>
        <v>5</v>
      </c>
      <c r="AH28" s="90">
        <f t="shared" si="1"/>
        <v>1</v>
      </c>
      <c r="AI28" s="90">
        <f t="shared" si="2"/>
        <v>4</v>
      </c>
    </row>
    <row r="29" spans="1:35" x14ac:dyDescent="0.35">
      <c r="A29" s="93"/>
      <c r="B29" s="95"/>
      <c r="C29" s="96">
        <v>45918</v>
      </c>
      <c r="D29" s="97">
        <v>9</v>
      </c>
      <c r="E29" s="97" t="s">
        <v>185</v>
      </c>
      <c r="F29" s="10">
        <v>0</v>
      </c>
      <c r="G29" s="10">
        <v>0</v>
      </c>
      <c r="H29" s="10">
        <v>0</v>
      </c>
      <c r="I29" s="10">
        <v>0</v>
      </c>
      <c r="J29" s="74">
        <v>0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97" t="s">
        <v>185</v>
      </c>
      <c r="T29" s="10">
        <v>0</v>
      </c>
      <c r="U29" s="10">
        <v>0</v>
      </c>
      <c r="V29" s="10">
        <v>0</v>
      </c>
      <c r="W29" s="10">
        <v>0</v>
      </c>
      <c r="X29" s="74">
        <v>0</v>
      </c>
      <c r="Y29" s="74">
        <v>0</v>
      </c>
      <c r="Z29" s="74">
        <v>0</v>
      </c>
      <c r="AA29" s="74">
        <v>0</v>
      </c>
      <c r="AB29" s="74">
        <v>0</v>
      </c>
      <c r="AC29" s="74">
        <v>0</v>
      </c>
      <c r="AD29" s="74">
        <v>0</v>
      </c>
      <c r="AE29" s="74">
        <v>0</v>
      </c>
      <c r="AF29" s="74">
        <v>0</v>
      </c>
      <c r="AG29" s="90">
        <f t="shared" si="0"/>
        <v>0</v>
      </c>
      <c r="AH29" s="90">
        <f t="shared" si="1"/>
        <v>0</v>
      </c>
      <c r="AI29" s="90">
        <f t="shared" si="2"/>
        <v>0</v>
      </c>
    </row>
    <row r="30" spans="1:35" x14ac:dyDescent="0.35">
      <c r="A30" s="93"/>
      <c r="B30" s="95"/>
      <c r="C30" s="96">
        <v>45922</v>
      </c>
      <c r="D30" s="97">
        <v>9</v>
      </c>
      <c r="E30" s="97" t="s">
        <v>203</v>
      </c>
      <c r="F30" s="10">
        <v>3</v>
      </c>
      <c r="G30" s="10">
        <v>0</v>
      </c>
      <c r="H30" s="10">
        <v>0</v>
      </c>
      <c r="I30" s="10">
        <v>0</v>
      </c>
      <c r="J30" s="74">
        <v>0</v>
      </c>
      <c r="K30" s="74">
        <v>0</v>
      </c>
      <c r="L30" s="74">
        <v>0</v>
      </c>
      <c r="M30" s="74">
        <v>0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97" t="s">
        <v>209</v>
      </c>
      <c r="T30" s="10">
        <v>3</v>
      </c>
      <c r="U30" s="10">
        <v>0</v>
      </c>
      <c r="V30" s="10">
        <v>0</v>
      </c>
      <c r="W30" s="10">
        <v>1</v>
      </c>
      <c r="X30" s="74">
        <v>0</v>
      </c>
      <c r="Y30" s="74">
        <v>2</v>
      </c>
      <c r="Z30" s="74">
        <v>0</v>
      </c>
      <c r="AA30" s="74">
        <v>0</v>
      </c>
      <c r="AB30" s="74">
        <v>0</v>
      </c>
      <c r="AC30" s="74">
        <v>0</v>
      </c>
      <c r="AD30" s="74">
        <v>0</v>
      </c>
      <c r="AE30" s="74">
        <v>0</v>
      </c>
      <c r="AF30" s="74">
        <v>0</v>
      </c>
      <c r="AG30" s="90">
        <f t="shared" si="0"/>
        <v>10</v>
      </c>
      <c r="AH30" s="90">
        <f t="shared" si="1"/>
        <v>7</v>
      </c>
      <c r="AI30" s="90">
        <f t="shared" si="2"/>
        <v>3</v>
      </c>
    </row>
    <row r="31" spans="1:35" x14ac:dyDescent="0.35">
      <c r="A31" s="93"/>
      <c r="B31" s="95"/>
      <c r="C31" s="96">
        <v>45925</v>
      </c>
      <c r="D31" s="97">
        <v>9</v>
      </c>
      <c r="E31" s="97" t="s">
        <v>232</v>
      </c>
      <c r="F31" s="10">
        <v>2</v>
      </c>
      <c r="G31" s="10">
        <v>1</v>
      </c>
      <c r="H31" s="10">
        <v>0</v>
      </c>
      <c r="I31" s="10">
        <v>0</v>
      </c>
      <c r="J31" s="74">
        <v>0</v>
      </c>
      <c r="K31" s="74">
        <v>0</v>
      </c>
      <c r="L31" s="74">
        <v>0</v>
      </c>
      <c r="M31" s="74">
        <v>1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97" t="s">
        <v>231</v>
      </c>
      <c r="T31" s="10">
        <v>0</v>
      </c>
      <c r="U31" s="10">
        <v>1</v>
      </c>
      <c r="V31" s="10">
        <v>0</v>
      </c>
      <c r="W31" s="10">
        <v>1</v>
      </c>
      <c r="X31" s="74">
        <v>0</v>
      </c>
      <c r="Y31" s="74">
        <v>1</v>
      </c>
      <c r="Z31" s="74">
        <v>0</v>
      </c>
      <c r="AA31" s="74">
        <v>2</v>
      </c>
      <c r="AB31" s="74">
        <v>0</v>
      </c>
      <c r="AC31" s="74">
        <v>0</v>
      </c>
      <c r="AD31" s="74">
        <v>0</v>
      </c>
      <c r="AE31" s="74">
        <v>0</v>
      </c>
      <c r="AF31" s="74">
        <v>0</v>
      </c>
      <c r="AG31" s="90">
        <f t="shared" si="0"/>
        <v>9</v>
      </c>
      <c r="AH31" s="90">
        <f t="shared" si="1"/>
        <v>5</v>
      </c>
      <c r="AI31" s="90">
        <f t="shared" si="2"/>
        <v>4</v>
      </c>
    </row>
    <row r="32" spans="1:35" x14ac:dyDescent="0.35">
      <c r="A32" s="93"/>
      <c r="B32" s="95"/>
      <c r="C32" s="96">
        <v>45930</v>
      </c>
      <c r="D32" s="97">
        <v>9</v>
      </c>
      <c r="E32" s="97" t="s">
        <v>250</v>
      </c>
      <c r="F32" s="10">
        <v>1</v>
      </c>
      <c r="G32" s="10">
        <v>2</v>
      </c>
      <c r="H32" s="10">
        <v>0</v>
      </c>
      <c r="I32" s="10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97" t="s">
        <v>251</v>
      </c>
      <c r="T32" s="10">
        <v>3</v>
      </c>
      <c r="U32" s="10">
        <v>2</v>
      </c>
      <c r="V32" s="10">
        <v>0</v>
      </c>
      <c r="W32" s="10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0</v>
      </c>
      <c r="AF32" s="74">
        <v>0</v>
      </c>
      <c r="AG32" s="90">
        <f t="shared" si="0"/>
        <v>8</v>
      </c>
      <c r="AH32" s="90">
        <f t="shared" si="1"/>
        <v>8</v>
      </c>
      <c r="AI32" s="90">
        <f t="shared" si="2"/>
        <v>0</v>
      </c>
    </row>
    <row r="33" spans="1:35" x14ac:dyDescent="0.35">
      <c r="A33" s="93"/>
      <c r="B33" s="95"/>
      <c r="C33" s="96">
        <v>45936</v>
      </c>
      <c r="D33" s="97">
        <v>9</v>
      </c>
      <c r="E33" s="97" t="s">
        <v>276</v>
      </c>
      <c r="F33" s="10">
        <v>1</v>
      </c>
      <c r="G33" s="10">
        <v>0</v>
      </c>
      <c r="H33" s="10">
        <v>0</v>
      </c>
      <c r="I33" s="10">
        <v>1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97" t="s">
        <v>275</v>
      </c>
      <c r="T33" s="10">
        <v>4</v>
      </c>
      <c r="U33" s="10">
        <v>2</v>
      </c>
      <c r="V33" s="10">
        <v>0</v>
      </c>
      <c r="W33" s="10">
        <v>1</v>
      </c>
      <c r="X33" s="74">
        <v>0</v>
      </c>
      <c r="Y33" s="74">
        <v>0</v>
      </c>
      <c r="Z33" s="74">
        <v>0</v>
      </c>
      <c r="AA33" s="74">
        <v>0</v>
      </c>
      <c r="AB33" s="74">
        <v>0</v>
      </c>
      <c r="AC33" s="74">
        <v>0</v>
      </c>
      <c r="AD33" s="74">
        <v>0</v>
      </c>
      <c r="AE33" s="74">
        <v>0</v>
      </c>
      <c r="AF33" s="74">
        <v>0</v>
      </c>
      <c r="AG33" s="90">
        <f t="shared" si="0"/>
        <v>9</v>
      </c>
      <c r="AH33" s="90">
        <f t="shared" si="1"/>
        <v>9</v>
      </c>
      <c r="AI33" s="90">
        <f t="shared" si="2"/>
        <v>0</v>
      </c>
    </row>
    <row r="34" spans="1:35" ht="21" customHeight="1" x14ac:dyDescent="0.35">
      <c r="A34" s="93"/>
      <c r="B34" s="95"/>
      <c r="C34" s="96">
        <v>45939</v>
      </c>
      <c r="D34" s="97">
        <v>9</v>
      </c>
      <c r="E34" s="97" t="s">
        <v>319</v>
      </c>
      <c r="F34" s="10">
        <v>0</v>
      </c>
      <c r="G34" s="10">
        <v>0</v>
      </c>
      <c r="H34" s="10">
        <v>0</v>
      </c>
      <c r="I34" s="10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103" t="s">
        <v>318</v>
      </c>
      <c r="T34" s="10">
        <v>0</v>
      </c>
      <c r="U34" s="10">
        <v>0</v>
      </c>
      <c r="V34" s="10">
        <v>0</v>
      </c>
      <c r="W34" s="10">
        <v>0</v>
      </c>
      <c r="X34" s="74">
        <v>0</v>
      </c>
      <c r="Y34" s="74">
        <v>1</v>
      </c>
      <c r="Z34" s="74">
        <v>0</v>
      </c>
      <c r="AA34" s="74">
        <v>1</v>
      </c>
      <c r="AB34" s="74">
        <v>0</v>
      </c>
      <c r="AC34" s="74">
        <v>0</v>
      </c>
      <c r="AD34" s="74">
        <v>0</v>
      </c>
      <c r="AE34" s="74">
        <v>0</v>
      </c>
      <c r="AF34" s="74">
        <v>0</v>
      </c>
      <c r="AG34" s="90">
        <f t="shared" si="0"/>
        <v>2</v>
      </c>
      <c r="AH34" s="90">
        <f t="shared" si="1"/>
        <v>0</v>
      </c>
      <c r="AI34" s="90">
        <f t="shared" si="2"/>
        <v>2</v>
      </c>
    </row>
    <row r="35" spans="1:35" x14ac:dyDescent="0.35">
      <c r="A35" s="93"/>
      <c r="B35" s="95"/>
      <c r="C35" s="96">
        <v>45944</v>
      </c>
      <c r="D35" s="97">
        <v>9</v>
      </c>
      <c r="E35" s="97" t="s">
        <v>339</v>
      </c>
      <c r="F35" s="10">
        <v>0</v>
      </c>
      <c r="G35" s="10">
        <v>0</v>
      </c>
      <c r="H35" s="10">
        <v>0</v>
      </c>
      <c r="I35" s="10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1</v>
      </c>
      <c r="P35" s="74">
        <v>0</v>
      </c>
      <c r="Q35" s="74">
        <v>0</v>
      </c>
      <c r="R35" s="74">
        <v>0</v>
      </c>
      <c r="S35" s="97" t="s">
        <v>341</v>
      </c>
      <c r="T35" s="10">
        <v>0</v>
      </c>
      <c r="U35" s="10">
        <v>0</v>
      </c>
      <c r="V35" s="10">
        <v>0</v>
      </c>
      <c r="W35" s="10">
        <v>0</v>
      </c>
      <c r="X35" s="74">
        <v>0</v>
      </c>
      <c r="Y35" s="74">
        <v>1</v>
      </c>
      <c r="Z35" s="74">
        <v>0</v>
      </c>
      <c r="AA35" s="74">
        <v>0</v>
      </c>
      <c r="AB35" s="74">
        <v>0</v>
      </c>
      <c r="AC35" s="74">
        <v>0</v>
      </c>
      <c r="AD35" s="74">
        <v>0</v>
      </c>
      <c r="AE35" s="74">
        <v>0</v>
      </c>
      <c r="AF35" s="74">
        <v>0</v>
      </c>
      <c r="AG35" s="90">
        <f t="shared" si="0"/>
        <v>2</v>
      </c>
      <c r="AH35" s="90">
        <f t="shared" si="1"/>
        <v>0</v>
      </c>
      <c r="AI35" s="90">
        <f t="shared" si="2"/>
        <v>2</v>
      </c>
    </row>
    <row r="36" spans="1:35" x14ac:dyDescent="0.35">
      <c r="A36" s="93"/>
      <c r="B36" s="95"/>
      <c r="C36" s="96"/>
      <c r="D36" s="97"/>
      <c r="E36" s="97"/>
      <c r="S36" s="97"/>
      <c r="AG36" s="90"/>
      <c r="AH36" s="90"/>
      <c r="AI36" s="90"/>
    </row>
    <row r="37" spans="1:35" x14ac:dyDescent="0.35">
      <c r="A37" s="93">
        <v>3</v>
      </c>
      <c r="B37" s="95" t="s">
        <v>35</v>
      </c>
      <c r="C37" s="96">
        <v>45894</v>
      </c>
      <c r="D37" s="97" t="s">
        <v>55</v>
      </c>
      <c r="E37" s="97" t="s">
        <v>55</v>
      </c>
      <c r="F37" s="10">
        <v>0</v>
      </c>
      <c r="G37" s="10">
        <v>0</v>
      </c>
      <c r="H37" s="10">
        <v>0</v>
      </c>
      <c r="I37" s="10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97" t="s">
        <v>55</v>
      </c>
      <c r="T37" s="10">
        <v>0</v>
      </c>
      <c r="U37" s="10">
        <v>0</v>
      </c>
      <c r="V37" s="10">
        <v>0</v>
      </c>
      <c r="W37" s="10">
        <v>0</v>
      </c>
      <c r="X37" s="74">
        <v>0</v>
      </c>
      <c r="Y37" s="74">
        <v>0</v>
      </c>
      <c r="Z37" s="74">
        <v>0</v>
      </c>
      <c r="AA37" s="74">
        <v>0</v>
      </c>
      <c r="AB37" s="74">
        <v>0</v>
      </c>
      <c r="AC37" s="74">
        <v>0</v>
      </c>
      <c r="AD37" s="74">
        <v>0</v>
      </c>
      <c r="AE37" s="74">
        <v>0</v>
      </c>
      <c r="AF37" s="74">
        <v>0</v>
      </c>
      <c r="AG37" s="90">
        <f t="shared" si="0"/>
        <v>0</v>
      </c>
      <c r="AH37" s="90">
        <f t="shared" si="1"/>
        <v>0</v>
      </c>
      <c r="AI37" s="90">
        <f t="shared" si="2"/>
        <v>0</v>
      </c>
    </row>
    <row r="38" spans="1:35" x14ac:dyDescent="0.35">
      <c r="A38" s="93"/>
      <c r="B38" s="95"/>
      <c r="C38" s="96">
        <v>45896</v>
      </c>
      <c r="D38" s="97" t="s">
        <v>55</v>
      </c>
      <c r="E38" s="97" t="s">
        <v>55</v>
      </c>
      <c r="F38" s="10">
        <v>0</v>
      </c>
      <c r="G38" s="10">
        <v>0</v>
      </c>
      <c r="H38" s="10">
        <v>0</v>
      </c>
      <c r="I38" s="10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97" t="s">
        <v>55</v>
      </c>
      <c r="T38" s="10">
        <v>0</v>
      </c>
      <c r="U38" s="10">
        <v>0</v>
      </c>
      <c r="V38" s="10">
        <v>0</v>
      </c>
      <c r="W38" s="10">
        <v>0</v>
      </c>
      <c r="X38" s="74">
        <v>0</v>
      </c>
      <c r="Y38" s="74">
        <v>0</v>
      </c>
      <c r="Z38" s="74">
        <v>0</v>
      </c>
      <c r="AA38" s="74">
        <v>0</v>
      </c>
      <c r="AB38" s="74">
        <v>0</v>
      </c>
      <c r="AC38" s="74">
        <v>0</v>
      </c>
      <c r="AD38" s="74">
        <v>0</v>
      </c>
      <c r="AE38" s="74">
        <v>0</v>
      </c>
      <c r="AF38" s="74">
        <v>0</v>
      </c>
      <c r="AG38" s="90">
        <f t="shared" si="0"/>
        <v>0</v>
      </c>
      <c r="AH38" s="90">
        <f t="shared" si="1"/>
        <v>0</v>
      </c>
      <c r="AI38" s="90">
        <f t="shared" si="2"/>
        <v>0</v>
      </c>
    </row>
    <row r="39" spans="1:35" x14ac:dyDescent="0.35">
      <c r="A39" s="93"/>
      <c r="B39" s="95"/>
      <c r="C39" s="96">
        <v>45898</v>
      </c>
      <c r="D39" s="97" t="s">
        <v>55</v>
      </c>
      <c r="E39" s="97" t="s">
        <v>55</v>
      </c>
      <c r="F39" s="10">
        <v>0</v>
      </c>
      <c r="G39" s="10">
        <v>0</v>
      </c>
      <c r="H39" s="10">
        <v>0</v>
      </c>
      <c r="I39" s="10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97" t="s">
        <v>55</v>
      </c>
      <c r="T39" s="10">
        <v>0</v>
      </c>
      <c r="U39" s="10">
        <v>0</v>
      </c>
      <c r="V39" s="10">
        <v>0</v>
      </c>
      <c r="W39" s="10">
        <v>0</v>
      </c>
      <c r="X39" s="74">
        <v>0</v>
      </c>
      <c r="Y39" s="74">
        <v>0</v>
      </c>
      <c r="Z39" s="74">
        <v>0</v>
      </c>
      <c r="AA39" s="74">
        <v>0</v>
      </c>
      <c r="AB39" s="74">
        <v>0</v>
      </c>
      <c r="AC39" s="74">
        <v>0</v>
      </c>
      <c r="AD39" s="74">
        <v>0</v>
      </c>
      <c r="AE39" s="74">
        <v>0</v>
      </c>
      <c r="AF39" s="74">
        <v>0</v>
      </c>
      <c r="AG39" s="90">
        <f t="shared" si="0"/>
        <v>0</v>
      </c>
      <c r="AH39" s="90">
        <f t="shared" si="1"/>
        <v>0</v>
      </c>
      <c r="AI39" s="90">
        <f t="shared" si="2"/>
        <v>0</v>
      </c>
    </row>
    <row r="40" spans="1:35" x14ac:dyDescent="0.35">
      <c r="A40" s="93"/>
      <c r="B40" s="95"/>
      <c r="C40" s="96">
        <v>45901</v>
      </c>
      <c r="D40" s="97">
        <v>8</v>
      </c>
      <c r="E40" s="97" t="s">
        <v>78</v>
      </c>
      <c r="F40" s="10">
        <v>0</v>
      </c>
      <c r="G40" s="10">
        <v>6</v>
      </c>
      <c r="H40" s="10">
        <v>0</v>
      </c>
      <c r="I40" s="10">
        <v>1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97" t="s">
        <v>79</v>
      </c>
      <c r="T40" s="10">
        <v>0</v>
      </c>
      <c r="U40" s="10">
        <v>3</v>
      </c>
      <c r="V40" s="10">
        <v>0</v>
      </c>
      <c r="W40" s="10">
        <v>0</v>
      </c>
      <c r="X40" s="74">
        <v>0</v>
      </c>
      <c r="Y40" s="74">
        <v>1</v>
      </c>
      <c r="Z40" s="74">
        <v>0</v>
      </c>
      <c r="AA40" s="74">
        <v>0</v>
      </c>
      <c r="AB40" s="74">
        <v>0</v>
      </c>
      <c r="AC40" s="74">
        <v>0</v>
      </c>
      <c r="AD40" s="74">
        <v>0</v>
      </c>
      <c r="AE40" s="74">
        <v>0</v>
      </c>
      <c r="AF40" s="74">
        <v>0</v>
      </c>
      <c r="AG40" s="90">
        <f t="shared" si="0"/>
        <v>11</v>
      </c>
      <c r="AH40" s="90">
        <f t="shared" si="1"/>
        <v>10</v>
      </c>
      <c r="AI40" s="90">
        <f t="shared" si="2"/>
        <v>1</v>
      </c>
    </row>
    <row r="41" spans="1:35" x14ac:dyDescent="0.35">
      <c r="A41" s="93"/>
      <c r="B41" s="95"/>
      <c r="C41" s="96">
        <v>45903</v>
      </c>
      <c r="D41" s="97">
        <v>8</v>
      </c>
      <c r="E41" s="97" t="s">
        <v>98</v>
      </c>
      <c r="F41" s="10">
        <v>4</v>
      </c>
      <c r="G41" s="10">
        <v>0</v>
      </c>
      <c r="H41" s="10">
        <v>0</v>
      </c>
      <c r="I41" s="10">
        <v>0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97" t="s">
        <v>55</v>
      </c>
      <c r="T41" s="10">
        <v>0</v>
      </c>
      <c r="U41" s="10">
        <v>0</v>
      </c>
      <c r="V41" s="10">
        <v>0</v>
      </c>
      <c r="W41" s="10">
        <v>0</v>
      </c>
      <c r="X41" s="74">
        <v>0</v>
      </c>
      <c r="Y41" s="74">
        <v>0</v>
      </c>
      <c r="Z41" s="74">
        <v>0</v>
      </c>
      <c r="AA41" s="74">
        <v>0</v>
      </c>
      <c r="AB41" s="74">
        <v>0</v>
      </c>
      <c r="AC41" s="74">
        <v>0</v>
      </c>
      <c r="AD41" s="74">
        <v>0</v>
      </c>
      <c r="AE41" s="74">
        <v>0</v>
      </c>
      <c r="AF41" s="74">
        <v>0</v>
      </c>
      <c r="AG41" s="90">
        <f t="shared" si="0"/>
        <v>4</v>
      </c>
      <c r="AH41" s="90">
        <f t="shared" si="1"/>
        <v>4</v>
      </c>
      <c r="AI41" s="90">
        <f t="shared" si="2"/>
        <v>0</v>
      </c>
    </row>
    <row r="42" spans="1:35" x14ac:dyDescent="0.35">
      <c r="A42" s="93"/>
      <c r="B42" s="95"/>
      <c r="C42" s="96">
        <v>45905</v>
      </c>
      <c r="D42" s="97">
        <v>8</v>
      </c>
      <c r="E42" s="97" t="s">
        <v>355</v>
      </c>
      <c r="F42" s="10">
        <v>5</v>
      </c>
      <c r="G42" s="10">
        <v>1</v>
      </c>
      <c r="H42" s="10">
        <v>0</v>
      </c>
      <c r="I42" s="10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97" t="s">
        <v>111</v>
      </c>
      <c r="T42" s="10">
        <v>2</v>
      </c>
      <c r="U42" s="10">
        <v>0</v>
      </c>
      <c r="V42" s="10">
        <v>0</v>
      </c>
      <c r="W42" s="10">
        <v>1</v>
      </c>
      <c r="X42" s="74">
        <v>0</v>
      </c>
      <c r="Y42" s="74">
        <v>0</v>
      </c>
      <c r="Z42" s="74">
        <v>0</v>
      </c>
      <c r="AA42" s="74">
        <v>0</v>
      </c>
      <c r="AB42" s="74">
        <v>0</v>
      </c>
      <c r="AC42" s="74">
        <v>0</v>
      </c>
      <c r="AD42" s="74">
        <v>0</v>
      </c>
      <c r="AE42" s="74">
        <v>0</v>
      </c>
      <c r="AF42" s="74">
        <v>0</v>
      </c>
      <c r="AG42" s="90">
        <f t="shared" si="0"/>
        <v>9</v>
      </c>
      <c r="AH42" s="90">
        <f t="shared" si="1"/>
        <v>9</v>
      </c>
      <c r="AI42" s="90">
        <f t="shared" si="2"/>
        <v>0</v>
      </c>
    </row>
    <row r="43" spans="1:35" x14ac:dyDescent="0.35">
      <c r="A43" s="93"/>
      <c r="B43" s="95"/>
      <c r="C43" s="96">
        <v>45908</v>
      </c>
      <c r="D43" s="97">
        <v>8</v>
      </c>
      <c r="E43" s="97" t="s">
        <v>124</v>
      </c>
      <c r="F43" s="10">
        <v>4</v>
      </c>
      <c r="G43" s="10">
        <v>1</v>
      </c>
      <c r="H43" s="10">
        <v>0</v>
      </c>
      <c r="I43" s="10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97" t="s">
        <v>123</v>
      </c>
      <c r="T43" s="10">
        <v>0</v>
      </c>
      <c r="U43" s="10">
        <v>1</v>
      </c>
      <c r="V43" s="10">
        <v>0</v>
      </c>
      <c r="W43" s="10">
        <v>1</v>
      </c>
      <c r="X43" s="74">
        <v>0</v>
      </c>
      <c r="Y43" s="74">
        <v>2</v>
      </c>
      <c r="Z43" s="74">
        <v>0</v>
      </c>
      <c r="AA43" s="74">
        <v>0</v>
      </c>
      <c r="AB43" s="74">
        <v>0</v>
      </c>
      <c r="AC43" s="74">
        <v>0</v>
      </c>
      <c r="AD43" s="74">
        <v>0</v>
      </c>
      <c r="AE43" s="74">
        <v>0</v>
      </c>
      <c r="AF43" s="74">
        <v>0</v>
      </c>
      <c r="AG43" s="90">
        <f t="shared" si="0"/>
        <v>9</v>
      </c>
      <c r="AH43" s="90">
        <f t="shared" si="1"/>
        <v>7</v>
      </c>
      <c r="AI43" s="90">
        <f t="shared" si="2"/>
        <v>2</v>
      </c>
    </row>
    <row r="44" spans="1:35" x14ac:dyDescent="0.35">
      <c r="A44" s="93"/>
      <c r="B44" s="95"/>
      <c r="C44" s="96">
        <v>45910</v>
      </c>
      <c r="D44" s="97">
        <v>8</v>
      </c>
      <c r="E44" s="97" t="s">
        <v>139</v>
      </c>
      <c r="F44" s="10">
        <v>12</v>
      </c>
      <c r="G44" s="10">
        <v>0</v>
      </c>
      <c r="H44" s="10">
        <v>0</v>
      </c>
      <c r="I44" s="10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97" t="s">
        <v>138</v>
      </c>
      <c r="T44" s="10">
        <v>9</v>
      </c>
      <c r="U44" s="10">
        <v>2</v>
      </c>
      <c r="V44" s="10">
        <v>0</v>
      </c>
      <c r="W44" s="10">
        <v>0</v>
      </c>
      <c r="X44" s="74">
        <v>0</v>
      </c>
      <c r="Y44" s="74">
        <v>1</v>
      </c>
      <c r="Z44" s="74">
        <v>0</v>
      </c>
      <c r="AA44" s="74">
        <v>1</v>
      </c>
      <c r="AB44" s="74">
        <v>0</v>
      </c>
      <c r="AC44" s="74">
        <v>0</v>
      </c>
      <c r="AD44" s="74">
        <v>0</v>
      </c>
      <c r="AE44" s="74">
        <v>0</v>
      </c>
      <c r="AF44" s="74">
        <v>0</v>
      </c>
      <c r="AG44" s="90">
        <f t="shared" si="0"/>
        <v>25</v>
      </c>
      <c r="AH44" s="90">
        <f t="shared" si="1"/>
        <v>23</v>
      </c>
      <c r="AI44" s="90">
        <f t="shared" si="2"/>
        <v>2</v>
      </c>
    </row>
    <row r="45" spans="1:35" x14ac:dyDescent="0.35">
      <c r="A45" s="93"/>
      <c r="B45" s="95"/>
      <c r="C45" s="96">
        <v>45912</v>
      </c>
      <c r="D45" s="97">
        <v>8</v>
      </c>
      <c r="E45" s="97" t="s">
        <v>155</v>
      </c>
      <c r="F45" s="10">
        <v>4</v>
      </c>
      <c r="G45" s="10">
        <v>4</v>
      </c>
      <c r="H45" s="10">
        <v>0</v>
      </c>
      <c r="I45" s="10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0</v>
      </c>
      <c r="P45" s="74">
        <v>0</v>
      </c>
      <c r="Q45" s="74">
        <v>0</v>
      </c>
      <c r="R45" s="74">
        <v>0</v>
      </c>
      <c r="S45" s="97" t="s">
        <v>99</v>
      </c>
      <c r="T45" s="10">
        <v>0</v>
      </c>
      <c r="U45" s="10">
        <v>0</v>
      </c>
      <c r="V45" s="10">
        <v>0</v>
      </c>
      <c r="W45" s="10">
        <v>0</v>
      </c>
      <c r="X45" s="74">
        <v>0</v>
      </c>
      <c r="Y45" s="74">
        <v>0</v>
      </c>
      <c r="Z45" s="74">
        <v>0</v>
      </c>
      <c r="AA45" s="74">
        <v>1</v>
      </c>
      <c r="AB45" s="74">
        <v>0</v>
      </c>
      <c r="AC45" s="74">
        <v>0</v>
      </c>
      <c r="AD45" s="74">
        <v>0</v>
      </c>
      <c r="AE45" s="74">
        <v>0</v>
      </c>
      <c r="AF45" s="74">
        <v>0</v>
      </c>
      <c r="AG45" s="90">
        <f t="shared" si="0"/>
        <v>9</v>
      </c>
      <c r="AH45" s="90">
        <f t="shared" si="1"/>
        <v>8</v>
      </c>
      <c r="AI45" s="90">
        <f t="shared" si="2"/>
        <v>1</v>
      </c>
    </row>
    <row r="46" spans="1:35" x14ac:dyDescent="0.35">
      <c r="A46" s="93"/>
      <c r="B46" s="95"/>
      <c r="C46" s="96">
        <v>45915</v>
      </c>
      <c r="D46" s="97">
        <v>8</v>
      </c>
      <c r="E46" s="97" t="s">
        <v>169</v>
      </c>
      <c r="F46" s="10">
        <v>8</v>
      </c>
      <c r="G46" s="10">
        <v>5</v>
      </c>
      <c r="H46" s="10">
        <v>0</v>
      </c>
      <c r="I46" s="10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0</v>
      </c>
      <c r="P46" s="74">
        <v>0</v>
      </c>
      <c r="Q46" s="74">
        <v>0</v>
      </c>
      <c r="R46" s="74">
        <v>0</v>
      </c>
      <c r="S46" s="97" t="s">
        <v>168</v>
      </c>
      <c r="T46" s="10">
        <v>2</v>
      </c>
      <c r="U46" s="10">
        <v>1</v>
      </c>
      <c r="V46" s="10">
        <v>0</v>
      </c>
      <c r="W46" s="10">
        <v>0</v>
      </c>
      <c r="X46" s="74">
        <v>0</v>
      </c>
      <c r="Y46" s="74">
        <v>0</v>
      </c>
      <c r="Z46" s="74">
        <v>0</v>
      </c>
      <c r="AA46" s="74">
        <v>2</v>
      </c>
      <c r="AB46" s="74">
        <v>0</v>
      </c>
      <c r="AC46" s="74">
        <v>0</v>
      </c>
      <c r="AD46" s="74">
        <v>0</v>
      </c>
      <c r="AE46" s="74">
        <v>0</v>
      </c>
      <c r="AF46" s="74">
        <v>0</v>
      </c>
      <c r="AG46" s="90">
        <f t="shared" si="0"/>
        <v>18</v>
      </c>
      <c r="AH46" s="90">
        <f t="shared" si="1"/>
        <v>16</v>
      </c>
      <c r="AI46" s="90">
        <f t="shared" si="2"/>
        <v>2</v>
      </c>
    </row>
    <row r="47" spans="1:35" x14ac:dyDescent="0.35">
      <c r="A47" s="93"/>
      <c r="B47" s="95"/>
      <c r="C47" s="96">
        <v>45918</v>
      </c>
      <c r="D47" s="97">
        <v>8</v>
      </c>
      <c r="E47" s="97" t="s">
        <v>181</v>
      </c>
      <c r="F47" s="10">
        <v>0</v>
      </c>
      <c r="G47" s="10">
        <v>0</v>
      </c>
      <c r="H47" s="10">
        <v>0</v>
      </c>
      <c r="I47" s="10">
        <v>0</v>
      </c>
      <c r="J47" s="74">
        <v>0</v>
      </c>
      <c r="K47" s="74">
        <v>3</v>
      </c>
      <c r="L47" s="74">
        <v>0</v>
      </c>
      <c r="M47" s="74">
        <v>0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97" t="s">
        <v>487</v>
      </c>
      <c r="T47" s="10">
        <v>1</v>
      </c>
      <c r="U47" s="10">
        <v>0</v>
      </c>
      <c r="V47" s="10">
        <v>0</v>
      </c>
      <c r="W47" s="10">
        <v>0</v>
      </c>
      <c r="X47" s="74">
        <v>1</v>
      </c>
      <c r="Y47" s="74">
        <v>0</v>
      </c>
      <c r="Z47" s="74">
        <v>0</v>
      </c>
      <c r="AA47" s="74">
        <v>0</v>
      </c>
      <c r="AB47" s="74">
        <v>0</v>
      </c>
      <c r="AC47" s="74">
        <v>0</v>
      </c>
      <c r="AD47" s="74">
        <v>0</v>
      </c>
      <c r="AE47" s="74">
        <v>0</v>
      </c>
      <c r="AF47" s="74">
        <v>0</v>
      </c>
      <c r="AG47" s="90">
        <f t="shared" si="0"/>
        <v>5</v>
      </c>
      <c r="AH47" s="90">
        <f t="shared" si="1"/>
        <v>1</v>
      </c>
      <c r="AI47" s="90">
        <f t="shared" si="2"/>
        <v>4</v>
      </c>
    </row>
    <row r="48" spans="1:35" x14ac:dyDescent="0.35">
      <c r="A48" s="93"/>
      <c r="B48" s="95"/>
      <c r="C48" s="96">
        <v>45922</v>
      </c>
      <c r="D48" s="97">
        <v>8</v>
      </c>
      <c r="E48" s="97" t="s">
        <v>197</v>
      </c>
      <c r="F48" s="10">
        <v>1</v>
      </c>
      <c r="G48" s="10">
        <v>1</v>
      </c>
      <c r="H48" s="10">
        <v>0</v>
      </c>
      <c r="I48" s="10">
        <v>0</v>
      </c>
      <c r="J48" s="74">
        <v>0</v>
      </c>
      <c r="K48" s="74">
        <v>0</v>
      </c>
      <c r="L48" s="74">
        <v>0</v>
      </c>
      <c r="M48" s="74">
        <v>1</v>
      </c>
      <c r="N48" s="74">
        <v>0</v>
      </c>
      <c r="O48" s="74">
        <v>0</v>
      </c>
      <c r="P48" s="74">
        <v>0</v>
      </c>
      <c r="Q48" s="74">
        <v>0</v>
      </c>
      <c r="R48" s="74">
        <v>0</v>
      </c>
      <c r="S48" s="97" t="s">
        <v>203</v>
      </c>
      <c r="T48" s="10">
        <v>3</v>
      </c>
      <c r="U48" s="10">
        <v>0</v>
      </c>
      <c r="V48" s="10">
        <v>0</v>
      </c>
      <c r="W48" s="10">
        <v>0</v>
      </c>
      <c r="X48" s="74">
        <v>0</v>
      </c>
      <c r="Y48" s="74">
        <v>0</v>
      </c>
      <c r="Z48" s="74">
        <v>0</v>
      </c>
      <c r="AA48" s="74">
        <v>0</v>
      </c>
      <c r="AB48" s="74">
        <v>0</v>
      </c>
      <c r="AC48" s="74">
        <v>1</v>
      </c>
      <c r="AD48" s="74">
        <v>0</v>
      </c>
      <c r="AE48" s="74">
        <v>0</v>
      </c>
      <c r="AF48" s="74">
        <v>0</v>
      </c>
      <c r="AG48" s="90">
        <f t="shared" si="0"/>
        <v>7</v>
      </c>
      <c r="AH48" s="90">
        <f t="shared" si="1"/>
        <v>5</v>
      </c>
      <c r="AI48" s="90">
        <f t="shared" si="2"/>
        <v>2</v>
      </c>
    </row>
    <row r="49" spans="1:35" x14ac:dyDescent="0.35">
      <c r="A49" s="93"/>
      <c r="B49" s="95"/>
      <c r="C49" s="96">
        <v>45925</v>
      </c>
      <c r="D49" s="97">
        <v>8</v>
      </c>
      <c r="E49" s="97" t="s">
        <v>93</v>
      </c>
      <c r="F49" s="10">
        <v>3</v>
      </c>
      <c r="G49" s="10">
        <v>2</v>
      </c>
      <c r="H49" s="10">
        <v>0</v>
      </c>
      <c r="I49" s="10">
        <v>1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0</v>
      </c>
      <c r="R49" s="74">
        <v>0</v>
      </c>
      <c r="S49" s="97" t="s">
        <v>228</v>
      </c>
      <c r="T49" s="10">
        <v>0</v>
      </c>
      <c r="U49" s="10">
        <v>1</v>
      </c>
      <c r="V49" s="10">
        <v>0</v>
      </c>
      <c r="W49" s="10">
        <v>2</v>
      </c>
      <c r="X49" s="74">
        <v>0</v>
      </c>
      <c r="Y49" s="74">
        <v>2</v>
      </c>
      <c r="Z49" s="74">
        <v>0</v>
      </c>
      <c r="AA49" s="74">
        <v>0</v>
      </c>
      <c r="AB49" s="74">
        <v>0</v>
      </c>
      <c r="AC49" s="74">
        <v>0</v>
      </c>
      <c r="AD49" s="74">
        <v>0</v>
      </c>
      <c r="AE49" s="74">
        <v>0</v>
      </c>
      <c r="AF49" s="74">
        <v>0</v>
      </c>
      <c r="AG49" s="90">
        <f t="shared" si="0"/>
        <v>11</v>
      </c>
      <c r="AH49" s="90">
        <f t="shared" si="1"/>
        <v>9</v>
      </c>
      <c r="AI49" s="90">
        <f t="shared" si="2"/>
        <v>2</v>
      </c>
    </row>
    <row r="50" spans="1:35" x14ac:dyDescent="0.35">
      <c r="A50" s="93"/>
      <c r="B50" s="95"/>
      <c r="C50" s="96">
        <v>45930</v>
      </c>
      <c r="D50" s="97">
        <v>8</v>
      </c>
      <c r="E50" s="97" t="s">
        <v>154</v>
      </c>
      <c r="F50" s="10">
        <v>0</v>
      </c>
      <c r="G50" s="10">
        <v>3</v>
      </c>
      <c r="H50" s="10">
        <v>0</v>
      </c>
      <c r="I50" s="10">
        <v>0</v>
      </c>
      <c r="J50" s="74">
        <v>0</v>
      </c>
      <c r="K50" s="74">
        <v>0</v>
      </c>
      <c r="L50" s="74">
        <v>0</v>
      </c>
      <c r="M50" s="74">
        <v>0</v>
      </c>
      <c r="N50" s="74">
        <v>0</v>
      </c>
      <c r="O50" s="74">
        <v>0</v>
      </c>
      <c r="P50" s="74">
        <v>0</v>
      </c>
      <c r="Q50" s="74">
        <v>0</v>
      </c>
      <c r="R50" s="74">
        <v>0</v>
      </c>
      <c r="S50" s="97" t="s">
        <v>231</v>
      </c>
      <c r="T50" s="10">
        <v>0</v>
      </c>
      <c r="U50" s="10">
        <v>1</v>
      </c>
      <c r="V50" s="10">
        <v>0</v>
      </c>
      <c r="W50" s="10">
        <v>1</v>
      </c>
      <c r="X50" s="74">
        <v>0</v>
      </c>
      <c r="Y50" s="74">
        <v>1</v>
      </c>
      <c r="Z50" s="74">
        <v>0</v>
      </c>
      <c r="AA50" s="74">
        <v>2</v>
      </c>
      <c r="AB50" s="74">
        <v>0</v>
      </c>
      <c r="AC50" s="74">
        <v>0</v>
      </c>
      <c r="AD50" s="74">
        <v>0</v>
      </c>
      <c r="AE50" s="74">
        <v>0</v>
      </c>
      <c r="AF50" s="74">
        <v>0</v>
      </c>
      <c r="AG50" s="90">
        <f t="shared" si="0"/>
        <v>8</v>
      </c>
      <c r="AH50" s="90">
        <f t="shared" si="1"/>
        <v>5</v>
      </c>
      <c r="AI50" s="90">
        <f t="shared" si="2"/>
        <v>3</v>
      </c>
    </row>
    <row r="51" spans="1:35" x14ac:dyDescent="0.35">
      <c r="A51" s="93"/>
      <c r="B51" s="95"/>
      <c r="C51" s="96">
        <v>45936</v>
      </c>
      <c r="D51" s="97">
        <v>8</v>
      </c>
      <c r="E51" s="97" t="s">
        <v>281</v>
      </c>
      <c r="F51" s="10">
        <v>0</v>
      </c>
      <c r="G51" s="10">
        <v>0</v>
      </c>
      <c r="H51" s="10">
        <v>0</v>
      </c>
      <c r="I51" s="10">
        <v>0</v>
      </c>
      <c r="J51" s="74">
        <v>0</v>
      </c>
      <c r="K51" s="74">
        <v>1</v>
      </c>
      <c r="L51" s="74">
        <v>0</v>
      </c>
      <c r="M51" s="74">
        <v>0</v>
      </c>
      <c r="N51" s="74">
        <v>0</v>
      </c>
      <c r="O51" s="74">
        <v>1</v>
      </c>
      <c r="P51" s="74">
        <v>0</v>
      </c>
      <c r="Q51" s="74">
        <v>0</v>
      </c>
      <c r="R51" s="74">
        <v>0</v>
      </c>
      <c r="S51" s="97" t="s">
        <v>282</v>
      </c>
      <c r="T51" s="10">
        <v>0</v>
      </c>
      <c r="U51" s="10">
        <v>0</v>
      </c>
      <c r="V51" s="10">
        <v>0</v>
      </c>
      <c r="W51" s="10">
        <v>0</v>
      </c>
      <c r="X51" s="74">
        <v>0</v>
      </c>
      <c r="Y51" s="74">
        <v>0</v>
      </c>
      <c r="Z51" s="74">
        <v>0</v>
      </c>
      <c r="AA51" s="74">
        <v>0</v>
      </c>
      <c r="AB51" s="74">
        <v>0</v>
      </c>
      <c r="AC51" s="74">
        <v>1</v>
      </c>
      <c r="AD51" s="74">
        <v>0</v>
      </c>
      <c r="AE51" s="74">
        <v>0</v>
      </c>
      <c r="AF51" s="74">
        <v>0</v>
      </c>
      <c r="AG51" s="90">
        <f t="shared" si="0"/>
        <v>3</v>
      </c>
      <c r="AH51" s="90">
        <f t="shared" si="1"/>
        <v>0</v>
      </c>
      <c r="AI51" s="90">
        <f t="shared" si="2"/>
        <v>3</v>
      </c>
    </row>
    <row r="52" spans="1:35" x14ac:dyDescent="0.35">
      <c r="A52" s="93"/>
      <c r="B52" s="95"/>
      <c r="C52" s="96">
        <v>45939</v>
      </c>
      <c r="D52" s="97">
        <v>8</v>
      </c>
      <c r="E52" s="97" t="s">
        <v>305</v>
      </c>
      <c r="F52" s="10">
        <v>4</v>
      </c>
      <c r="G52" s="10">
        <v>0</v>
      </c>
      <c r="H52" s="10">
        <v>0</v>
      </c>
      <c r="I52" s="10">
        <v>0</v>
      </c>
      <c r="J52" s="74">
        <v>0</v>
      </c>
      <c r="K52" s="74">
        <v>0</v>
      </c>
      <c r="L52" s="74">
        <v>0</v>
      </c>
      <c r="M52" s="74">
        <v>1</v>
      </c>
      <c r="N52" s="74">
        <v>0</v>
      </c>
      <c r="O52" s="74">
        <v>0</v>
      </c>
      <c r="P52" s="74">
        <v>0</v>
      </c>
      <c r="Q52" s="74">
        <v>0</v>
      </c>
      <c r="R52" s="74">
        <v>0</v>
      </c>
      <c r="S52" s="97" t="s">
        <v>304</v>
      </c>
      <c r="T52" s="10">
        <v>0</v>
      </c>
      <c r="U52" s="10">
        <v>0</v>
      </c>
      <c r="V52" s="10">
        <v>0</v>
      </c>
      <c r="W52" s="10">
        <v>0</v>
      </c>
      <c r="X52" s="74">
        <v>1</v>
      </c>
      <c r="Y52" s="74">
        <v>0</v>
      </c>
      <c r="Z52" s="74">
        <v>0</v>
      </c>
      <c r="AA52" s="74">
        <v>0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90">
        <f t="shared" si="0"/>
        <v>6</v>
      </c>
      <c r="AH52" s="90">
        <f t="shared" si="1"/>
        <v>4</v>
      </c>
      <c r="AI52" s="90">
        <f t="shared" si="2"/>
        <v>2</v>
      </c>
    </row>
    <row r="53" spans="1:35" x14ac:dyDescent="0.35">
      <c r="A53" s="93"/>
      <c r="B53" s="95"/>
      <c r="C53" s="96"/>
      <c r="D53" s="97"/>
      <c r="E53" s="97"/>
      <c r="S53" s="97"/>
      <c r="AG53" s="90"/>
      <c r="AH53" s="90"/>
      <c r="AI53" s="90"/>
    </row>
    <row r="54" spans="1:35" x14ac:dyDescent="0.35">
      <c r="A54" s="93">
        <v>4</v>
      </c>
      <c r="B54" s="95" t="s">
        <v>37</v>
      </c>
      <c r="C54" s="96">
        <v>45894</v>
      </c>
      <c r="D54" s="97" t="s">
        <v>55</v>
      </c>
      <c r="E54" s="97" t="s">
        <v>55</v>
      </c>
      <c r="F54" s="10">
        <v>0</v>
      </c>
      <c r="G54" s="10">
        <v>0</v>
      </c>
      <c r="H54" s="10">
        <v>0</v>
      </c>
      <c r="I54" s="10">
        <v>0</v>
      </c>
      <c r="J54" s="74">
        <v>0</v>
      </c>
      <c r="K54" s="74">
        <v>0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97" t="s">
        <v>55</v>
      </c>
      <c r="T54" s="10">
        <v>0</v>
      </c>
      <c r="U54" s="10">
        <v>0</v>
      </c>
      <c r="V54" s="10">
        <v>0</v>
      </c>
      <c r="W54" s="10">
        <v>0</v>
      </c>
      <c r="X54" s="74">
        <v>0</v>
      </c>
      <c r="Y54" s="74">
        <v>0</v>
      </c>
      <c r="Z54" s="74">
        <v>0</v>
      </c>
      <c r="AA54" s="74">
        <v>0</v>
      </c>
      <c r="AB54" s="74">
        <v>0</v>
      </c>
      <c r="AC54" s="74">
        <v>0</v>
      </c>
      <c r="AD54" s="74">
        <v>0</v>
      </c>
      <c r="AE54" s="74">
        <v>0</v>
      </c>
      <c r="AF54" s="74">
        <v>0</v>
      </c>
      <c r="AG54" s="90">
        <f t="shared" si="0"/>
        <v>0</v>
      </c>
      <c r="AH54" s="90">
        <f t="shared" si="1"/>
        <v>0</v>
      </c>
      <c r="AI54" s="90">
        <f t="shared" si="2"/>
        <v>0</v>
      </c>
    </row>
    <row r="55" spans="1:35" x14ac:dyDescent="0.35">
      <c r="A55" s="93"/>
      <c r="B55" s="95"/>
      <c r="C55" s="96">
        <v>45896</v>
      </c>
      <c r="D55" s="97" t="s">
        <v>55</v>
      </c>
      <c r="E55" s="97" t="s">
        <v>55</v>
      </c>
      <c r="F55" s="10">
        <v>0</v>
      </c>
      <c r="G55" s="10">
        <v>0</v>
      </c>
      <c r="H55" s="10">
        <v>0</v>
      </c>
      <c r="I55" s="10">
        <v>0</v>
      </c>
      <c r="J55" s="74">
        <v>0</v>
      </c>
      <c r="K55" s="74">
        <v>0</v>
      </c>
      <c r="L55" s="74">
        <v>0</v>
      </c>
      <c r="M55" s="74">
        <v>0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97" t="s">
        <v>55</v>
      </c>
      <c r="T55" s="10">
        <v>0</v>
      </c>
      <c r="U55" s="10">
        <v>0</v>
      </c>
      <c r="V55" s="10">
        <v>0</v>
      </c>
      <c r="W55" s="10">
        <v>0</v>
      </c>
      <c r="X55" s="74">
        <v>0</v>
      </c>
      <c r="Y55" s="74">
        <v>0</v>
      </c>
      <c r="Z55" s="74">
        <v>0</v>
      </c>
      <c r="AA55" s="74">
        <v>0</v>
      </c>
      <c r="AB55" s="74">
        <v>0</v>
      </c>
      <c r="AC55" s="74">
        <v>0</v>
      </c>
      <c r="AD55" s="74">
        <v>0</v>
      </c>
      <c r="AE55" s="74">
        <v>0</v>
      </c>
      <c r="AF55" s="74">
        <v>0</v>
      </c>
      <c r="AG55" s="90">
        <f t="shared" si="0"/>
        <v>0</v>
      </c>
      <c r="AH55" s="90">
        <f t="shared" si="1"/>
        <v>0</v>
      </c>
      <c r="AI55" s="90">
        <f t="shared" si="2"/>
        <v>0</v>
      </c>
    </row>
    <row r="56" spans="1:35" x14ac:dyDescent="0.35">
      <c r="A56" s="93"/>
      <c r="B56" s="95"/>
      <c r="C56" s="96">
        <v>45898</v>
      </c>
      <c r="D56" s="97" t="s">
        <v>55</v>
      </c>
      <c r="E56" s="97" t="s">
        <v>55</v>
      </c>
      <c r="F56" s="10">
        <v>0</v>
      </c>
      <c r="G56" s="10">
        <v>0</v>
      </c>
      <c r="H56" s="10">
        <v>0</v>
      </c>
      <c r="I56" s="10">
        <v>0</v>
      </c>
      <c r="J56" s="74">
        <v>0</v>
      </c>
      <c r="K56" s="74">
        <v>0</v>
      </c>
      <c r="L56" s="74">
        <v>0</v>
      </c>
      <c r="M56" s="74">
        <v>0</v>
      </c>
      <c r="N56" s="74">
        <v>0</v>
      </c>
      <c r="O56" s="74">
        <v>0</v>
      </c>
      <c r="P56" s="74">
        <v>0</v>
      </c>
      <c r="Q56" s="74">
        <v>0</v>
      </c>
      <c r="R56" s="74">
        <v>0</v>
      </c>
      <c r="S56" s="97" t="s">
        <v>55</v>
      </c>
      <c r="T56" s="10">
        <v>0</v>
      </c>
      <c r="U56" s="10">
        <v>0</v>
      </c>
      <c r="V56" s="10">
        <v>0</v>
      </c>
      <c r="W56" s="10">
        <v>0</v>
      </c>
      <c r="X56" s="74">
        <v>0</v>
      </c>
      <c r="Y56" s="74">
        <v>0</v>
      </c>
      <c r="Z56" s="74">
        <v>0</v>
      </c>
      <c r="AA56" s="74">
        <v>0</v>
      </c>
      <c r="AB56" s="74">
        <v>0</v>
      </c>
      <c r="AC56" s="74">
        <v>0</v>
      </c>
      <c r="AD56" s="74">
        <v>0</v>
      </c>
      <c r="AE56" s="74">
        <v>0</v>
      </c>
      <c r="AF56" s="74">
        <v>0</v>
      </c>
      <c r="AG56" s="90">
        <f t="shared" si="0"/>
        <v>0</v>
      </c>
      <c r="AH56" s="90">
        <f t="shared" si="1"/>
        <v>0</v>
      </c>
      <c r="AI56" s="90">
        <f t="shared" si="2"/>
        <v>0</v>
      </c>
    </row>
    <row r="57" spans="1:35" x14ac:dyDescent="0.35">
      <c r="A57" s="93"/>
      <c r="B57" s="95"/>
      <c r="C57" s="96">
        <v>45901</v>
      </c>
      <c r="D57" s="97">
        <v>8</v>
      </c>
      <c r="E57" s="97" t="s">
        <v>86</v>
      </c>
      <c r="F57" s="10">
        <v>0</v>
      </c>
      <c r="G57" s="10">
        <v>2</v>
      </c>
      <c r="H57" s="10">
        <v>0</v>
      </c>
      <c r="I57" s="10">
        <v>0</v>
      </c>
      <c r="J57" s="74">
        <v>0</v>
      </c>
      <c r="K57" s="74">
        <v>1</v>
      </c>
      <c r="L57" s="74">
        <v>0</v>
      </c>
      <c r="M57" s="74">
        <v>0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97" t="s">
        <v>85</v>
      </c>
      <c r="T57" s="10">
        <v>5</v>
      </c>
      <c r="U57" s="10">
        <v>2</v>
      </c>
      <c r="V57" s="10">
        <v>0</v>
      </c>
      <c r="W57" s="10">
        <v>0</v>
      </c>
      <c r="X57" s="74">
        <v>0</v>
      </c>
      <c r="Y57" s="74">
        <v>0</v>
      </c>
      <c r="Z57" s="74">
        <v>0</v>
      </c>
      <c r="AA57" s="74">
        <v>0</v>
      </c>
      <c r="AB57" s="74">
        <v>0</v>
      </c>
      <c r="AC57" s="74">
        <v>0</v>
      </c>
      <c r="AD57" s="74">
        <v>0</v>
      </c>
      <c r="AE57" s="74">
        <v>0</v>
      </c>
      <c r="AF57" s="74">
        <v>0</v>
      </c>
      <c r="AG57" s="90">
        <f t="shared" si="0"/>
        <v>10</v>
      </c>
      <c r="AH57" s="90">
        <f t="shared" si="1"/>
        <v>9</v>
      </c>
      <c r="AI57" s="90">
        <f t="shared" si="2"/>
        <v>1</v>
      </c>
    </row>
    <row r="58" spans="1:35" x14ac:dyDescent="0.35">
      <c r="A58" s="93"/>
      <c r="B58" s="95"/>
      <c r="C58" s="96">
        <v>45903</v>
      </c>
      <c r="D58" s="97">
        <v>8</v>
      </c>
      <c r="E58" s="97" t="s">
        <v>99</v>
      </c>
      <c r="F58" s="10">
        <v>0</v>
      </c>
      <c r="G58" s="10">
        <v>0</v>
      </c>
      <c r="H58" s="10">
        <v>0</v>
      </c>
      <c r="I58" s="10">
        <v>0</v>
      </c>
      <c r="J58" s="74">
        <v>0</v>
      </c>
      <c r="K58" s="74">
        <v>0</v>
      </c>
      <c r="L58" s="74">
        <v>0</v>
      </c>
      <c r="M58" s="74">
        <v>1</v>
      </c>
      <c r="N58" s="74">
        <v>0</v>
      </c>
      <c r="O58" s="74">
        <v>0</v>
      </c>
      <c r="P58" s="74">
        <v>0</v>
      </c>
      <c r="Q58" s="74">
        <v>0</v>
      </c>
      <c r="R58" s="74">
        <v>0</v>
      </c>
      <c r="S58" s="97" t="s">
        <v>100</v>
      </c>
      <c r="T58" s="10">
        <v>6</v>
      </c>
      <c r="U58" s="10">
        <v>0</v>
      </c>
      <c r="V58" s="10">
        <v>0</v>
      </c>
      <c r="W58" s="10">
        <v>0</v>
      </c>
      <c r="X58" s="74">
        <v>0</v>
      </c>
      <c r="Y58" s="74">
        <v>0</v>
      </c>
      <c r="Z58" s="74">
        <v>0</v>
      </c>
      <c r="AA58" s="74">
        <v>0</v>
      </c>
      <c r="AB58" s="74">
        <v>0</v>
      </c>
      <c r="AC58" s="74">
        <v>0</v>
      </c>
      <c r="AD58" s="74">
        <v>0</v>
      </c>
      <c r="AE58" s="74">
        <v>0</v>
      </c>
      <c r="AF58" s="74">
        <v>0</v>
      </c>
      <c r="AG58" s="90">
        <f t="shared" si="0"/>
        <v>7</v>
      </c>
      <c r="AH58" s="90">
        <f t="shared" si="1"/>
        <v>6</v>
      </c>
      <c r="AI58" s="90">
        <f t="shared" si="2"/>
        <v>1</v>
      </c>
    </row>
    <row r="59" spans="1:35" x14ac:dyDescent="0.35">
      <c r="A59" s="93"/>
      <c r="B59" s="95"/>
      <c r="C59" s="96">
        <v>45905</v>
      </c>
      <c r="D59" s="97">
        <v>8</v>
      </c>
      <c r="E59" s="97" t="s">
        <v>112</v>
      </c>
      <c r="F59" s="10">
        <v>0</v>
      </c>
      <c r="G59" s="10">
        <v>0</v>
      </c>
      <c r="H59" s="10">
        <v>0</v>
      </c>
      <c r="I59" s="10">
        <v>0</v>
      </c>
      <c r="J59" s="74">
        <v>0</v>
      </c>
      <c r="K59" s="74">
        <v>0</v>
      </c>
      <c r="L59" s="74">
        <v>0</v>
      </c>
      <c r="M59" s="74">
        <v>0</v>
      </c>
      <c r="N59" s="74">
        <v>0</v>
      </c>
      <c r="O59" s="74">
        <v>1</v>
      </c>
      <c r="P59" s="74">
        <v>0</v>
      </c>
      <c r="Q59" s="74">
        <v>0</v>
      </c>
      <c r="R59" s="74">
        <v>0</v>
      </c>
      <c r="S59" s="97" t="s">
        <v>110</v>
      </c>
      <c r="T59" s="10">
        <v>10</v>
      </c>
      <c r="U59" s="10">
        <v>2</v>
      </c>
      <c r="V59" s="10">
        <v>0</v>
      </c>
      <c r="W59" s="10">
        <v>0</v>
      </c>
      <c r="X59" s="74">
        <v>0</v>
      </c>
      <c r="Y59" s="74">
        <v>0</v>
      </c>
      <c r="Z59" s="74">
        <v>0</v>
      </c>
      <c r="AA59" s="74">
        <v>0</v>
      </c>
      <c r="AB59" s="74">
        <v>0</v>
      </c>
      <c r="AC59" s="74">
        <v>0</v>
      </c>
      <c r="AD59" s="74">
        <v>0</v>
      </c>
      <c r="AE59" s="74">
        <v>0</v>
      </c>
      <c r="AF59" s="74">
        <v>0</v>
      </c>
      <c r="AG59" s="90">
        <f t="shared" si="0"/>
        <v>13</v>
      </c>
      <c r="AH59" s="90">
        <f t="shared" si="1"/>
        <v>12</v>
      </c>
      <c r="AI59" s="90">
        <f t="shared" si="2"/>
        <v>1</v>
      </c>
    </row>
    <row r="60" spans="1:35" x14ac:dyDescent="0.35">
      <c r="A60" s="93"/>
      <c r="B60" s="95"/>
      <c r="C60" s="96">
        <v>45908</v>
      </c>
      <c r="D60" s="97">
        <v>8</v>
      </c>
      <c r="E60" s="97" t="s">
        <v>126</v>
      </c>
      <c r="F60" s="10">
        <v>6</v>
      </c>
      <c r="G60" s="10">
        <v>3</v>
      </c>
      <c r="H60" s="10">
        <v>0</v>
      </c>
      <c r="I60" s="10">
        <v>0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97" t="s">
        <v>98</v>
      </c>
      <c r="T60" s="10">
        <v>4</v>
      </c>
      <c r="U60" s="10">
        <v>0</v>
      </c>
      <c r="V60" s="10">
        <v>0</v>
      </c>
      <c r="W60" s="10">
        <v>0</v>
      </c>
      <c r="X60" s="74">
        <v>0</v>
      </c>
      <c r="Y60" s="74">
        <v>0</v>
      </c>
      <c r="Z60" s="74">
        <v>0</v>
      </c>
      <c r="AA60" s="74">
        <v>0</v>
      </c>
      <c r="AB60" s="74">
        <v>0</v>
      </c>
      <c r="AC60" s="74">
        <v>0</v>
      </c>
      <c r="AD60" s="74">
        <v>0</v>
      </c>
      <c r="AE60" s="74">
        <v>0</v>
      </c>
      <c r="AF60" s="74">
        <v>0</v>
      </c>
      <c r="AG60" s="90">
        <f t="shared" si="0"/>
        <v>13</v>
      </c>
      <c r="AH60" s="90">
        <f t="shared" si="1"/>
        <v>13</v>
      </c>
      <c r="AI60" s="90">
        <f t="shared" si="2"/>
        <v>0</v>
      </c>
    </row>
    <row r="61" spans="1:35" x14ac:dyDescent="0.35">
      <c r="A61" s="93"/>
      <c r="B61" s="95"/>
      <c r="C61" s="96">
        <v>45910</v>
      </c>
      <c r="D61" s="97">
        <v>8</v>
      </c>
      <c r="E61" s="97" t="s">
        <v>489</v>
      </c>
      <c r="F61" s="10">
        <v>5</v>
      </c>
      <c r="G61" s="10">
        <v>0</v>
      </c>
      <c r="H61" s="10">
        <v>0</v>
      </c>
      <c r="I61" s="10">
        <v>1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97" t="s">
        <v>133</v>
      </c>
      <c r="T61" s="10">
        <v>5</v>
      </c>
      <c r="U61" s="10">
        <v>0</v>
      </c>
      <c r="V61" s="10">
        <v>0</v>
      </c>
      <c r="W61" s="10">
        <v>0</v>
      </c>
      <c r="X61" s="74">
        <v>0</v>
      </c>
      <c r="Y61" s="74">
        <v>0</v>
      </c>
      <c r="Z61" s="74">
        <v>0</v>
      </c>
      <c r="AA61" s="74">
        <v>0</v>
      </c>
      <c r="AB61" s="74">
        <v>0</v>
      </c>
      <c r="AC61" s="74">
        <v>0</v>
      </c>
      <c r="AD61" s="74">
        <v>0</v>
      </c>
      <c r="AE61" s="74">
        <v>0</v>
      </c>
      <c r="AF61" s="74">
        <v>0</v>
      </c>
      <c r="AG61" s="90">
        <f t="shared" si="0"/>
        <v>11</v>
      </c>
      <c r="AH61" s="90">
        <f t="shared" si="1"/>
        <v>11</v>
      </c>
      <c r="AI61" s="90">
        <f t="shared" si="2"/>
        <v>0</v>
      </c>
    </row>
    <row r="62" spans="1:35" x14ac:dyDescent="0.35">
      <c r="A62" s="93"/>
      <c r="B62" s="95"/>
      <c r="C62" s="96">
        <v>45912</v>
      </c>
      <c r="D62" s="97">
        <v>8</v>
      </c>
      <c r="E62" s="97" t="s">
        <v>509</v>
      </c>
      <c r="F62" s="10">
        <v>0</v>
      </c>
      <c r="G62" s="10">
        <v>0</v>
      </c>
      <c r="H62" s="10">
        <v>0</v>
      </c>
      <c r="I62" s="10">
        <v>0</v>
      </c>
      <c r="J62" s="74">
        <v>0</v>
      </c>
      <c r="K62" s="74">
        <v>0</v>
      </c>
      <c r="L62" s="74">
        <v>0</v>
      </c>
      <c r="M62" s="74">
        <v>1</v>
      </c>
      <c r="N62" s="74">
        <v>0</v>
      </c>
      <c r="O62" s="74">
        <v>0</v>
      </c>
      <c r="P62" s="74">
        <v>0</v>
      </c>
      <c r="Q62" s="74">
        <v>0</v>
      </c>
      <c r="R62" s="74">
        <v>0</v>
      </c>
      <c r="S62" s="97" t="s">
        <v>55</v>
      </c>
      <c r="T62" s="10">
        <v>0</v>
      </c>
      <c r="U62" s="10">
        <v>0</v>
      </c>
      <c r="V62" s="10">
        <v>0</v>
      </c>
      <c r="W62" s="10">
        <v>0</v>
      </c>
      <c r="X62" s="74">
        <v>0</v>
      </c>
      <c r="Y62" s="74">
        <v>0</v>
      </c>
      <c r="Z62" s="74">
        <v>0</v>
      </c>
      <c r="AA62" s="74">
        <v>0</v>
      </c>
      <c r="AB62" s="74">
        <v>0</v>
      </c>
      <c r="AC62" s="74">
        <v>0</v>
      </c>
      <c r="AD62" s="74">
        <v>0</v>
      </c>
      <c r="AE62" s="74">
        <v>0</v>
      </c>
      <c r="AF62" s="74">
        <v>0</v>
      </c>
      <c r="AG62" s="90">
        <f t="shared" si="0"/>
        <v>1</v>
      </c>
      <c r="AH62" s="90">
        <f t="shared" si="1"/>
        <v>0</v>
      </c>
      <c r="AI62" s="90">
        <f t="shared" si="2"/>
        <v>1</v>
      </c>
    </row>
    <row r="63" spans="1:35" x14ac:dyDescent="0.35">
      <c r="A63" s="93"/>
      <c r="B63" s="95"/>
      <c r="C63" s="96">
        <v>45915</v>
      </c>
      <c r="D63" s="97">
        <v>8</v>
      </c>
      <c r="E63" s="97" t="s">
        <v>166</v>
      </c>
      <c r="F63" s="10">
        <v>0</v>
      </c>
      <c r="G63" s="10">
        <v>0</v>
      </c>
      <c r="H63" s="10">
        <v>0</v>
      </c>
      <c r="I63" s="10">
        <v>1</v>
      </c>
      <c r="J63" s="74">
        <v>0</v>
      </c>
      <c r="K63" s="74">
        <v>0</v>
      </c>
      <c r="L63" s="74">
        <v>0</v>
      </c>
      <c r="M63" s="74">
        <v>1</v>
      </c>
      <c r="N63" s="74">
        <v>0</v>
      </c>
      <c r="O63" s="74">
        <v>0</v>
      </c>
      <c r="P63" s="74">
        <v>0</v>
      </c>
      <c r="Q63" s="74">
        <v>0</v>
      </c>
      <c r="R63" s="74">
        <v>0</v>
      </c>
      <c r="S63" s="97" t="s">
        <v>131</v>
      </c>
      <c r="T63" s="10">
        <v>3</v>
      </c>
      <c r="U63" s="10">
        <v>1</v>
      </c>
      <c r="V63" s="10">
        <v>0</v>
      </c>
      <c r="W63" s="10">
        <v>0</v>
      </c>
      <c r="X63" s="74">
        <v>0</v>
      </c>
      <c r="Y63" s="74">
        <v>0</v>
      </c>
      <c r="Z63" s="74">
        <v>0</v>
      </c>
      <c r="AA63" s="74">
        <v>0</v>
      </c>
      <c r="AB63" s="74">
        <v>0</v>
      </c>
      <c r="AC63" s="74">
        <v>0</v>
      </c>
      <c r="AD63" s="74">
        <v>0</v>
      </c>
      <c r="AE63" s="74">
        <v>0</v>
      </c>
      <c r="AF63" s="74">
        <v>0</v>
      </c>
      <c r="AG63" s="90">
        <f t="shared" si="0"/>
        <v>6</v>
      </c>
      <c r="AH63" s="90">
        <f t="shared" si="1"/>
        <v>5</v>
      </c>
      <c r="AI63" s="90">
        <f t="shared" si="2"/>
        <v>1</v>
      </c>
    </row>
    <row r="64" spans="1:35" x14ac:dyDescent="0.35">
      <c r="A64" s="93"/>
      <c r="B64" s="95"/>
      <c r="C64" s="96">
        <v>45918</v>
      </c>
      <c r="D64" s="97">
        <v>8</v>
      </c>
      <c r="E64" s="97" t="s">
        <v>187</v>
      </c>
      <c r="F64" s="10">
        <v>0</v>
      </c>
      <c r="G64" s="10">
        <v>0</v>
      </c>
      <c r="H64" s="10">
        <v>0</v>
      </c>
      <c r="I64" s="10">
        <v>0</v>
      </c>
      <c r="J64" s="74">
        <v>0</v>
      </c>
      <c r="K64" s="74">
        <v>1</v>
      </c>
      <c r="L64" s="74">
        <v>0</v>
      </c>
      <c r="M64" s="74">
        <v>1</v>
      </c>
      <c r="N64" s="74">
        <v>0</v>
      </c>
      <c r="O64" s="74">
        <v>0</v>
      </c>
      <c r="P64" s="74">
        <v>0</v>
      </c>
      <c r="Q64" s="74">
        <v>0</v>
      </c>
      <c r="R64" s="74">
        <v>0</v>
      </c>
      <c r="S64" s="97" t="s">
        <v>186</v>
      </c>
      <c r="T64" s="10">
        <v>1</v>
      </c>
      <c r="U64" s="10">
        <v>0</v>
      </c>
      <c r="V64" s="10">
        <v>0</v>
      </c>
      <c r="W64" s="10">
        <v>0</v>
      </c>
      <c r="X64" s="74">
        <v>0</v>
      </c>
      <c r="Y64" s="74">
        <v>0</v>
      </c>
      <c r="Z64" s="74">
        <v>0</v>
      </c>
      <c r="AA64" s="74">
        <v>0</v>
      </c>
      <c r="AB64" s="74">
        <v>0</v>
      </c>
      <c r="AC64" s="74">
        <v>0</v>
      </c>
      <c r="AD64" s="74">
        <v>0</v>
      </c>
      <c r="AE64" s="74">
        <v>0</v>
      </c>
      <c r="AF64" s="74">
        <v>0</v>
      </c>
      <c r="AG64" s="90">
        <f t="shared" si="0"/>
        <v>3</v>
      </c>
      <c r="AH64" s="90">
        <f t="shared" si="1"/>
        <v>1</v>
      </c>
      <c r="AI64" s="90">
        <f t="shared" si="2"/>
        <v>2</v>
      </c>
    </row>
    <row r="65" spans="1:35" x14ac:dyDescent="0.35">
      <c r="A65" s="93"/>
      <c r="B65" s="95"/>
      <c r="C65" s="96">
        <v>45922</v>
      </c>
      <c r="D65" s="97">
        <v>8</v>
      </c>
      <c r="E65" s="97" t="s">
        <v>510</v>
      </c>
      <c r="F65" s="10">
        <v>1</v>
      </c>
      <c r="G65" s="10">
        <v>1</v>
      </c>
      <c r="H65" s="10">
        <v>0</v>
      </c>
      <c r="I65" s="10">
        <v>1</v>
      </c>
      <c r="J65" s="74">
        <v>0</v>
      </c>
      <c r="K65" s="74">
        <v>0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0</v>
      </c>
      <c r="R65" s="74">
        <v>0</v>
      </c>
      <c r="S65" s="97" t="s">
        <v>98</v>
      </c>
      <c r="T65" s="10">
        <v>4</v>
      </c>
      <c r="U65" s="10">
        <v>0</v>
      </c>
      <c r="V65" s="10">
        <v>0</v>
      </c>
      <c r="W65" s="10">
        <v>0</v>
      </c>
      <c r="X65" s="74">
        <v>0</v>
      </c>
      <c r="Y65" s="74">
        <v>0</v>
      </c>
      <c r="Z65" s="74">
        <v>0</v>
      </c>
      <c r="AA65" s="74">
        <v>0</v>
      </c>
      <c r="AB65" s="74">
        <v>0</v>
      </c>
      <c r="AC65" s="74">
        <v>0</v>
      </c>
      <c r="AD65" s="74">
        <v>0</v>
      </c>
      <c r="AE65" s="74">
        <v>0</v>
      </c>
      <c r="AF65" s="74">
        <v>0</v>
      </c>
      <c r="AG65" s="90">
        <f t="shared" si="0"/>
        <v>7</v>
      </c>
      <c r="AH65" s="90">
        <f t="shared" si="1"/>
        <v>7</v>
      </c>
      <c r="AI65" s="90">
        <f t="shared" si="2"/>
        <v>0</v>
      </c>
    </row>
    <row r="66" spans="1:35" x14ac:dyDescent="0.35">
      <c r="A66" s="93"/>
      <c r="B66" s="95"/>
      <c r="C66" s="96">
        <v>45925</v>
      </c>
      <c r="D66" s="97">
        <v>8</v>
      </c>
      <c r="E66" s="97" t="s">
        <v>237</v>
      </c>
      <c r="F66" s="10">
        <v>0</v>
      </c>
      <c r="G66" s="10">
        <v>0</v>
      </c>
      <c r="H66" s="10">
        <v>0</v>
      </c>
      <c r="I66" s="10">
        <v>0</v>
      </c>
      <c r="J66" s="74">
        <v>0</v>
      </c>
      <c r="K66" s="74">
        <v>0</v>
      </c>
      <c r="L66" s="74">
        <v>0</v>
      </c>
      <c r="M66" s="74">
        <v>0</v>
      </c>
      <c r="N66" s="74">
        <v>1</v>
      </c>
      <c r="O66" s="74">
        <v>0</v>
      </c>
      <c r="P66" s="74">
        <v>0</v>
      </c>
      <c r="Q66" s="74">
        <v>0</v>
      </c>
      <c r="R66" s="74">
        <v>0</v>
      </c>
      <c r="S66" s="97" t="s">
        <v>236</v>
      </c>
      <c r="T66" s="10">
        <v>3</v>
      </c>
      <c r="U66" s="10">
        <v>0</v>
      </c>
      <c r="V66" s="10">
        <v>0</v>
      </c>
      <c r="W66" s="10">
        <v>1</v>
      </c>
      <c r="X66" s="74">
        <v>0</v>
      </c>
      <c r="Y66" s="74">
        <v>0</v>
      </c>
      <c r="Z66" s="74">
        <v>0</v>
      </c>
      <c r="AA66" s="74">
        <v>0</v>
      </c>
      <c r="AB66" s="74">
        <v>0</v>
      </c>
      <c r="AC66" s="74">
        <v>0</v>
      </c>
      <c r="AD66" s="74">
        <v>0</v>
      </c>
      <c r="AE66" s="74">
        <v>0</v>
      </c>
      <c r="AF66" s="74">
        <v>0</v>
      </c>
      <c r="AG66" s="90">
        <f t="shared" si="0"/>
        <v>5</v>
      </c>
      <c r="AH66" s="90">
        <f t="shared" si="1"/>
        <v>4</v>
      </c>
      <c r="AI66" s="90">
        <f t="shared" si="2"/>
        <v>1</v>
      </c>
    </row>
    <row r="67" spans="1:35" x14ac:dyDescent="0.35">
      <c r="A67" s="93"/>
      <c r="B67" s="95"/>
      <c r="C67" s="96">
        <v>45930</v>
      </c>
      <c r="D67" s="97">
        <v>8</v>
      </c>
      <c r="E67" s="97" t="s">
        <v>286</v>
      </c>
      <c r="F67" s="10">
        <v>0</v>
      </c>
      <c r="G67" s="10">
        <v>0</v>
      </c>
      <c r="H67" s="10">
        <v>0</v>
      </c>
      <c r="I67" s="10">
        <v>1</v>
      </c>
      <c r="J67" s="74">
        <v>0</v>
      </c>
      <c r="K67" s="74">
        <v>1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74">
        <v>0</v>
      </c>
      <c r="R67" s="74">
        <v>0</v>
      </c>
      <c r="S67" s="97" t="s">
        <v>124</v>
      </c>
      <c r="T67" s="10">
        <v>4</v>
      </c>
      <c r="U67" s="10">
        <v>1</v>
      </c>
      <c r="V67" s="10">
        <v>0</v>
      </c>
      <c r="W67" s="10">
        <v>0</v>
      </c>
      <c r="X67" s="74">
        <v>0</v>
      </c>
      <c r="Y67" s="74">
        <v>0</v>
      </c>
      <c r="Z67" s="74">
        <v>0</v>
      </c>
      <c r="AA67" s="74">
        <v>0</v>
      </c>
      <c r="AB67" s="74">
        <v>0</v>
      </c>
      <c r="AC67" s="74">
        <v>0</v>
      </c>
      <c r="AD67" s="74">
        <v>0</v>
      </c>
      <c r="AE67" s="74">
        <v>0</v>
      </c>
      <c r="AF67" s="74">
        <v>0</v>
      </c>
      <c r="AG67" s="90">
        <f t="shared" si="0"/>
        <v>7</v>
      </c>
      <c r="AH67" s="90">
        <f t="shared" ref="AH67:AH129" si="3">F67+G67+H67+I67+T67+U67+V67+W67</f>
        <v>6</v>
      </c>
      <c r="AI67" s="90">
        <f t="shared" si="2"/>
        <v>1</v>
      </c>
    </row>
    <row r="68" spans="1:35" x14ac:dyDescent="0.35">
      <c r="A68" s="93"/>
      <c r="B68" s="95"/>
      <c r="C68" s="96">
        <v>45936</v>
      </c>
      <c r="D68" s="97">
        <v>8</v>
      </c>
      <c r="E68" s="97" t="s">
        <v>287</v>
      </c>
      <c r="F68" s="10">
        <v>1</v>
      </c>
      <c r="G68" s="10">
        <v>0</v>
      </c>
      <c r="H68" s="10">
        <v>0</v>
      </c>
      <c r="I68" s="10">
        <v>0</v>
      </c>
      <c r="J68" s="74">
        <v>0</v>
      </c>
      <c r="K68" s="74">
        <v>1</v>
      </c>
      <c r="L68" s="74">
        <v>0</v>
      </c>
      <c r="M68" s="74">
        <v>0</v>
      </c>
      <c r="N68" s="74">
        <v>0</v>
      </c>
      <c r="O68" s="74">
        <v>1</v>
      </c>
      <c r="P68" s="74">
        <v>0</v>
      </c>
      <c r="Q68" s="74">
        <v>0</v>
      </c>
      <c r="R68" s="74">
        <v>0</v>
      </c>
      <c r="S68" s="97" t="s">
        <v>124</v>
      </c>
      <c r="T68" s="10">
        <v>4</v>
      </c>
      <c r="U68" s="10">
        <v>1</v>
      </c>
      <c r="V68" s="10">
        <v>0</v>
      </c>
      <c r="W68" s="10">
        <v>0</v>
      </c>
      <c r="X68" s="74">
        <v>0</v>
      </c>
      <c r="Y68" s="74">
        <v>0</v>
      </c>
      <c r="Z68" s="74">
        <v>0</v>
      </c>
      <c r="AA68" s="74">
        <v>0</v>
      </c>
      <c r="AB68" s="74">
        <v>0</v>
      </c>
      <c r="AC68" s="74">
        <v>0</v>
      </c>
      <c r="AD68" s="74">
        <v>0</v>
      </c>
      <c r="AE68" s="74">
        <v>0</v>
      </c>
      <c r="AF68" s="74">
        <v>0</v>
      </c>
      <c r="AG68" s="90">
        <f t="shared" ref="AG68:AG130" si="4">F68+G68+H68+I68+J68+K68+L68+M68+N68+O68+P68+Q68+R68+T68+U68+V68+W68+X68+Y68+Z68+AA68+AB68+AC68+AD68+AE68+AF68</f>
        <v>8</v>
      </c>
      <c r="AH68" s="90">
        <f t="shared" si="3"/>
        <v>6</v>
      </c>
      <c r="AI68" s="90">
        <f t="shared" ref="AI68:AI130" si="5">J68+K68+L68+M68+N68+O68+P68+Q68+R68+X68+Y68+Z68+AA68+AB68+AC68+AD68+AE68+AF68</f>
        <v>2</v>
      </c>
    </row>
    <row r="69" spans="1:35" x14ac:dyDescent="0.35">
      <c r="A69" s="93"/>
      <c r="B69" s="95"/>
      <c r="C69" s="96"/>
      <c r="D69" s="97"/>
      <c r="E69" s="97"/>
      <c r="S69" s="97"/>
      <c r="AG69" s="90"/>
      <c r="AH69" s="90"/>
      <c r="AI69" s="90"/>
    </row>
    <row r="70" spans="1:35" x14ac:dyDescent="0.35">
      <c r="A70" s="93">
        <v>5</v>
      </c>
      <c r="B70" s="95" t="s">
        <v>38</v>
      </c>
      <c r="C70" s="96">
        <v>45894</v>
      </c>
      <c r="D70" s="97" t="s">
        <v>55</v>
      </c>
      <c r="E70" s="97" t="s">
        <v>55</v>
      </c>
      <c r="F70" s="10">
        <v>0</v>
      </c>
      <c r="G70" s="10">
        <v>0</v>
      </c>
      <c r="H70" s="10">
        <v>0</v>
      </c>
      <c r="I70" s="10">
        <v>0</v>
      </c>
      <c r="J70" s="74">
        <v>0</v>
      </c>
      <c r="K70" s="74">
        <v>0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97" t="s">
        <v>55</v>
      </c>
      <c r="T70" s="10">
        <v>0</v>
      </c>
      <c r="U70" s="10">
        <v>0</v>
      </c>
      <c r="V70" s="10">
        <v>0</v>
      </c>
      <c r="W70" s="10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90">
        <f t="shared" si="4"/>
        <v>0</v>
      </c>
      <c r="AH70" s="90">
        <f t="shared" si="3"/>
        <v>0</v>
      </c>
      <c r="AI70" s="90">
        <f t="shared" si="5"/>
        <v>0</v>
      </c>
    </row>
    <row r="71" spans="1:35" x14ac:dyDescent="0.35">
      <c r="A71" s="93"/>
      <c r="B71" s="95"/>
      <c r="C71" s="96">
        <v>45896</v>
      </c>
      <c r="D71" s="97" t="s">
        <v>55</v>
      </c>
      <c r="E71" s="97" t="s">
        <v>55</v>
      </c>
      <c r="F71" s="10">
        <v>0</v>
      </c>
      <c r="G71" s="10">
        <v>0</v>
      </c>
      <c r="H71" s="10">
        <v>0</v>
      </c>
      <c r="I71" s="10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97" t="s">
        <v>55</v>
      </c>
      <c r="T71" s="10">
        <v>0</v>
      </c>
      <c r="U71" s="10">
        <v>0</v>
      </c>
      <c r="V71" s="10">
        <v>0</v>
      </c>
      <c r="W71" s="10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0</v>
      </c>
      <c r="AD71" s="74">
        <v>0</v>
      </c>
      <c r="AE71" s="74">
        <v>0</v>
      </c>
      <c r="AF71" s="74">
        <v>0</v>
      </c>
      <c r="AG71" s="90">
        <f t="shared" si="4"/>
        <v>0</v>
      </c>
      <c r="AH71" s="90">
        <f t="shared" si="3"/>
        <v>0</v>
      </c>
      <c r="AI71" s="90">
        <f t="shared" si="5"/>
        <v>0</v>
      </c>
    </row>
    <row r="72" spans="1:35" x14ac:dyDescent="0.35">
      <c r="A72" s="93"/>
      <c r="B72" s="95"/>
      <c r="C72" s="96">
        <v>45898</v>
      </c>
      <c r="D72" s="97" t="s">
        <v>55</v>
      </c>
      <c r="E72" s="97" t="s">
        <v>55</v>
      </c>
      <c r="F72" s="10">
        <v>0</v>
      </c>
      <c r="G72" s="10">
        <v>0</v>
      </c>
      <c r="H72" s="10">
        <v>0</v>
      </c>
      <c r="I72" s="10">
        <v>0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97" t="s">
        <v>55</v>
      </c>
      <c r="T72" s="10">
        <v>0</v>
      </c>
      <c r="U72" s="10">
        <v>0</v>
      </c>
      <c r="V72" s="10">
        <v>0</v>
      </c>
      <c r="W72" s="10">
        <v>0</v>
      </c>
      <c r="X72" s="74">
        <v>0</v>
      </c>
      <c r="Y72" s="74">
        <v>0</v>
      </c>
      <c r="Z72" s="74">
        <v>0</v>
      </c>
      <c r="AA72" s="74">
        <v>0</v>
      </c>
      <c r="AB72" s="74">
        <v>0</v>
      </c>
      <c r="AC72" s="74">
        <v>0</v>
      </c>
      <c r="AD72" s="74">
        <v>0</v>
      </c>
      <c r="AE72" s="74">
        <v>0</v>
      </c>
      <c r="AF72" s="74">
        <v>0</v>
      </c>
      <c r="AG72" s="90">
        <f t="shared" si="4"/>
        <v>0</v>
      </c>
      <c r="AH72" s="90">
        <f t="shared" si="3"/>
        <v>0</v>
      </c>
      <c r="AI72" s="90">
        <f t="shared" si="5"/>
        <v>0</v>
      </c>
    </row>
    <row r="73" spans="1:35" x14ac:dyDescent="0.35">
      <c r="A73" s="93"/>
      <c r="B73" s="95"/>
      <c r="C73" s="96">
        <v>45901</v>
      </c>
      <c r="D73" s="97">
        <v>7</v>
      </c>
      <c r="E73" s="97" t="s">
        <v>81</v>
      </c>
      <c r="F73" s="10">
        <v>0</v>
      </c>
      <c r="G73" s="10">
        <v>1</v>
      </c>
      <c r="H73" s="10">
        <v>0</v>
      </c>
      <c r="I73" s="10">
        <v>0</v>
      </c>
      <c r="J73" s="74">
        <v>0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97" t="s">
        <v>82</v>
      </c>
      <c r="T73" s="10">
        <v>3</v>
      </c>
      <c r="U73" s="10">
        <v>0</v>
      </c>
      <c r="V73" s="10">
        <v>1</v>
      </c>
      <c r="W73" s="10">
        <v>0</v>
      </c>
      <c r="X73" s="74">
        <v>0</v>
      </c>
      <c r="Y73" s="74">
        <v>0</v>
      </c>
      <c r="Z73" s="74">
        <v>0</v>
      </c>
      <c r="AA73" s="74">
        <v>0</v>
      </c>
      <c r="AB73" s="74">
        <v>0</v>
      </c>
      <c r="AC73" s="74">
        <v>0</v>
      </c>
      <c r="AD73" s="74">
        <v>0</v>
      </c>
      <c r="AE73" s="74">
        <v>0</v>
      </c>
      <c r="AF73" s="74">
        <v>0</v>
      </c>
      <c r="AG73" s="90">
        <f t="shared" si="4"/>
        <v>5</v>
      </c>
      <c r="AH73" s="90">
        <f t="shared" si="3"/>
        <v>5</v>
      </c>
      <c r="AI73" s="90">
        <f t="shared" si="5"/>
        <v>0</v>
      </c>
    </row>
    <row r="74" spans="1:35" x14ac:dyDescent="0.35">
      <c r="A74" s="93"/>
      <c r="B74" s="95"/>
      <c r="C74" s="96">
        <v>45903</v>
      </c>
      <c r="D74" s="97">
        <v>7</v>
      </c>
      <c r="E74" s="97" t="s">
        <v>93</v>
      </c>
      <c r="F74" s="10">
        <v>3</v>
      </c>
      <c r="G74" s="10">
        <v>2</v>
      </c>
      <c r="H74" s="10">
        <v>0</v>
      </c>
      <c r="I74" s="10">
        <v>1</v>
      </c>
      <c r="J74" s="74">
        <v>0</v>
      </c>
      <c r="K74" s="74">
        <v>0</v>
      </c>
      <c r="L74" s="74">
        <v>0</v>
      </c>
      <c r="M74" s="74">
        <v>0</v>
      </c>
      <c r="N74" s="74">
        <v>0</v>
      </c>
      <c r="O74" s="74">
        <v>0</v>
      </c>
      <c r="P74" s="74">
        <v>0</v>
      </c>
      <c r="Q74" s="74">
        <v>0</v>
      </c>
      <c r="R74" s="74">
        <v>0</v>
      </c>
      <c r="S74" s="97" t="s">
        <v>92</v>
      </c>
      <c r="T74" s="10">
        <v>5</v>
      </c>
      <c r="U74" s="10">
        <v>0</v>
      </c>
      <c r="V74" s="10">
        <v>0</v>
      </c>
      <c r="W74" s="10">
        <v>0</v>
      </c>
      <c r="X74" s="74">
        <v>0</v>
      </c>
      <c r="Y74" s="74">
        <v>1</v>
      </c>
      <c r="Z74" s="74">
        <v>0</v>
      </c>
      <c r="AA74" s="74">
        <v>0</v>
      </c>
      <c r="AB74" s="74">
        <v>0</v>
      </c>
      <c r="AC74" s="74">
        <v>0</v>
      </c>
      <c r="AD74" s="74">
        <v>0</v>
      </c>
      <c r="AE74" s="74">
        <v>0</v>
      </c>
      <c r="AF74" s="74">
        <v>0</v>
      </c>
      <c r="AG74" s="90">
        <f t="shared" si="4"/>
        <v>12</v>
      </c>
      <c r="AH74" s="90">
        <f t="shared" si="3"/>
        <v>11</v>
      </c>
      <c r="AI74" s="90">
        <f t="shared" si="5"/>
        <v>1</v>
      </c>
    </row>
    <row r="75" spans="1:35" x14ac:dyDescent="0.35">
      <c r="A75" s="93"/>
      <c r="B75" s="95"/>
      <c r="C75" s="96">
        <v>45905</v>
      </c>
      <c r="D75" s="97">
        <v>7</v>
      </c>
      <c r="E75" s="97" t="s">
        <v>55</v>
      </c>
      <c r="F75" s="10">
        <v>0</v>
      </c>
      <c r="G75" s="10">
        <v>0</v>
      </c>
      <c r="H75" s="10">
        <v>0</v>
      </c>
      <c r="I75" s="10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97" t="s">
        <v>117</v>
      </c>
      <c r="T75" s="10">
        <v>0</v>
      </c>
      <c r="U75" s="10">
        <v>1</v>
      </c>
      <c r="V75" s="10">
        <v>0</v>
      </c>
      <c r="W75" s="10">
        <v>2</v>
      </c>
      <c r="X75" s="74">
        <v>0</v>
      </c>
      <c r="Y75" s="74">
        <v>0</v>
      </c>
      <c r="Z75" s="74">
        <v>0</v>
      </c>
      <c r="AA75" s="74">
        <v>0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90">
        <f t="shared" si="4"/>
        <v>3</v>
      </c>
      <c r="AH75" s="90">
        <f t="shared" si="3"/>
        <v>3</v>
      </c>
      <c r="AI75" s="90">
        <f t="shared" si="5"/>
        <v>0</v>
      </c>
    </row>
    <row r="76" spans="1:35" ht="18.5" x14ac:dyDescent="0.35">
      <c r="A76" s="97"/>
      <c r="B76" s="95"/>
      <c r="C76" s="96">
        <v>45908</v>
      </c>
      <c r="D76" s="97">
        <v>7</v>
      </c>
      <c r="E76" s="97" t="s">
        <v>131</v>
      </c>
      <c r="F76" s="10">
        <v>3</v>
      </c>
      <c r="G76" s="10">
        <v>1</v>
      </c>
      <c r="H76" s="10">
        <v>0</v>
      </c>
      <c r="I76" s="10">
        <v>0</v>
      </c>
      <c r="J76" s="74">
        <v>0</v>
      </c>
      <c r="K76" s="74">
        <v>0</v>
      </c>
      <c r="L76" s="74">
        <v>0</v>
      </c>
      <c r="M76" s="74">
        <v>0</v>
      </c>
      <c r="N76" s="74">
        <v>0</v>
      </c>
      <c r="O76" s="74">
        <v>0</v>
      </c>
      <c r="P76" s="74">
        <v>0</v>
      </c>
      <c r="Q76" s="74">
        <v>0</v>
      </c>
      <c r="R76" s="74">
        <v>0</v>
      </c>
      <c r="S76" s="97" t="s">
        <v>130</v>
      </c>
      <c r="T76" s="10">
        <v>2</v>
      </c>
      <c r="U76" s="10">
        <v>0</v>
      </c>
      <c r="V76" s="10">
        <v>0</v>
      </c>
      <c r="W76" s="10">
        <v>0</v>
      </c>
      <c r="X76" s="74">
        <v>0</v>
      </c>
      <c r="Y76" s="74">
        <v>0</v>
      </c>
      <c r="Z76" s="74">
        <v>0</v>
      </c>
      <c r="AA76" s="74">
        <v>1</v>
      </c>
      <c r="AB76" s="74">
        <v>0</v>
      </c>
      <c r="AC76" s="74">
        <v>0</v>
      </c>
      <c r="AD76" s="74">
        <v>0</v>
      </c>
      <c r="AE76" s="74">
        <v>0</v>
      </c>
      <c r="AF76" s="74">
        <v>0</v>
      </c>
      <c r="AG76" s="90">
        <f t="shared" si="4"/>
        <v>7</v>
      </c>
      <c r="AH76" s="90">
        <f t="shared" si="3"/>
        <v>6</v>
      </c>
      <c r="AI76" s="90">
        <f t="shared" si="5"/>
        <v>1</v>
      </c>
    </row>
    <row r="77" spans="1:35" x14ac:dyDescent="0.35">
      <c r="A77" s="93"/>
      <c r="B77" s="95"/>
      <c r="C77" s="96">
        <v>45910</v>
      </c>
      <c r="D77" s="97">
        <v>7</v>
      </c>
      <c r="E77" s="97" t="s">
        <v>134</v>
      </c>
      <c r="F77" s="10">
        <v>3</v>
      </c>
      <c r="G77" s="10">
        <v>0</v>
      </c>
      <c r="H77" s="10">
        <v>0</v>
      </c>
      <c r="I77" s="10">
        <v>0</v>
      </c>
      <c r="J77" s="74">
        <v>0</v>
      </c>
      <c r="K77" s="74">
        <v>0</v>
      </c>
      <c r="L77" s="74">
        <v>0</v>
      </c>
      <c r="M77" s="74">
        <v>0</v>
      </c>
      <c r="N77" s="74">
        <v>0</v>
      </c>
      <c r="O77" s="74">
        <v>0</v>
      </c>
      <c r="P77" s="74">
        <v>0</v>
      </c>
      <c r="Q77" s="74">
        <v>0</v>
      </c>
      <c r="R77" s="74">
        <v>0</v>
      </c>
      <c r="S77" s="97" t="s">
        <v>135</v>
      </c>
      <c r="T77" s="10">
        <v>0</v>
      </c>
      <c r="U77" s="10">
        <v>4</v>
      </c>
      <c r="V77" s="10">
        <v>0</v>
      </c>
      <c r="W77" s="10">
        <v>0</v>
      </c>
      <c r="X77" s="74">
        <v>0</v>
      </c>
      <c r="Y77" s="74">
        <v>0</v>
      </c>
      <c r="Z77" s="74">
        <v>0</v>
      </c>
      <c r="AA77" s="74">
        <v>0</v>
      </c>
      <c r="AB77" s="74">
        <v>0</v>
      </c>
      <c r="AC77" s="74">
        <v>0</v>
      </c>
      <c r="AD77" s="74">
        <v>0</v>
      </c>
      <c r="AE77" s="74">
        <v>0</v>
      </c>
      <c r="AF77" s="74">
        <v>0</v>
      </c>
      <c r="AG77" s="90">
        <f t="shared" si="4"/>
        <v>7</v>
      </c>
      <c r="AH77" s="90">
        <f t="shared" si="3"/>
        <v>7</v>
      </c>
      <c r="AI77" s="90">
        <f t="shared" si="5"/>
        <v>0</v>
      </c>
    </row>
    <row r="78" spans="1:35" x14ac:dyDescent="0.35">
      <c r="A78" s="93"/>
      <c r="B78" s="95"/>
      <c r="C78" s="96">
        <v>45912</v>
      </c>
      <c r="D78" s="97">
        <v>7</v>
      </c>
      <c r="E78" s="97" t="s">
        <v>153</v>
      </c>
      <c r="F78" s="10">
        <v>0</v>
      </c>
      <c r="G78" s="10">
        <v>0</v>
      </c>
      <c r="H78" s="10">
        <v>0</v>
      </c>
      <c r="I78" s="10">
        <v>1</v>
      </c>
      <c r="J78" s="74">
        <v>0</v>
      </c>
      <c r="K78" s="74">
        <v>1</v>
      </c>
      <c r="L78" s="74">
        <v>0</v>
      </c>
      <c r="M78" s="74">
        <v>0</v>
      </c>
      <c r="N78" s="74">
        <v>0</v>
      </c>
      <c r="O78" s="74">
        <v>0</v>
      </c>
      <c r="P78" s="74">
        <v>0</v>
      </c>
      <c r="Q78" s="74">
        <v>0</v>
      </c>
      <c r="R78" s="74">
        <v>0</v>
      </c>
      <c r="S78" s="97" t="s">
        <v>154</v>
      </c>
      <c r="T78" s="10">
        <v>0</v>
      </c>
      <c r="U78" s="10">
        <v>3</v>
      </c>
      <c r="V78" s="10">
        <v>0</v>
      </c>
      <c r="W78" s="10">
        <v>0</v>
      </c>
      <c r="X78" s="74">
        <v>0</v>
      </c>
      <c r="Y78" s="74">
        <v>0</v>
      </c>
      <c r="Z78" s="74">
        <v>0</v>
      </c>
      <c r="AA78" s="74">
        <v>0</v>
      </c>
      <c r="AB78" s="74">
        <v>0</v>
      </c>
      <c r="AC78" s="74">
        <v>0</v>
      </c>
      <c r="AD78" s="74">
        <v>0</v>
      </c>
      <c r="AE78" s="74">
        <v>0</v>
      </c>
      <c r="AF78" s="74">
        <v>0</v>
      </c>
      <c r="AG78" s="90">
        <f t="shared" si="4"/>
        <v>5</v>
      </c>
      <c r="AH78" s="90">
        <f t="shared" si="3"/>
        <v>4</v>
      </c>
      <c r="AI78" s="90">
        <f t="shared" si="5"/>
        <v>1</v>
      </c>
    </row>
    <row r="79" spans="1:35" x14ac:dyDescent="0.35">
      <c r="A79" s="93"/>
      <c r="B79" s="95"/>
      <c r="C79" s="96">
        <v>45915</v>
      </c>
      <c r="D79" s="97">
        <v>7</v>
      </c>
      <c r="E79" s="97" t="s">
        <v>163</v>
      </c>
      <c r="F79" s="10">
        <v>0</v>
      </c>
      <c r="G79" s="10">
        <v>2</v>
      </c>
      <c r="H79" s="10">
        <v>0</v>
      </c>
      <c r="I79" s="10">
        <v>1</v>
      </c>
      <c r="J79" s="74">
        <v>0</v>
      </c>
      <c r="K79" s="74">
        <v>0</v>
      </c>
      <c r="L79" s="74">
        <v>0</v>
      </c>
      <c r="M79" s="74">
        <v>0</v>
      </c>
      <c r="N79" s="74">
        <v>0</v>
      </c>
      <c r="O79" s="74">
        <v>0</v>
      </c>
      <c r="P79" s="74">
        <v>0</v>
      </c>
      <c r="Q79" s="74">
        <v>0</v>
      </c>
      <c r="R79" s="74">
        <v>0</v>
      </c>
      <c r="S79" s="97" t="s">
        <v>276</v>
      </c>
      <c r="T79" s="10">
        <v>1</v>
      </c>
      <c r="U79" s="10">
        <v>0</v>
      </c>
      <c r="V79" s="10">
        <v>0</v>
      </c>
      <c r="W79" s="10">
        <v>1</v>
      </c>
      <c r="X79" s="74">
        <v>0</v>
      </c>
      <c r="Y79" s="74">
        <v>0</v>
      </c>
      <c r="Z79" s="74">
        <v>0</v>
      </c>
      <c r="AA79" s="74">
        <v>0</v>
      </c>
      <c r="AB79" s="74">
        <v>0</v>
      </c>
      <c r="AC79" s="74">
        <v>0</v>
      </c>
      <c r="AD79" s="74">
        <v>0</v>
      </c>
      <c r="AE79" s="74">
        <v>0</v>
      </c>
      <c r="AF79" s="74">
        <v>0</v>
      </c>
      <c r="AG79" s="90">
        <f t="shared" si="4"/>
        <v>5</v>
      </c>
      <c r="AH79" s="90">
        <f t="shared" si="3"/>
        <v>5</v>
      </c>
      <c r="AI79" s="90">
        <f t="shared" si="5"/>
        <v>0</v>
      </c>
    </row>
    <row r="80" spans="1:35" x14ac:dyDescent="0.35">
      <c r="A80" s="93"/>
      <c r="B80" s="95"/>
      <c r="C80" s="96">
        <v>45918</v>
      </c>
      <c r="D80" s="97">
        <v>7</v>
      </c>
      <c r="E80" s="97" t="s">
        <v>492</v>
      </c>
      <c r="F80" s="10">
        <v>1</v>
      </c>
      <c r="G80" s="10">
        <v>2</v>
      </c>
      <c r="H80" s="10">
        <v>0</v>
      </c>
      <c r="I80" s="10">
        <v>1</v>
      </c>
      <c r="J80" s="74">
        <v>0</v>
      </c>
      <c r="K80" s="74">
        <v>0</v>
      </c>
      <c r="L80" s="74">
        <v>0</v>
      </c>
      <c r="M80" s="74">
        <v>0</v>
      </c>
      <c r="N80" s="74">
        <v>0</v>
      </c>
      <c r="O80" s="74">
        <v>0</v>
      </c>
      <c r="P80" s="74">
        <v>0</v>
      </c>
      <c r="Q80" s="74">
        <v>0</v>
      </c>
      <c r="R80" s="74">
        <v>0</v>
      </c>
      <c r="S80" s="97" t="s">
        <v>82</v>
      </c>
      <c r="T80" s="10">
        <v>3</v>
      </c>
      <c r="U80" s="10">
        <v>0</v>
      </c>
      <c r="V80" s="10">
        <v>1</v>
      </c>
      <c r="W80" s="10">
        <v>0</v>
      </c>
      <c r="X80" s="74">
        <v>0</v>
      </c>
      <c r="Y80" s="74">
        <v>0</v>
      </c>
      <c r="Z80" s="74">
        <v>0</v>
      </c>
      <c r="AA80" s="74">
        <v>0</v>
      </c>
      <c r="AB80" s="74">
        <v>0</v>
      </c>
      <c r="AC80" s="74">
        <v>0</v>
      </c>
      <c r="AD80" s="74">
        <v>0</v>
      </c>
      <c r="AE80" s="74">
        <v>0</v>
      </c>
      <c r="AF80" s="74">
        <v>0</v>
      </c>
      <c r="AG80" s="90">
        <f t="shared" si="4"/>
        <v>8</v>
      </c>
      <c r="AH80" s="90">
        <f t="shared" si="3"/>
        <v>8</v>
      </c>
      <c r="AI80" s="90">
        <f t="shared" si="5"/>
        <v>0</v>
      </c>
    </row>
    <row r="81" spans="1:35" x14ac:dyDescent="0.35">
      <c r="A81" s="93"/>
      <c r="B81" s="95"/>
      <c r="C81" s="96">
        <v>45922</v>
      </c>
      <c r="D81" s="97">
        <v>7</v>
      </c>
      <c r="E81" s="97" t="s">
        <v>111</v>
      </c>
      <c r="F81" s="10">
        <v>2</v>
      </c>
      <c r="G81" s="10">
        <v>0</v>
      </c>
      <c r="H81" s="10">
        <v>0</v>
      </c>
      <c r="I81" s="10">
        <v>1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97" t="s">
        <v>206</v>
      </c>
      <c r="T81" s="10">
        <v>0</v>
      </c>
      <c r="U81" s="10">
        <v>0</v>
      </c>
      <c r="V81" s="10">
        <v>0</v>
      </c>
      <c r="W81" s="10">
        <v>0</v>
      </c>
      <c r="X81" s="74">
        <v>0</v>
      </c>
      <c r="Y81" s="74">
        <v>1</v>
      </c>
      <c r="Z81" s="74">
        <v>0</v>
      </c>
      <c r="AA81" s="74">
        <v>1</v>
      </c>
      <c r="AB81" s="74">
        <v>0</v>
      </c>
      <c r="AC81" s="74">
        <v>0</v>
      </c>
      <c r="AD81" s="74">
        <v>0</v>
      </c>
      <c r="AE81" s="74">
        <v>0</v>
      </c>
      <c r="AF81" s="74">
        <v>0</v>
      </c>
      <c r="AG81" s="90">
        <f t="shared" si="4"/>
        <v>5</v>
      </c>
      <c r="AH81" s="90">
        <f t="shared" si="3"/>
        <v>3</v>
      </c>
      <c r="AI81" s="90">
        <f t="shared" si="5"/>
        <v>2</v>
      </c>
    </row>
    <row r="82" spans="1:35" x14ac:dyDescent="0.35">
      <c r="A82" s="93"/>
      <c r="B82" s="95"/>
      <c r="C82" s="96">
        <v>45925</v>
      </c>
      <c r="D82" s="97">
        <v>7</v>
      </c>
      <c r="E82" s="97" t="s">
        <v>184</v>
      </c>
      <c r="F82" s="10">
        <v>3</v>
      </c>
      <c r="G82" s="10">
        <v>2</v>
      </c>
      <c r="H82" s="10">
        <v>0</v>
      </c>
      <c r="I82" s="10">
        <v>0</v>
      </c>
      <c r="J82" s="74">
        <v>0</v>
      </c>
      <c r="K82" s="74">
        <v>0</v>
      </c>
      <c r="L82" s="74">
        <v>0</v>
      </c>
      <c r="M82" s="74">
        <v>0</v>
      </c>
      <c r="N82" s="74">
        <v>0</v>
      </c>
      <c r="O82" s="74">
        <v>0</v>
      </c>
      <c r="P82" s="74">
        <v>0</v>
      </c>
      <c r="Q82" s="74">
        <v>0</v>
      </c>
      <c r="R82" s="74">
        <v>0</v>
      </c>
      <c r="S82" s="97" t="s">
        <v>137</v>
      </c>
      <c r="T82" s="10">
        <v>3</v>
      </c>
      <c r="U82" s="10">
        <v>0</v>
      </c>
      <c r="V82" s="10">
        <v>0</v>
      </c>
      <c r="W82" s="10">
        <v>1</v>
      </c>
      <c r="X82" s="74">
        <v>0</v>
      </c>
      <c r="Y82" s="74">
        <v>0</v>
      </c>
      <c r="Z82" s="74">
        <v>0</v>
      </c>
      <c r="AA82" s="74">
        <v>1</v>
      </c>
      <c r="AB82" s="74">
        <v>0</v>
      </c>
      <c r="AC82" s="74">
        <v>0</v>
      </c>
      <c r="AD82" s="74">
        <v>0</v>
      </c>
      <c r="AE82" s="74">
        <v>0</v>
      </c>
      <c r="AF82" s="74">
        <v>0</v>
      </c>
      <c r="AG82" s="90">
        <f t="shared" si="4"/>
        <v>10</v>
      </c>
      <c r="AH82" s="90">
        <f t="shared" si="3"/>
        <v>9</v>
      </c>
      <c r="AI82" s="90">
        <f t="shared" si="5"/>
        <v>1</v>
      </c>
    </row>
    <row r="83" spans="1:35" x14ac:dyDescent="0.35">
      <c r="A83" s="93"/>
      <c r="B83" s="95"/>
      <c r="C83" s="96">
        <v>45930</v>
      </c>
      <c r="D83" s="97">
        <v>7</v>
      </c>
      <c r="E83" s="97" t="s">
        <v>186</v>
      </c>
      <c r="F83" s="10">
        <v>1</v>
      </c>
      <c r="G83" s="10">
        <v>0</v>
      </c>
      <c r="H83" s="10">
        <v>0</v>
      </c>
      <c r="I83" s="10">
        <v>0</v>
      </c>
      <c r="J83" s="74">
        <v>0</v>
      </c>
      <c r="K83" s="74">
        <v>0</v>
      </c>
      <c r="L83" s="74">
        <v>0</v>
      </c>
      <c r="M83" s="74">
        <v>0</v>
      </c>
      <c r="N83" s="74">
        <v>0</v>
      </c>
      <c r="O83" s="74">
        <v>0</v>
      </c>
      <c r="P83" s="74">
        <v>0</v>
      </c>
      <c r="Q83" s="74">
        <v>0</v>
      </c>
      <c r="R83" s="74">
        <v>0</v>
      </c>
      <c r="S83" s="97" t="s">
        <v>253</v>
      </c>
      <c r="T83" s="10">
        <v>0</v>
      </c>
      <c r="U83" s="10">
        <v>0</v>
      </c>
      <c r="V83" s="10">
        <v>0</v>
      </c>
      <c r="W83" s="10">
        <v>0</v>
      </c>
      <c r="X83" s="74">
        <v>0</v>
      </c>
      <c r="Y83" s="74">
        <v>1</v>
      </c>
      <c r="Z83" s="74">
        <v>0</v>
      </c>
      <c r="AA83" s="74">
        <v>0</v>
      </c>
      <c r="AB83" s="74">
        <v>0</v>
      </c>
      <c r="AC83" s="74">
        <v>0</v>
      </c>
      <c r="AD83" s="74">
        <v>0</v>
      </c>
      <c r="AE83" s="74">
        <v>0</v>
      </c>
      <c r="AF83" s="74">
        <v>0</v>
      </c>
      <c r="AG83" s="90">
        <f t="shared" si="4"/>
        <v>2</v>
      </c>
      <c r="AH83" s="90">
        <f t="shared" si="3"/>
        <v>1</v>
      </c>
      <c r="AI83" s="90">
        <f t="shared" si="5"/>
        <v>1</v>
      </c>
    </row>
    <row r="84" spans="1:35" x14ac:dyDescent="0.35">
      <c r="A84" s="93"/>
      <c r="B84" s="95"/>
      <c r="C84" s="96">
        <v>45936</v>
      </c>
      <c r="D84" s="97">
        <v>7</v>
      </c>
      <c r="E84" s="97" t="s">
        <v>273</v>
      </c>
      <c r="F84" s="10">
        <v>0</v>
      </c>
      <c r="G84" s="10">
        <v>1</v>
      </c>
      <c r="H84" s="10">
        <v>0</v>
      </c>
      <c r="I84" s="10">
        <v>0</v>
      </c>
      <c r="J84" s="74">
        <v>0</v>
      </c>
      <c r="K84" s="74">
        <v>1</v>
      </c>
      <c r="L84" s="74">
        <v>0</v>
      </c>
      <c r="M84" s="74">
        <v>0</v>
      </c>
      <c r="N84" s="74">
        <v>0</v>
      </c>
      <c r="O84" s="74">
        <v>1</v>
      </c>
      <c r="P84" s="74">
        <v>0</v>
      </c>
      <c r="Q84" s="74">
        <v>0</v>
      </c>
      <c r="R84" s="74">
        <v>0</v>
      </c>
      <c r="S84" s="97" t="s">
        <v>274</v>
      </c>
      <c r="T84" s="10">
        <v>1</v>
      </c>
      <c r="U84" s="10">
        <v>1</v>
      </c>
      <c r="V84" s="10">
        <v>0</v>
      </c>
      <c r="W84" s="10">
        <v>0</v>
      </c>
      <c r="X84" s="74">
        <v>0</v>
      </c>
      <c r="Y84" s="74">
        <v>0</v>
      </c>
      <c r="Z84" s="74">
        <v>0</v>
      </c>
      <c r="AA84" s="74">
        <v>0</v>
      </c>
      <c r="AB84" s="74">
        <v>0</v>
      </c>
      <c r="AC84" s="74">
        <v>0</v>
      </c>
      <c r="AD84" s="74">
        <v>0</v>
      </c>
      <c r="AE84" s="74">
        <v>0</v>
      </c>
      <c r="AF84" s="74">
        <v>0</v>
      </c>
      <c r="AG84" s="90">
        <f t="shared" si="4"/>
        <v>5</v>
      </c>
      <c r="AH84" s="90">
        <f t="shared" si="3"/>
        <v>3</v>
      </c>
      <c r="AI84" s="90">
        <f t="shared" si="5"/>
        <v>2</v>
      </c>
    </row>
    <row r="85" spans="1:35" x14ac:dyDescent="0.35">
      <c r="A85" s="93"/>
      <c r="B85" s="95"/>
      <c r="C85" s="96">
        <v>45939</v>
      </c>
      <c r="D85" s="97">
        <v>7</v>
      </c>
      <c r="E85" s="97" t="s">
        <v>494</v>
      </c>
      <c r="F85" s="10">
        <v>0</v>
      </c>
      <c r="G85" s="10">
        <v>2</v>
      </c>
      <c r="H85" s="10">
        <v>0</v>
      </c>
      <c r="I85" s="10">
        <v>1</v>
      </c>
      <c r="J85" s="74">
        <v>0</v>
      </c>
      <c r="K85" s="74">
        <v>1</v>
      </c>
      <c r="L85" s="74">
        <v>0</v>
      </c>
      <c r="M85" s="74">
        <v>0</v>
      </c>
      <c r="N85" s="74">
        <v>0</v>
      </c>
      <c r="O85" s="74">
        <v>0</v>
      </c>
      <c r="P85" s="74">
        <v>0</v>
      </c>
      <c r="Q85" s="74">
        <v>0</v>
      </c>
      <c r="R85" s="74">
        <v>0</v>
      </c>
      <c r="S85" s="97" t="s">
        <v>302</v>
      </c>
      <c r="T85" s="10">
        <v>0</v>
      </c>
      <c r="U85" s="10">
        <v>0</v>
      </c>
      <c r="V85" s="10">
        <v>0</v>
      </c>
      <c r="W85" s="10">
        <v>0</v>
      </c>
      <c r="X85" s="74">
        <v>0</v>
      </c>
      <c r="Y85" s="74">
        <v>0</v>
      </c>
      <c r="Z85" s="74">
        <v>0</v>
      </c>
      <c r="AA85" s="74">
        <v>0</v>
      </c>
      <c r="AB85" s="74">
        <v>0</v>
      </c>
      <c r="AC85" s="74">
        <v>0</v>
      </c>
      <c r="AD85" s="74">
        <v>0</v>
      </c>
      <c r="AE85" s="74">
        <v>0</v>
      </c>
      <c r="AF85" s="74">
        <v>0</v>
      </c>
      <c r="AG85" s="90">
        <f t="shared" si="4"/>
        <v>4</v>
      </c>
      <c r="AH85" s="90">
        <f t="shared" si="3"/>
        <v>3</v>
      </c>
      <c r="AI85" s="90">
        <f t="shared" si="5"/>
        <v>1</v>
      </c>
    </row>
    <row r="86" spans="1:35" x14ac:dyDescent="0.35">
      <c r="A86" s="93"/>
      <c r="B86" s="95"/>
      <c r="C86" s="96"/>
      <c r="D86" s="97"/>
      <c r="E86" s="97"/>
      <c r="S86" s="97"/>
      <c r="AG86" s="90"/>
      <c r="AH86" s="90"/>
      <c r="AI86" s="90"/>
    </row>
    <row r="87" spans="1:35" x14ac:dyDescent="0.35">
      <c r="A87" s="93">
        <v>6</v>
      </c>
      <c r="B87" s="95" t="s">
        <v>77</v>
      </c>
      <c r="C87" s="96">
        <v>45901</v>
      </c>
      <c r="D87" s="97" t="s">
        <v>55</v>
      </c>
      <c r="E87" s="97" t="s">
        <v>55</v>
      </c>
      <c r="F87" s="10">
        <v>0</v>
      </c>
      <c r="G87" s="10">
        <v>0</v>
      </c>
      <c r="H87" s="10">
        <v>0</v>
      </c>
      <c r="I87" s="10">
        <v>0</v>
      </c>
      <c r="J87" s="74">
        <v>0</v>
      </c>
      <c r="K87" s="74">
        <v>0</v>
      </c>
      <c r="L87" s="74">
        <v>0</v>
      </c>
      <c r="M87" s="74">
        <v>0</v>
      </c>
      <c r="N87" s="74">
        <v>0</v>
      </c>
      <c r="O87" s="74">
        <v>0</v>
      </c>
      <c r="P87" s="74">
        <v>0</v>
      </c>
      <c r="Q87" s="74">
        <v>0</v>
      </c>
      <c r="R87" s="74">
        <v>0</v>
      </c>
      <c r="S87" s="97" t="s">
        <v>55</v>
      </c>
      <c r="T87" s="10">
        <v>0</v>
      </c>
      <c r="U87" s="10">
        <v>0</v>
      </c>
      <c r="V87" s="10">
        <v>0</v>
      </c>
      <c r="W87" s="10">
        <v>0</v>
      </c>
      <c r="X87" s="74">
        <v>0</v>
      </c>
      <c r="Y87" s="74">
        <v>0</v>
      </c>
      <c r="Z87" s="74">
        <v>0</v>
      </c>
      <c r="AA87" s="74">
        <v>0</v>
      </c>
      <c r="AB87" s="74">
        <v>0</v>
      </c>
      <c r="AC87" s="74">
        <v>0</v>
      </c>
      <c r="AD87" s="74">
        <v>0</v>
      </c>
      <c r="AE87" s="74">
        <v>0</v>
      </c>
      <c r="AF87" s="74">
        <v>0</v>
      </c>
      <c r="AG87" s="90">
        <f t="shared" si="4"/>
        <v>0</v>
      </c>
      <c r="AH87" s="90">
        <f t="shared" si="3"/>
        <v>0</v>
      </c>
      <c r="AI87" s="90">
        <f t="shared" si="5"/>
        <v>0</v>
      </c>
    </row>
    <row r="88" spans="1:35" x14ac:dyDescent="0.35">
      <c r="A88" s="93"/>
      <c r="B88" s="98"/>
      <c r="C88" s="96">
        <v>45903</v>
      </c>
      <c r="D88" s="97" t="s">
        <v>55</v>
      </c>
      <c r="E88" s="97" t="s">
        <v>55</v>
      </c>
      <c r="F88" s="10">
        <v>0</v>
      </c>
      <c r="G88" s="10">
        <v>0</v>
      </c>
      <c r="H88" s="10">
        <v>0</v>
      </c>
      <c r="I88" s="10">
        <v>0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0</v>
      </c>
      <c r="R88" s="74">
        <v>0</v>
      </c>
      <c r="S88" s="97" t="s">
        <v>55</v>
      </c>
      <c r="T88" s="10">
        <v>0</v>
      </c>
      <c r="U88" s="10">
        <v>0</v>
      </c>
      <c r="V88" s="10">
        <v>0</v>
      </c>
      <c r="W88" s="10">
        <v>0</v>
      </c>
      <c r="X88" s="74">
        <v>0</v>
      </c>
      <c r="Y88" s="74">
        <v>0</v>
      </c>
      <c r="Z88" s="74">
        <v>0</v>
      </c>
      <c r="AA88" s="74">
        <v>0</v>
      </c>
      <c r="AB88" s="74">
        <v>0</v>
      </c>
      <c r="AC88" s="74">
        <v>0</v>
      </c>
      <c r="AD88" s="74">
        <v>0</v>
      </c>
      <c r="AE88" s="74">
        <v>0</v>
      </c>
      <c r="AF88" s="74">
        <v>0</v>
      </c>
      <c r="AG88" s="90">
        <f t="shared" si="4"/>
        <v>0</v>
      </c>
      <c r="AH88" s="90">
        <f t="shared" si="3"/>
        <v>0</v>
      </c>
      <c r="AI88" s="90">
        <f t="shared" si="5"/>
        <v>0</v>
      </c>
    </row>
    <row r="89" spans="1:35" x14ac:dyDescent="0.35">
      <c r="A89" s="93"/>
      <c r="B89" s="95"/>
      <c r="C89" s="96">
        <v>45905</v>
      </c>
      <c r="D89" s="97">
        <v>7</v>
      </c>
      <c r="E89" s="97" t="s">
        <v>110</v>
      </c>
      <c r="F89" s="10">
        <v>10</v>
      </c>
      <c r="G89" s="10">
        <v>2</v>
      </c>
      <c r="H89" s="10">
        <v>0</v>
      </c>
      <c r="I89" s="10">
        <v>0</v>
      </c>
      <c r="J89" s="74">
        <v>0</v>
      </c>
      <c r="K89" s="74">
        <v>0</v>
      </c>
      <c r="L89" s="74">
        <v>0</v>
      </c>
      <c r="M89" s="74">
        <v>0</v>
      </c>
      <c r="N89" s="74">
        <v>0</v>
      </c>
      <c r="O89" s="74">
        <v>0</v>
      </c>
      <c r="P89" s="74">
        <v>0</v>
      </c>
      <c r="Q89" s="74">
        <v>0</v>
      </c>
      <c r="R89" s="74">
        <v>0</v>
      </c>
      <c r="S89" s="97" t="s">
        <v>109</v>
      </c>
      <c r="T89" s="10">
        <v>0</v>
      </c>
      <c r="U89" s="10">
        <v>20</v>
      </c>
      <c r="V89" s="10">
        <v>0</v>
      </c>
      <c r="W89" s="10">
        <v>0</v>
      </c>
      <c r="X89" s="74">
        <v>0</v>
      </c>
      <c r="Y89" s="74">
        <v>0</v>
      </c>
      <c r="Z89" s="74">
        <v>0</v>
      </c>
      <c r="AA89" s="74">
        <v>0</v>
      </c>
      <c r="AB89" s="74">
        <v>0</v>
      </c>
      <c r="AC89" s="74">
        <v>0</v>
      </c>
      <c r="AD89" s="74">
        <v>0</v>
      </c>
      <c r="AE89" s="74">
        <v>0</v>
      </c>
      <c r="AF89" s="74">
        <v>0</v>
      </c>
      <c r="AG89" s="90">
        <f t="shared" si="4"/>
        <v>32</v>
      </c>
      <c r="AH89" s="90">
        <f t="shared" si="3"/>
        <v>32</v>
      </c>
      <c r="AI89" s="90">
        <f t="shared" si="5"/>
        <v>0</v>
      </c>
    </row>
    <row r="90" spans="1:35" x14ac:dyDescent="0.35">
      <c r="A90" s="93"/>
      <c r="B90" s="95"/>
      <c r="C90" s="96">
        <v>45908</v>
      </c>
      <c r="D90" s="97">
        <v>7</v>
      </c>
      <c r="E90" s="97" t="s">
        <v>55</v>
      </c>
      <c r="F90" s="10">
        <v>0</v>
      </c>
      <c r="G90" s="10">
        <v>0</v>
      </c>
      <c r="H90" s="10">
        <v>0</v>
      </c>
      <c r="I90" s="10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97" t="s">
        <v>85</v>
      </c>
      <c r="T90" s="10">
        <v>5</v>
      </c>
      <c r="U90" s="10">
        <v>2</v>
      </c>
      <c r="V90" s="10">
        <v>0</v>
      </c>
      <c r="W90" s="10">
        <v>0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90">
        <f t="shared" si="4"/>
        <v>7</v>
      </c>
      <c r="AH90" s="90">
        <f t="shared" si="3"/>
        <v>7</v>
      </c>
      <c r="AI90" s="90">
        <f t="shared" si="5"/>
        <v>0</v>
      </c>
    </row>
    <row r="91" spans="1:35" x14ac:dyDescent="0.35">
      <c r="A91" s="93"/>
      <c r="B91" s="95"/>
      <c r="C91" s="96">
        <v>45910</v>
      </c>
      <c r="D91" s="97">
        <v>7</v>
      </c>
      <c r="E91" s="97" t="s">
        <v>100</v>
      </c>
      <c r="F91" s="10">
        <v>6</v>
      </c>
      <c r="G91" s="10">
        <v>0</v>
      </c>
      <c r="H91" s="10">
        <v>0</v>
      </c>
      <c r="I91" s="10">
        <v>0</v>
      </c>
      <c r="J91" s="74">
        <v>0</v>
      </c>
      <c r="K91" s="74">
        <v>0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0</v>
      </c>
      <c r="R91" s="74">
        <v>0</v>
      </c>
      <c r="S91" s="97" t="s">
        <v>109</v>
      </c>
      <c r="T91" s="10">
        <v>0</v>
      </c>
      <c r="U91" s="10">
        <v>20</v>
      </c>
      <c r="V91" s="10">
        <v>0</v>
      </c>
      <c r="W91" s="10">
        <v>0</v>
      </c>
      <c r="X91" s="74">
        <v>0</v>
      </c>
      <c r="Y91" s="74">
        <v>0</v>
      </c>
      <c r="Z91" s="74">
        <v>0</v>
      </c>
      <c r="AA91" s="74">
        <v>0</v>
      </c>
      <c r="AB91" s="74">
        <v>0</v>
      </c>
      <c r="AC91" s="74">
        <v>0</v>
      </c>
      <c r="AD91" s="74">
        <v>0</v>
      </c>
      <c r="AE91" s="74">
        <v>0</v>
      </c>
      <c r="AF91" s="74">
        <v>0</v>
      </c>
      <c r="AG91" s="90">
        <f t="shared" si="4"/>
        <v>26</v>
      </c>
      <c r="AH91" s="90">
        <f t="shared" si="3"/>
        <v>26</v>
      </c>
      <c r="AI91" s="90">
        <f t="shared" si="5"/>
        <v>0</v>
      </c>
    </row>
    <row r="92" spans="1:35" x14ac:dyDescent="0.35">
      <c r="A92" s="93"/>
      <c r="B92" s="95"/>
      <c r="C92" s="96">
        <v>45912</v>
      </c>
      <c r="D92" s="97">
        <v>7</v>
      </c>
      <c r="E92" s="97" t="s">
        <v>149</v>
      </c>
      <c r="F92" s="10">
        <v>6</v>
      </c>
      <c r="G92" s="10">
        <v>3</v>
      </c>
      <c r="H92" s="10">
        <v>0</v>
      </c>
      <c r="I92" s="10">
        <v>1</v>
      </c>
      <c r="J92" s="74">
        <v>0</v>
      </c>
      <c r="K92" s="74">
        <v>0</v>
      </c>
      <c r="L92" s="74">
        <v>0</v>
      </c>
      <c r="M92" s="74">
        <v>0</v>
      </c>
      <c r="N92" s="74">
        <v>0</v>
      </c>
      <c r="O92" s="74">
        <v>0</v>
      </c>
      <c r="P92" s="74">
        <v>0</v>
      </c>
      <c r="Q92" s="74">
        <v>0</v>
      </c>
      <c r="R92" s="74">
        <v>0</v>
      </c>
      <c r="S92" s="97" t="s">
        <v>148</v>
      </c>
      <c r="T92" s="10">
        <v>10</v>
      </c>
      <c r="U92" s="10">
        <v>20</v>
      </c>
      <c r="V92" s="10">
        <v>0</v>
      </c>
      <c r="W92" s="10">
        <v>0</v>
      </c>
      <c r="X92" s="74">
        <v>0</v>
      </c>
      <c r="Y92" s="74">
        <v>0</v>
      </c>
      <c r="Z92" s="74">
        <v>0</v>
      </c>
      <c r="AA92" s="74">
        <v>0</v>
      </c>
      <c r="AB92" s="74">
        <v>0</v>
      </c>
      <c r="AC92" s="74">
        <v>0</v>
      </c>
      <c r="AD92" s="74">
        <v>0</v>
      </c>
      <c r="AE92" s="74">
        <v>0</v>
      </c>
      <c r="AF92" s="74">
        <v>0</v>
      </c>
      <c r="AG92" s="90">
        <f t="shared" si="4"/>
        <v>40</v>
      </c>
      <c r="AH92" s="90">
        <f t="shared" si="3"/>
        <v>40</v>
      </c>
      <c r="AI92" s="90">
        <f t="shared" si="5"/>
        <v>0</v>
      </c>
    </row>
    <row r="93" spans="1:35" x14ac:dyDescent="0.35">
      <c r="A93" s="93"/>
      <c r="B93" s="95"/>
      <c r="C93" s="96">
        <v>45915</v>
      </c>
      <c r="D93" s="97">
        <v>7</v>
      </c>
      <c r="E93" s="97" t="s">
        <v>162</v>
      </c>
      <c r="F93" s="10">
        <v>10</v>
      </c>
      <c r="G93" s="10">
        <v>5</v>
      </c>
      <c r="H93" s="10">
        <v>1</v>
      </c>
      <c r="I93" s="10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0</v>
      </c>
      <c r="R93" s="74">
        <v>0</v>
      </c>
      <c r="S93" s="97" t="s">
        <v>161</v>
      </c>
      <c r="T93" s="10">
        <v>10</v>
      </c>
      <c r="U93" s="10">
        <v>20</v>
      </c>
      <c r="V93" s="10">
        <v>4</v>
      </c>
      <c r="W93" s="10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0</v>
      </c>
      <c r="AF93" s="74">
        <v>0</v>
      </c>
      <c r="AG93" s="90">
        <f t="shared" si="4"/>
        <v>50</v>
      </c>
      <c r="AH93" s="90">
        <f t="shared" si="3"/>
        <v>50</v>
      </c>
      <c r="AI93" s="90">
        <f t="shared" si="5"/>
        <v>0</v>
      </c>
    </row>
    <row r="94" spans="1:35" x14ac:dyDescent="0.35">
      <c r="A94" s="93"/>
      <c r="B94" s="95"/>
      <c r="C94" s="96">
        <v>45918</v>
      </c>
      <c r="D94" s="97">
        <v>7</v>
      </c>
      <c r="E94" s="97" t="s">
        <v>179</v>
      </c>
      <c r="F94" s="10">
        <v>8</v>
      </c>
      <c r="G94" s="10">
        <v>4</v>
      </c>
      <c r="H94" s="10">
        <v>0</v>
      </c>
      <c r="I94" s="10">
        <v>1</v>
      </c>
      <c r="J94" s="74">
        <v>1</v>
      </c>
      <c r="K94" s="74">
        <v>0</v>
      </c>
      <c r="L94" s="74">
        <v>0</v>
      </c>
      <c r="M94" s="74">
        <v>0</v>
      </c>
      <c r="N94" s="74">
        <v>0</v>
      </c>
      <c r="O94" s="74">
        <v>0</v>
      </c>
      <c r="P94" s="74">
        <v>0</v>
      </c>
      <c r="Q94" s="74">
        <v>0</v>
      </c>
      <c r="R94" s="74">
        <v>0</v>
      </c>
      <c r="S94" s="97" t="s">
        <v>178</v>
      </c>
      <c r="T94" s="10">
        <v>10</v>
      </c>
      <c r="U94" s="10">
        <v>12</v>
      </c>
      <c r="V94" s="10">
        <v>0</v>
      </c>
      <c r="W94" s="10">
        <v>2</v>
      </c>
      <c r="X94" s="74">
        <v>0</v>
      </c>
      <c r="Y94" s="74">
        <v>0</v>
      </c>
      <c r="Z94" s="74">
        <v>0</v>
      </c>
      <c r="AA94" s="74">
        <v>0</v>
      </c>
      <c r="AB94" s="74">
        <v>0</v>
      </c>
      <c r="AC94" s="74">
        <v>0</v>
      </c>
      <c r="AD94" s="74">
        <v>0</v>
      </c>
      <c r="AE94" s="74">
        <v>0</v>
      </c>
      <c r="AF94" s="74">
        <v>0</v>
      </c>
      <c r="AG94" s="90">
        <f t="shared" si="4"/>
        <v>38</v>
      </c>
      <c r="AH94" s="90">
        <f t="shared" si="3"/>
        <v>37</v>
      </c>
      <c r="AI94" s="90">
        <f t="shared" si="5"/>
        <v>1</v>
      </c>
    </row>
    <row r="95" spans="1:35" x14ac:dyDescent="0.35">
      <c r="A95" s="93"/>
      <c r="B95" s="95"/>
      <c r="C95" s="96">
        <v>45922</v>
      </c>
      <c r="D95" s="97">
        <v>7</v>
      </c>
      <c r="E95" s="97" t="s">
        <v>201</v>
      </c>
      <c r="F95" s="10">
        <v>8</v>
      </c>
      <c r="G95" s="10">
        <v>3</v>
      </c>
      <c r="H95" s="10">
        <v>0</v>
      </c>
      <c r="I95" s="10">
        <v>0</v>
      </c>
      <c r="J95" s="74">
        <v>2</v>
      </c>
      <c r="K95" s="74">
        <v>0</v>
      </c>
      <c r="L95" s="74">
        <v>0</v>
      </c>
      <c r="M95" s="74">
        <v>0</v>
      </c>
      <c r="N95" s="74">
        <v>0</v>
      </c>
      <c r="O95" s="74">
        <v>0</v>
      </c>
      <c r="P95" s="74">
        <v>0</v>
      </c>
      <c r="Q95" s="74">
        <v>0</v>
      </c>
      <c r="R95" s="74">
        <v>0</v>
      </c>
      <c r="S95" s="97" t="s">
        <v>202</v>
      </c>
      <c r="T95" s="10">
        <v>12</v>
      </c>
      <c r="U95" s="10">
        <v>2</v>
      </c>
      <c r="V95" s="10">
        <v>0</v>
      </c>
      <c r="W95" s="10">
        <v>0</v>
      </c>
      <c r="X95" s="74">
        <v>0</v>
      </c>
      <c r="Y95" s="74">
        <v>0</v>
      </c>
      <c r="Z95" s="74">
        <v>0</v>
      </c>
      <c r="AA95" s="74">
        <v>1</v>
      </c>
      <c r="AB95" s="74">
        <v>0</v>
      </c>
      <c r="AC95" s="74">
        <v>0</v>
      </c>
      <c r="AD95" s="74">
        <v>0</v>
      </c>
      <c r="AE95" s="74">
        <v>0</v>
      </c>
      <c r="AF95" s="74">
        <v>0</v>
      </c>
      <c r="AG95" s="90">
        <f t="shared" si="4"/>
        <v>28</v>
      </c>
      <c r="AH95" s="90">
        <f t="shared" si="3"/>
        <v>25</v>
      </c>
      <c r="AI95" s="90">
        <f t="shared" si="5"/>
        <v>3</v>
      </c>
    </row>
    <row r="96" spans="1:35" x14ac:dyDescent="0.35">
      <c r="A96" s="93"/>
      <c r="B96" s="95"/>
      <c r="C96" s="96">
        <v>45925</v>
      </c>
      <c r="D96" s="97">
        <v>7</v>
      </c>
      <c r="E96" s="97" t="s">
        <v>229</v>
      </c>
      <c r="F96" s="10">
        <v>5</v>
      </c>
      <c r="G96" s="10">
        <v>4</v>
      </c>
      <c r="H96" s="10">
        <v>0</v>
      </c>
      <c r="I96" s="10">
        <v>1</v>
      </c>
      <c r="J96" s="74">
        <v>0</v>
      </c>
      <c r="K96" s="74">
        <v>0</v>
      </c>
      <c r="L96" s="74">
        <v>0</v>
      </c>
      <c r="M96" s="74">
        <v>1</v>
      </c>
      <c r="N96" s="74">
        <v>0</v>
      </c>
      <c r="O96" s="74">
        <v>0</v>
      </c>
      <c r="P96" s="74">
        <v>0</v>
      </c>
      <c r="Q96" s="74">
        <v>0</v>
      </c>
      <c r="R96" s="74">
        <v>0</v>
      </c>
      <c r="S96" s="97" t="s">
        <v>230</v>
      </c>
      <c r="T96" s="10">
        <v>3</v>
      </c>
      <c r="U96" s="10">
        <v>4</v>
      </c>
      <c r="V96" s="10">
        <v>1</v>
      </c>
      <c r="W96" s="10">
        <v>0</v>
      </c>
      <c r="X96" s="74">
        <v>0</v>
      </c>
      <c r="Y96" s="74">
        <v>0</v>
      </c>
      <c r="Z96" s="74">
        <v>0</v>
      </c>
      <c r="AA96" s="74">
        <v>1</v>
      </c>
      <c r="AB96" s="74">
        <v>0</v>
      </c>
      <c r="AC96" s="74">
        <v>0</v>
      </c>
      <c r="AD96" s="74">
        <v>0</v>
      </c>
      <c r="AE96" s="74">
        <v>0</v>
      </c>
      <c r="AF96" s="74">
        <v>0</v>
      </c>
      <c r="AG96" s="90">
        <f t="shared" si="4"/>
        <v>20</v>
      </c>
      <c r="AH96" s="90">
        <f t="shared" si="3"/>
        <v>18</v>
      </c>
      <c r="AI96" s="90">
        <f t="shared" si="5"/>
        <v>2</v>
      </c>
    </row>
    <row r="97" spans="1:35" x14ac:dyDescent="0.35">
      <c r="A97" s="93"/>
      <c r="B97" s="95"/>
      <c r="C97" s="96">
        <v>45930</v>
      </c>
      <c r="D97" s="97">
        <v>7</v>
      </c>
      <c r="E97" s="97" t="s">
        <v>252</v>
      </c>
      <c r="F97" s="10">
        <v>10</v>
      </c>
      <c r="G97" s="10">
        <v>1</v>
      </c>
      <c r="H97" s="10">
        <v>0</v>
      </c>
      <c r="I97" s="10">
        <v>1</v>
      </c>
      <c r="J97" s="74">
        <v>0</v>
      </c>
      <c r="K97" s="74">
        <v>0</v>
      </c>
      <c r="L97" s="74">
        <v>0</v>
      </c>
      <c r="M97" s="74">
        <v>0</v>
      </c>
      <c r="N97" s="74">
        <v>0</v>
      </c>
      <c r="O97" s="74">
        <v>0</v>
      </c>
      <c r="P97" s="74">
        <v>0</v>
      </c>
      <c r="Q97" s="74">
        <v>0</v>
      </c>
      <c r="R97" s="74">
        <v>0</v>
      </c>
      <c r="S97" s="97" t="s">
        <v>99</v>
      </c>
      <c r="T97" s="10">
        <v>0</v>
      </c>
      <c r="U97" s="10">
        <v>0</v>
      </c>
      <c r="V97" s="10">
        <v>0</v>
      </c>
      <c r="W97" s="10">
        <v>0</v>
      </c>
      <c r="X97" s="74">
        <v>0</v>
      </c>
      <c r="Y97" s="74">
        <v>0</v>
      </c>
      <c r="Z97" s="74">
        <v>0</v>
      </c>
      <c r="AA97" s="74">
        <v>1</v>
      </c>
      <c r="AB97" s="74">
        <v>0</v>
      </c>
      <c r="AC97" s="74">
        <v>0</v>
      </c>
      <c r="AD97" s="74">
        <v>0</v>
      </c>
      <c r="AE97" s="74">
        <v>0</v>
      </c>
      <c r="AF97" s="74">
        <v>0</v>
      </c>
      <c r="AG97" s="90">
        <f t="shared" si="4"/>
        <v>13</v>
      </c>
      <c r="AH97" s="90">
        <f t="shared" si="3"/>
        <v>12</v>
      </c>
      <c r="AI97" s="90">
        <f t="shared" si="5"/>
        <v>1</v>
      </c>
    </row>
    <row r="98" spans="1:35" ht="29" x14ac:dyDescent="0.35">
      <c r="A98" s="93"/>
      <c r="B98" s="95"/>
      <c r="C98" s="96">
        <v>45936</v>
      </c>
      <c r="D98" s="97">
        <v>7</v>
      </c>
      <c r="E98" s="97" t="s">
        <v>246</v>
      </c>
      <c r="F98" s="10">
        <v>2</v>
      </c>
      <c r="G98" s="10">
        <v>0</v>
      </c>
      <c r="H98" s="10">
        <v>0</v>
      </c>
      <c r="I98" s="10">
        <v>0</v>
      </c>
      <c r="J98" s="74">
        <v>0</v>
      </c>
      <c r="K98" s="74">
        <v>0</v>
      </c>
      <c r="L98" s="74">
        <v>0</v>
      </c>
      <c r="M98" s="74">
        <v>0</v>
      </c>
      <c r="N98" s="74">
        <v>0</v>
      </c>
      <c r="O98" s="74">
        <v>2</v>
      </c>
      <c r="P98" s="74">
        <v>0</v>
      </c>
      <c r="Q98" s="74">
        <v>0</v>
      </c>
      <c r="R98" s="74">
        <v>0</v>
      </c>
      <c r="S98" s="99" t="s">
        <v>270</v>
      </c>
      <c r="T98" s="10">
        <v>5</v>
      </c>
      <c r="U98" s="10">
        <v>0</v>
      </c>
      <c r="V98" s="10">
        <v>0</v>
      </c>
      <c r="W98" s="10">
        <v>0</v>
      </c>
      <c r="X98" s="74">
        <v>0</v>
      </c>
      <c r="Y98" s="74">
        <v>0</v>
      </c>
      <c r="Z98" s="74">
        <v>0</v>
      </c>
      <c r="AA98" s="74">
        <v>0</v>
      </c>
      <c r="AB98" s="74">
        <v>0</v>
      </c>
      <c r="AC98" s="74">
        <v>1</v>
      </c>
      <c r="AD98" s="74">
        <v>0</v>
      </c>
      <c r="AE98" s="74">
        <v>0</v>
      </c>
      <c r="AF98" s="74">
        <v>0</v>
      </c>
      <c r="AG98" s="90">
        <f t="shared" si="4"/>
        <v>10</v>
      </c>
      <c r="AH98" s="90">
        <f t="shared" si="3"/>
        <v>7</v>
      </c>
      <c r="AI98" s="90">
        <f t="shared" si="5"/>
        <v>3</v>
      </c>
    </row>
    <row r="99" spans="1:35" ht="29" x14ac:dyDescent="0.35">
      <c r="A99" s="93"/>
      <c r="B99" s="95"/>
      <c r="C99" s="96">
        <v>45939</v>
      </c>
      <c r="D99" s="97">
        <v>7</v>
      </c>
      <c r="E99" s="97" t="s">
        <v>324</v>
      </c>
      <c r="F99" s="10">
        <v>4</v>
      </c>
      <c r="G99" s="10">
        <v>2</v>
      </c>
      <c r="H99" s="10">
        <v>0</v>
      </c>
      <c r="I99" s="10">
        <v>2</v>
      </c>
      <c r="J99" s="74">
        <v>0</v>
      </c>
      <c r="K99" s="74">
        <v>0</v>
      </c>
      <c r="L99" s="74">
        <v>0</v>
      </c>
      <c r="M99" s="74">
        <v>0</v>
      </c>
      <c r="N99" s="74">
        <v>0</v>
      </c>
      <c r="O99" s="74">
        <v>0</v>
      </c>
      <c r="P99" s="74">
        <v>0</v>
      </c>
      <c r="Q99" s="74">
        <v>0</v>
      </c>
      <c r="R99" s="74">
        <v>0</v>
      </c>
      <c r="S99" s="99" t="s">
        <v>325</v>
      </c>
      <c r="T99" s="10">
        <v>5</v>
      </c>
      <c r="U99" s="10">
        <v>8</v>
      </c>
      <c r="V99" s="10">
        <v>0</v>
      </c>
      <c r="W99" s="10">
        <v>0</v>
      </c>
      <c r="X99" s="74">
        <v>0</v>
      </c>
      <c r="Y99" s="74">
        <v>0</v>
      </c>
      <c r="Z99" s="74">
        <v>0</v>
      </c>
      <c r="AA99" s="74">
        <v>0</v>
      </c>
      <c r="AB99" s="74">
        <v>0</v>
      </c>
      <c r="AC99" s="74">
        <v>0</v>
      </c>
      <c r="AD99" s="74">
        <v>0</v>
      </c>
      <c r="AE99" s="74">
        <v>0</v>
      </c>
      <c r="AF99" s="74">
        <v>0</v>
      </c>
      <c r="AG99" s="90">
        <f t="shared" si="4"/>
        <v>21</v>
      </c>
      <c r="AH99" s="90">
        <f t="shared" si="3"/>
        <v>21</v>
      </c>
      <c r="AI99" s="90">
        <f t="shared" si="5"/>
        <v>0</v>
      </c>
    </row>
    <row r="100" spans="1:35" ht="29" x14ac:dyDescent="0.35">
      <c r="A100" s="93"/>
      <c r="B100" s="95"/>
      <c r="C100" s="96">
        <v>45944</v>
      </c>
      <c r="D100" s="97">
        <v>7</v>
      </c>
      <c r="E100" s="97" t="s">
        <v>350</v>
      </c>
      <c r="F100" s="10">
        <v>0</v>
      </c>
      <c r="G100" s="10">
        <v>0</v>
      </c>
      <c r="H100" s="10">
        <v>0</v>
      </c>
      <c r="I100" s="10">
        <v>0</v>
      </c>
      <c r="J100" s="74">
        <v>0</v>
      </c>
      <c r="K100" s="74">
        <v>0</v>
      </c>
      <c r="L100" s="74">
        <v>0</v>
      </c>
      <c r="M100" s="74">
        <v>1</v>
      </c>
      <c r="N100" s="74">
        <v>0</v>
      </c>
      <c r="O100" s="74">
        <v>0</v>
      </c>
      <c r="P100" s="74">
        <v>0</v>
      </c>
      <c r="Q100" s="74">
        <v>0</v>
      </c>
      <c r="R100" s="74">
        <v>0</v>
      </c>
      <c r="S100" s="99" t="s">
        <v>348</v>
      </c>
      <c r="T100" s="10">
        <v>4</v>
      </c>
      <c r="U100" s="10">
        <v>2</v>
      </c>
      <c r="V100" s="10">
        <v>0</v>
      </c>
      <c r="W100" s="10">
        <v>0</v>
      </c>
      <c r="X100" s="74">
        <v>0</v>
      </c>
      <c r="Y100" s="74">
        <v>0</v>
      </c>
      <c r="Z100" s="74">
        <v>0</v>
      </c>
      <c r="AA100" s="74">
        <v>0</v>
      </c>
      <c r="AB100" s="74">
        <v>0</v>
      </c>
      <c r="AC100" s="74">
        <v>1</v>
      </c>
      <c r="AD100" s="74">
        <v>0</v>
      </c>
      <c r="AE100" s="74">
        <v>0</v>
      </c>
      <c r="AF100" s="74">
        <v>0</v>
      </c>
      <c r="AG100" s="90">
        <f t="shared" si="4"/>
        <v>8</v>
      </c>
      <c r="AH100" s="90">
        <f t="shared" si="3"/>
        <v>6</v>
      </c>
      <c r="AI100" s="90">
        <f t="shared" si="5"/>
        <v>2</v>
      </c>
    </row>
    <row r="101" spans="1:35" x14ac:dyDescent="0.35">
      <c r="A101" s="93"/>
      <c r="B101" s="95"/>
      <c r="C101" s="96"/>
      <c r="D101" s="97"/>
      <c r="E101" s="97"/>
      <c r="S101" s="97"/>
      <c r="AG101" s="90"/>
      <c r="AH101" s="90"/>
      <c r="AI101" s="90"/>
    </row>
    <row r="102" spans="1:35" x14ac:dyDescent="0.35">
      <c r="A102" s="93">
        <v>7</v>
      </c>
      <c r="B102" s="95" t="s">
        <v>91</v>
      </c>
      <c r="C102" s="96">
        <v>45903</v>
      </c>
      <c r="D102" s="97" t="s">
        <v>55</v>
      </c>
      <c r="E102" s="97" t="s">
        <v>55</v>
      </c>
      <c r="F102" s="10">
        <v>0</v>
      </c>
      <c r="G102" s="10">
        <v>0</v>
      </c>
      <c r="H102" s="10">
        <v>0</v>
      </c>
      <c r="I102" s="10">
        <v>0</v>
      </c>
      <c r="J102" s="74">
        <v>0</v>
      </c>
      <c r="K102" s="74">
        <v>0</v>
      </c>
      <c r="L102" s="74">
        <v>0</v>
      </c>
      <c r="M102" s="74">
        <v>0</v>
      </c>
      <c r="N102" s="74">
        <v>0</v>
      </c>
      <c r="O102" s="74">
        <v>0</v>
      </c>
      <c r="P102" s="74">
        <v>0</v>
      </c>
      <c r="Q102" s="74">
        <v>0</v>
      </c>
      <c r="R102" s="74">
        <v>0</v>
      </c>
      <c r="S102" s="97" t="s">
        <v>55</v>
      </c>
      <c r="T102" s="10">
        <v>0</v>
      </c>
      <c r="U102" s="10">
        <v>0</v>
      </c>
      <c r="V102" s="10">
        <v>0</v>
      </c>
      <c r="W102" s="10">
        <v>0</v>
      </c>
      <c r="X102" s="74">
        <v>0</v>
      </c>
      <c r="Y102" s="74">
        <v>0</v>
      </c>
      <c r="Z102" s="74">
        <v>0</v>
      </c>
      <c r="AA102" s="74">
        <v>0</v>
      </c>
      <c r="AB102" s="74">
        <v>0</v>
      </c>
      <c r="AC102" s="74">
        <v>0</v>
      </c>
      <c r="AD102" s="74">
        <v>0</v>
      </c>
      <c r="AE102" s="74">
        <v>0</v>
      </c>
      <c r="AF102" s="74">
        <v>0</v>
      </c>
      <c r="AG102" s="90">
        <f t="shared" si="4"/>
        <v>0</v>
      </c>
      <c r="AH102" s="90">
        <f t="shared" si="3"/>
        <v>0</v>
      </c>
      <c r="AI102" s="90">
        <f t="shared" si="5"/>
        <v>0</v>
      </c>
    </row>
    <row r="103" spans="1:35" x14ac:dyDescent="0.35">
      <c r="A103" s="93"/>
      <c r="B103" s="95"/>
      <c r="C103" s="96">
        <v>45905</v>
      </c>
      <c r="D103" s="97" t="s">
        <v>55</v>
      </c>
      <c r="E103" s="97" t="s">
        <v>55</v>
      </c>
      <c r="F103" s="10">
        <v>0</v>
      </c>
      <c r="G103" s="10">
        <v>0</v>
      </c>
      <c r="H103" s="10">
        <v>0</v>
      </c>
      <c r="I103" s="10">
        <v>0</v>
      </c>
      <c r="J103" s="74">
        <v>0</v>
      </c>
      <c r="K103" s="74">
        <v>0</v>
      </c>
      <c r="L103" s="74">
        <v>0</v>
      </c>
      <c r="M103" s="74">
        <v>0</v>
      </c>
      <c r="N103" s="74">
        <v>0</v>
      </c>
      <c r="O103" s="74">
        <v>0</v>
      </c>
      <c r="P103" s="74">
        <v>0</v>
      </c>
      <c r="Q103" s="74">
        <v>0</v>
      </c>
      <c r="R103" s="74">
        <v>0</v>
      </c>
      <c r="S103" s="97" t="s">
        <v>55</v>
      </c>
      <c r="T103" s="10">
        <v>0</v>
      </c>
      <c r="U103" s="10">
        <v>0</v>
      </c>
      <c r="V103" s="10">
        <v>0</v>
      </c>
      <c r="W103" s="10">
        <v>0</v>
      </c>
      <c r="X103" s="74">
        <v>0</v>
      </c>
      <c r="Y103" s="74">
        <v>0</v>
      </c>
      <c r="Z103" s="74">
        <v>0</v>
      </c>
      <c r="AA103" s="74">
        <v>0</v>
      </c>
      <c r="AB103" s="74">
        <v>0</v>
      </c>
      <c r="AC103" s="74">
        <v>0</v>
      </c>
      <c r="AD103" s="74">
        <v>0</v>
      </c>
      <c r="AE103" s="74">
        <v>0</v>
      </c>
      <c r="AF103" s="74">
        <v>0</v>
      </c>
      <c r="AG103" s="90">
        <f t="shared" si="4"/>
        <v>0</v>
      </c>
      <c r="AH103" s="90">
        <f t="shared" si="3"/>
        <v>0</v>
      </c>
      <c r="AI103" s="90">
        <f t="shared" si="5"/>
        <v>0</v>
      </c>
    </row>
    <row r="104" spans="1:35" x14ac:dyDescent="0.35">
      <c r="A104" s="93"/>
      <c r="B104" s="95"/>
      <c r="C104" s="96">
        <v>45908</v>
      </c>
      <c r="D104" s="97" t="s">
        <v>55</v>
      </c>
      <c r="E104" s="97" t="s">
        <v>55</v>
      </c>
      <c r="F104" s="10">
        <v>0</v>
      </c>
      <c r="G104" s="10">
        <v>0</v>
      </c>
      <c r="H104" s="10">
        <v>0</v>
      </c>
      <c r="I104" s="10">
        <v>0</v>
      </c>
      <c r="J104" s="74">
        <v>0</v>
      </c>
      <c r="K104" s="74">
        <v>0</v>
      </c>
      <c r="L104" s="74">
        <v>0</v>
      </c>
      <c r="M104" s="74">
        <v>0</v>
      </c>
      <c r="N104" s="74">
        <v>0</v>
      </c>
      <c r="O104" s="74">
        <v>0</v>
      </c>
      <c r="P104" s="74">
        <v>0</v>
      </c>
      <c r="Q104" s="74">
        <v>0</v>
      </c>
      <c r="R104" s="74">
        <v>0</v>
      </c>
      <c r="S104" s="97" t="s">
        <v>55</v>
      </c>
      <c r="T104" s="10">
        <v>0</v>
      </c>
      <c r="U104" s="10">
        <v>0</v>
      </c>
      <c r="V104" s="10">
        <v>0</v>
      </c>
      <c r="W104" s="10">
        <v>0</v>
      </c>
      <c r="X104" s="74">
        <v>0</v>
      </c>
      <c r="Y104" s="74">
        <v>0</v>
      </c>
      <c r="Z104" s="74">
        <v>0</v>
      </c>
      <c r="AA104" s="74">
        <v>0</v>
      </c>
      <c r="AB104" s="74">
        <v>0</v>
      </c>
      <c r="AC104" s="74">
        <v>0</v>
      </c>
      <c r="AD104" s="74">
        <v>0</v>
      </c>
      <c r="AE104" s="74">
        <v>0</v>
      </c>
      <c r="AF104" s="74">
        <v>0</v>
      </c>
      <c r="AG104" s="90">
        <f t="shared" si="4"/>
        <v>0</v>
      </c>
      <c r="AH104" s="90">
        <f t="shared" si="3"/>
        <v>0</v>
      </c>
      <c r="AI104" s="90">
        <f t="shared" si="5"/>
        <v>0</v>
      </c>
    </row>
    <row r="105" spans="1:35" x14ac:dyDescent="0.35">
      <c r="A105" s="93"/>
      <c r="B105" s="95"/>
      <c r="C105" s="96">
        <v>45910</v>
      </c>
      <c r="D105" s="97">
        <v>7</v>
      </c>
      <c r="E105" s="97" t="s">
        <v>55</v>
      </c>
      <c r="F105" s="10">
        <v>0</v>
      </c>
      <c r="G105" s="10">
        <v>0</v>
      </c>
      <c r="H105" s="10">
        <v>0</v>
      </c>
      <c r="I105" s="10">
        <v>0</v>
      </c>
      <c r="J105" s="74">
        <v>0</v>
      </c>
      <c r="K105" s="74">
        <v>0</v>
      </c>
      <c r="L105" s="74">
        <v>0</v>
      </c>
      <c r="M105" s="74">
        <v>0</v>
      </c>
      <c r="N105" s="74">
        <v>0</v>
      </c>
      <c r="O105" s="74">
        <v>0</v>
      </c>
      <c r="P105" s="74">
        <v>0</v>
      </c>
      <c r="Q105" s="74">
        <v>0</v>
      </c>
      <c r="R105" s="74">
        <v>0</v>
      </c>
      <c r="S105" s="97" t="s">
        <v>137</v>
      </c>
      <c r="T105" s="10">
        <v>3</v>
      </c>
      <c r="U105" s="10">
        <v>0</v>
      </c>
      <c r="V105" s="10">
        <v>0</v>
      </c>
      <c r="W105" s="10">
        <v>1</v>
      </c>
      <c r="X105" s="74">
        <v>0</v>
      </c>
      <c r="Y105" s="74">
        <v>0</v>
      </c>
      <c r="Z105" s="74">
        <v>0</v>
      </c>
      <c r="AA105" s="74">
        <v>1</v>
      </c>
      <c r="AB105" s="74">
        <v>0</v>
      </c>
      <c r="AC105" s="74">
        <v>0</v>
      </c>
      <c r="AD105" s="74">
        <v>0</v>
      </c>
      <c r="AE105" s="74">
        <v>0</v>
      </c>
      <c r="AF105" s="74">
        <v>0</v>
      </c>
      <c r="AG105" s="90">
        <f t="shared" si="4"/>
        <v>5</v>
      </c>
      <c r="AH105" s="90">
        <f t="shared" si="3"/>
        <v>4</v>
      </c>
      <c r="AI105" s="90">
        <f t="shared" si="5"/>
        <v>1</v>
      </c>
    </row>
    <row r="106" spans="1:35" x14ac:dyDescent="0.35">
      <c r="A106" s="93"/>
      <c r="B106" s="95"/>
      <c r="C106" s="96">
        <v>45912</v>
      </c>
      <c r="D106" s="97">
        <v>7</v>
      </c>
      <c r="E106" s="97" t="s">
        <v>134</v>
      </c>
      <c r="F106" s="10">
        <v>3</v>
      </c>
      <c r="G106" s="10">
        <v>0</v>
      </c>
      <c r="H106" s="10">
        <v>0</v>
      </c>
      <c r="I106" s="10">
        <v>0</v>
      </c>
      <c r="J106" s="74">
        <v>0</v>
      </c>
      <c r="K106" s="74">
        <v>0</v>
      </c>
      <c r="L106" s="74">
        <v>0</v>
      </c>
      <c r="M106" s="74">
        <v>0</v>
      </c>
      <c r="N106" s="74">
        <v>0</v>
      </c>
      <c r="O106" s="74">
        <v>0</v>
      </c>
      <c r="P106" s="74">
        <v>0</v>
      </c>
      <c r="Q106" s="74">
        <v>0</v>
      </c>
      <c r="R106" s="74">
        <v>0</v>
      </c>
      <c r="S106" s="97" t="s">
        <v>146</v>
      </c>
      <c r="T106" s="10">
        <v>8</v>
      </c>
      <c r="U106" s="10">
        <v>3</v>
      </c>
      <c r="V106" s="10">
        <v>0</v>
      </c>
      <c r="W106" s="10">
        <v>0</v>
      </c>
      <c r="X106" s="74">
        <v>0</v>
      </c>
      <c r="Y106" s="74">
        <v>0</v>
      </c>
      <c r="Z106" s="74">
        <v>0</v>
      </c>
      <c r="AA106" s="74">
        <v>1</v>
      </c>
      <c r="AB106" s="74">
        <v>0</v>
      </c>
      <c r="AC106" s="74">
        <v>0</v>
      </c>
      <c r="AD106" s="74">
        <v>0</v>
      </c>
      <c r="AE106" s="74">
        <v>0</v>
      </c>
      <c r="AF106" s="74">
        <v>0</v>
      </c>
      <c r="AG106" s="90">
        <f t="shared" si="4"/>
        <v>15</v>
      </c>
      <c r="AH106" s="90">
        <f t="shared" si="3"/>
        <v>14</v>
      </c>
      <c r="AI106" s="90">
        <f t="shared" si="5"/>
        <v>1</v>
      </c>
    </row>
    <row r="107" spans="1:35" x14ac:dyDescent="0.35">
      <c r="A107" s="93"/>
      <c r="B107" s="95"/>
      <c r="C107" s="96">
        <v>45915</v>
      </c>
      <c r="D107" s="97">
        <v>7</v>
      </c>
      <c r="E107" s="97" t="s">
        <v>171</v>
      </c>
      <c r="F107" s="10">
        <v>5</v>
      </c>
      <c r="G107" s="10">
        <v>0</v>
      </c>
      <c r="H107" s="10">
        <v>0</v>
      </c>
      <c r="I107" s="10">
        <v>0</v>
      </c>
      <c r="J107" s="74">
        <v>0</v>
      </c>
      <c r="K107" s="74">
        <v>0</v>
      </c>
      <c r="L107" s="74">
        <v>0</v>
      </c>
      <c r="M107" s="74">
        <v>0</v>
      </c>
      <c r="N107" s="74">
        <v>0</v>
      </c>
      <c r="O107" s="74">
        <v>0</v>
      </c>
      <c r="P107" s="74">
        <v>0</v>
      </c>
      <c r="Q107" s="74">
        <v>0</v>
      </c>
      <c r="R107" s="74">
        <v>0</v>
      </c>
      <c r="S107" s="97" t="s">
        <v>170</v>
      </c>
      <c r="T107" s="10">
        <v>0</v>
      </c>
      <c r="U107" s="10">
        <v>3</v>
      </c>
      <c r="V107" s="10">
        <v>0</v>
      </c>
      <c r="W107" s="10">
        <v>1</v>
      </c>
      <c r="X107" s="74">
        <v>0</v>
      </c>
      <c r="Y107" s="74">
        <v>1</v>
      </c>
      <c r="Z107" s="74">
        <v>0</v>
      </c>
      <c r="AA107" s="74">
        <v>0</v>
      </c>
      <c r="AB107" s="74">
        <v>0</v>
      </c>
      <c r="AC107" s="74">
        <v>0</v>
      </c>
      <c r="AD107" s="74">
        <v>0</v>
      </c>
      <c r="AE107" s="74">
        <v>0</v>
      </c>
      <c r="AF107" s="74">
        <v>0</v>
      </c>
      <c r="AG107" s="90">
        <f t="shared" si="4"/>
        <v>10</v>
      </c>
      <c r="AH107" s="90">
        <f t="shared" si="3"/>
        <v>9</v>
      </c>
      <c r="AI107" s="90">
        <f t="shared" si="5"/>
        <v>1</v>
      </c>
    </row>
    <row r="108" spans="1:35" x14ac:dyDescent="0.35">
      <c r="A108" s="93"/>
      <c r="B108" s="95"/>
      <c r="C108" s="96">
        <v>45918</v>
      </c>
      <c r="D108" s="97">
        <v>7</v>
      </c>
      <c r="E108" s="97" t="s">
        <v>496</v>
      </c>
      <c r="F108" s="10">
        <v>8</v>
      </c>
      <c r="G108" s="10">
        <v>1</v>
      </c>
      <c r="H108" s="10">
        <v>0</v>
      </c>
      <c r="I108" s="10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74">
        <v>0</v>
      </c>
      <c r="P108" s="74">
        <v>0</v>
      </c>
      <c r="Q108" s="74">
        <v>0</v>
      </c>
      <c r="R108" s="74">
        <v>0</v>
      </c>
      <c r="S108" s="97" t="s">
        <v>497</v>
      </c>
      <c r="T108" s="10">
        <v>3</v>
      </c>
      <c r="U108" s="10">
        <v>1</v>
      </c>
      <c r="V108" s="10">
        <v>0</v>
      </c>
      <c r="W108" s="10">
        <v>2</v>
      </c>
      <c r="X108" s="74">
        <v>0</v>
      </c>
      <c r="Y108" s="74">
        <v>0</v>
      </c>
      <c r="Z108" s="74">
        <v>0</v>
      </c>
      <c r="AA108" s="74">
        <v>0</v>
      </c>
      <c r="AB108" s="74">
        <v>0</v>
      </c>
      <c r="AC108" s="74">
        <v>0</v>
      </c>
      <c r="AD108" s="74">
        <v>0</v>
      </c>
      <c r="AE108" s="74">
        <v>0</v>
      </c>
      <c r="AF108" s="74">
        <v>0</v>
      </c>
      <c r="AG108" s="90">
        <f t="shared" si="4"/>
        <v>15</v>
      </c>
      <c r="AH108" s="90">
        <f t="shared" si="3"/>
        <v>15</v>
      </c>
      <c r="AI108" s="90">
        <f t="shared" si="5"/>
        <v>0</v>
      </c>
    </row>
    <row r="109" spans="1:35" x14ac:dyDescent="0.35">
      <c r="A109" s="93"/>
      <c r="B109" s="95"/>
      <c r="C109" s="96">
        <v>45922</v>
      </c>
      <c r="D109" s="97">
        <v>7</v>
      </c>
      <c r="E109" s="97" t="s">
        <v>208</v>
      </c>
      <c r="F109" s="10">
        <v>3</v>
      </c>
      <c r="G109" s="10">
        <v>2</v>
      </c>
      <c r="H109" s="10">
        <v>0</v>
      </c>
      <c r="I109" s="10">
        <v>0</v>
      </c>
      <c r="J109" s="74">
        <v>0</v>
      </c>
      <c r="K109" s="74">
        <v>1</v>
      </c>
      <c r="L109" s="74">
        <v>0</v>
      </c>
      <c r="M109" s="74">
        <v>0</v>
      </c>
      <c r="N109" s="74">
        <v>0</v>
      </c>
      <c r="O109" s="74">
        <v>0</v>
      </c>
      <c r="P109" s="74">
        <v>0</v>
      </c>
      <c r="Q109" s="74">
        <v>0</v>
      </c>
      <c r="R109" s="74">
        <v>0</v>
      </c>
      <c r="S109" s="97" t="s">
        <v>207</v>
      </c>
      <c r="T109" s="10">
        <v>0</v>
      </c>
      <c r="U109" s="10">
        <v>3</v>
      </c>
      <c r="V109" s="10">
        <v>0</v>
      </c>
      <c r="W109" s="10">
        <v>1</v>
      </c>
      <c r="X109" s="74">
        <v>0</v>
      </c>
      <c r="Y109" s="74">
        <v>1</v>
      </c>
      <c r="Z109" s="74">
        <v>0</v>
      </c>
      <c r="AA109" s="74">
        <v>1</v>
      </c>
      <c r="AB109" s="74">
        <v>0</v>
      </c>
      <c r="AC109" s="74">
        <v>0</v>
      </c>
      <c r="AD109" s="74">
        <v>0</v>
      </c>
      <c r="AE109" s="74">
        <v>0</v>
      </c>
      <c r="AF109" s="74">
        <v>0</v>
      </c>
      <c r="AG109" s="90">
        <f t="shared" si="4"/>
        <v>12</v>
      </c>
      <c r="AH109" s="90">
        <f t="shared" si="3"/>
        <v>9</v>
      </c>
      <c r="AI109" s="90">
        <f t="shared" si="5"/>
        <v>3</v>
      </c>
    </row>
    <row r="110" spans="1:35" x14ac:dyDescent="0.35">
      <c r="A110" s="93"/>
      <c r="B110" s="95"/>
      <c r="C110" s="96">
        <v>45925</v>
      </c>
      <c r="D110" s="97">
        <v>7</v>
      </c>
      <c r="E110" s="97" t="s">
        <v>220</v>
      </c>
      <c r="F110" s="10">
        <v>3</v>
      </c>
      <c r="G110" s="10">
        <v>0</v>
      </c>
      <c r="H110" s="10">
        <v>0</v>
      </c>
      <c r="I110" s="10">
        <v>0</v>
      </c>
      <c r="J110" s="74">
        <v>0</v>
      </c>
      <c r="K110" s="74">
        <v>1</v>
      </c>
      <c r="L110" s="74">
        <v>0</v>
      </c>
      <c r="M110" s="74">
        <v>0</v>
      </c>
      <c r="N110" s="74">
        <v>0</v>
      </c>
      <c r="O110" s="74">
        <v>0</v>
      </c>
      <c r="P110" s="74">
        <v>0</v>
      </c>
      <c r="Q110" s="74">
        <v>0</v>
      </c>
      <c r="R110" s="74">
        <v>0</v>
      </c>
      <c r="S110" s="97" t="s">
        <v>219</v>
      </c>
      <c r="T110" s="10">
        <v>3</v>
      </c>
      <c r="U110" s="10">
        <v>0</v>
      </c>
      <c r="V110" s="10">
        <v>0</v>
      </c>
      <c r="W110" s="10">
        <v>1</v>
      </c>
      <c r="X110" s="74">
        <v>0</v>
      </c>
      <c r="Y110" s="74">
        <v>2</v>
      </c>
      <c r="Z110" s="74">
        <v>1</v>
      </c>
      <c r="AA110" s="74">
        <v>0</v>
      </c>
      <c r="AB110" s="74">
        <v>0</v>
      </c>
      <c r="AC110" s="74">
        <v>0</v>
      </c>
      <c r="AD110" s="74">
        <v>0</v>
      </c>
      <c r="AE110" s="74">
        <v>0</v>
      </c>
      <c r="AF110" s="74">
        <v>0</v>
      </c>
      <c r="AG110" s="90">
        <f t="shared" si="4"/>
        <v>11</v>
      </c>
      <c r="AH110" s="90">
        <f t="shared" si="3"/>
        <v>7</v>
      </c>
      <c r="AI110" s="90">
        <f t="shared" si="5"/>
        <v>4</v>
      </c>
    </row>
    <row r="111" spans="1:35" x14ac:dyDescent="0.35">
      <c r="A111" s="93"/>
      <c r="B111" s="95"/>
      <c r="C111" s="96">
        <v>45930</v>
      </c>
      <c r="D111" s="97">
        <v>7</v>
      </c>
      <c r="E111" s="97" t="s">
        <v>247</v>
      </c>
      <c r="F111" s="10">
        <v>0</v>
      </c>
      <c r="G111" s="10">
        <v>1</v>
      </c>
      <c r="H111" s="10">
        <v>0</v>
      </c>
      <c r="I111" s="10">
        <v>1</v>
      </c>
      <c r="J111" s="74">
        <v>0</v>
      </c>
      <c r="K111" s="74">
        <v>0</v>
      </c>
      <c r="L111" s="74">
        <v>0</v>
      </c>
      <c r="M111" s="74">
        <v>0</v>
      </c>
      <c r="N111" s="74">
        <v>0</v>
      </c>
      <c r="O111" s="74">
        <v>0</v>
      </c>
      <c r="P111" s="74">
        <v>0</v>
      </c>
      <c r="Q111" s="74">
        <v>0</v>
      </c>
      <c r="R111" s="74">
        <v>0</v>
      </c>
      <c r="S111" s="97" t="s">
        <v>246</v>
      </c>
      <c r="T111" s="10">
        <v>2</v>
      </c>
      <c r="U111" s="10">
        <v>0</v>
      </c>
      <c r="V111" s="10">
        <v>0</v>
      </c>
      <c r="W111" s="10">
        <v>0</v>
      </c>
      <c r="X111" s="74">
        <v>0</v>
      </c>
      <c r="Y111" s="74">
        <v>0</v>
      </c>
      <c r="Z111" s="74">
        <v>0</v>
      </c>
      <c r="AA111" s="74">
        <v>0</v>
      </c>
      <c r="AB111" s="74">
        <v>0</v>
      </c>
      <c r="AC111" s="74">
        <v>2</v>
      </c>
      <c r="AD111" s="74">
        <v>0</v>
      </c>
      <c r="AE111" s="74">
        <v>0</v>
      </c>
      <c r="AF111" s="74">
        <v>0</v>
      </c>
      <c r="AG111" s="90">
        <f t="shared" si="4"/>
        <v>6</v>
      </c>
      <c r="AH111" s="90">
        <f t="shared" si="3"/>
        <v>4</v>
      </c>
      <c r="AI111" s="90">
        <f t="shared" si="5"/>
        <v>2</v>
      </c>
    </row>
    <row r="112" spans="1:35" x14ac:dyDescent="0.35">
      <c r="A112" s="93"/>
      <c r="B112" s="95"/>
      <c r="C112" s="96">
        <v>45936</v>
      </c>
      <c r="D112" s="97">
        <v>7</v>
      </c>
      <c r="E112" s="97" t="s">
        <v>220</v>
      </c>
      <c r="F112" s="10">
        <v>3</v>
      </c>
      <c r="G112" s="10">
        <v>0</v>
      </c>
      <c r="H112" s="10">
        <v>0</v>
      </c>
      <c r="I112" s="10">
        <v>0</v>
      </c>
      <c r="J112" s="74">
        <v>0</v>
      </c>
      <c r="K112" s="74">
        <v>1</v>
      </c>
      <c r="L112" s="74">
        <v>0</v>
      </c>
      <c r="M112" s="74">
        <v>0</v>
      </c>
      <c r="N112" s="74">
        <v>0</v>
      </c>
      <c r="O112" s="74">
        <v>0</v>
      </c>
      <c r="P112" s="74">
        <v>0</v>
      </c>
      <c r="Q112" s="74">
        <v>0</v>
      </c>
      <c r="R112" s="74">
        <v>0</v>
      </c>
      <c r="S112" s="97" t="s">
        <v>277</v>
      </c>
      <c r="T112" s="10">
        <v>0</v>
      </c>
      <c r="U112" s="10">
        <v>0</v>
      </c>
      <c r="V112" s="10">
        <v>0</v>
      </c>
      <c r="W112" s="10">
        <v>0</v>
      </c>
      <c r="X112" s="74">
        <v>0</v>
      </c>
      <c r="Y112" s="74">
        <v>0</v>
      </c>
      <c r="Z112" s="74">
        <v>0</v>
      </c>
      <c r="AA112" s="74">
        <v>0</v>
      </c>
      <c r="AB112" s="74">
        <v>0</v>
      </c>
      <c r="AC112" s="74">
        <v>2</v>
      </c>
      <c r="AD112" s="74">
        <v>0</v>
      </c>
      <c r="AE112" s="74">
        <v>0</v>
      </c>
      <c r="AF112" s="74">
        <v>0</v>
      </c>
      <c r="AG112" s="90">
        <f t="shared" si="4"/>
        <v>6</v>
      </c>
      <c r="AH112" s="90">
        <f t="shared" si="3"/>
        <v>3</v>
      </c>
      <c r="AI112" s="90">
        <f t="shared" si="5"/>
        <v>3</v>
      </c>
    </row>
    <row r="113" spans="1:35" x14ac:dyDescent="0.35">
      <c r="A113" s="93"/>
      <c r="B113" s="95"/>
      <c r="C113" s="96">
        <v>45939</v>
      </c>
      <c r="D113" s="97">
        <v>7</v>
      </c>
      <c r="E113" s="97" t="s">
        <v>250</v>
      </c>
      <c r="F113" s="10">
        <v>1</v>
      </c>
      <c r="G113" s="10">
        <v>2</v>
      </c>
      <c r="H113" s="10">
        <v>0</v>
      </c>
      <c r="I113" s="10">
        <v>0</v>
      </c>
      <c r="J113" s="74">
        <v>0</v>
      </c>
      <c r="K113" s="74">
        <v>0</v>
      </c>
      <c r="L113" s="74">
        <v>0</v>
      </c>
      <c r="M113" s="74">
        <v>0</v>
      </c>
      <c r="N113" s="74">
        <v>0</v>
      </c>
      <c r="O113" s="74">
        <v>0</v>
      </c>
      <c r="P113" s="74">
        <v>0</v>
      </c>
      <c r="Q113" s="74">
        <v>0</v>
      </c>
      <c r="R113" s="74">
        <v>0</v>
      </c>
      <c r="S113" s="97" t="s">
        <v>226</v>
      </c>
      <c r="T113" s="10">
        <v>3</v>
      </c>
      <c r="U113" s="10">
        <v>1</v>
      </c>
      <c r="V113" s="10">
        <v>0</v>
      </c>
      <c r="W113" s="10">
        <v>1</v>
      </c>
      <c r="X113" s="74">
        <v>0</v>
      </c>
      <c r="Y113" s="74">
        <v>0</v>
      </c>
      <c r="Z113" s="74">
        <v>0</v>
      </c>
      <c r="AA113" s="74">
        <v>0</v>
      </c>
      <c r="AB113" s="74">
        <v>0</v>
      </c>
      <c r="AC113" s="74">
        <v>0</v>
      </c>
      <c r="AD113" s="74">
        <v>0</v>
      </c>
      <c r="AE113" s="74">
        <v>0</v>
      </c>
      <c r="AF113" s="74">
        <v>0</v>
      </c>
      <c r="AG113" s="90">
        <f t="shared" si="4"/>
        <v>8</v>
      </c>
      <c r="AH113" s="90">
        <f t="shared" si="3"/>
        <v>8</v>
      </c>
      <c r="AI113" s="90">
        <f t="shared" si="5"/>
        <v>0</v>
      </c>
    </row>
    <row r="114" spans="1:35" ht="58" x14ac:dyDescent="0.35">
      <c r="A114" s="93"/>
      <c r="B114" s="95"/>
      <c r="C114" s="96">
        <v>45944</v>
      </c>
      <c r="D114" s="97">
        <v>7</v>
      </c>
      <c r="E114" s="97" t="s">
        <v>242</v>
      </c>
      <c r="F114" s="10">
        <v>2</v>
      </c>
      <c r="G114" s="10">
        <v>1</v>
      </c>
      <c r="H114" s="10">
        <v>0</v>
      </c>
      <c r="I114" s="10">
        <v>0</v>
      </c>
      <c r="J114" s="74">
        <v>0</v>
      </c>
      <c r="K114" s="74">
        <v>0</v>
      </c>
      <c r="L114" s="74">
        <v>0</v>
      </c>
      <c r="M114" s="74">
        <v>0</v>
      </c>
      <c r="N114" s="74">
        <v>0</v>
      </c>
      <c r="O114" s="74">
        <v>0</v>
      </c>
      <c r="P114" s="74">
        <v>0</v>
      </c>
      <c r="Q114" s="74">
        <v>0</v>
      </c>
      <c r="R114" s="74">
        <v>0</v>
      </c>
      <c r="S114" s="99" t="s">
        <v>337</v>
      </c>
      <c r="T114" s="10">
        <v>0</v>
      </c>
      <c r="U114" s="10">
        <v>0</v>
      </c>
      <c r="V114" s="10">
        <v>0</v>
      </c>
      <c r="W114" s="10">
        <v>0</v>
      </c>
      <c r="X114" s="74">
        <v>0</v>
      </c>
      <c r="Y114" s="74">
        <v>0</v>
      </c>
      <c r="Z114" s="74">
        <v>0</v>
      </c>
      <c r="AA114" s="74">
        <v>2</v>
      </c>
      <c r="AB114" s="74">
        <v>0</v>
      </c>
      <c r="AC114" s="74">
        <v>0</v>
      </c>
      <c r="AD114" s="74">
        <v>0</v>
      </c>
      <c r="AE114" s="74">
        <v>0</v>
      </c>
      <c r="AF114" s="74">
        <v>0</v>
      </c>
      <c r="AG114" s="90">
        <f t="shared" si="4"/>
        <v>5</v>
      </c>
      <c r="AH114" s="90">
        <f t="shared" si="3"/>
        <v>3</v>
      </c>
      <c r="AI114" s="90">
        <f t="shared" si="5"/>
        <v>2</v>
      </c>
    </row>
    <row r="115" spans="1:35" ht="29" x14ac:dyDescent="0.35">
      <c r="A115" s="93"/>
      <c r="B115" s="95"/>
      <c r="C115" s="96">
        <v>45947</v>
      </c>
      <c r="D115" s="97">
        <v>7</v>
      </c>
      <c r="E115" s="97" t="s">
        <v>276</v>
      </c>
      <c r="F115" s="10">
        <v>1</v>
      </c>
      <c r="G115" s="10">
        <v>0</v>
      </c>
      <c r="H115" s="10">
        <v>0</v>
      </c>
      <c r="I115" s="10">
        <v>1</v>
      </c>
      <c r="J115" s="74">
        <v>0</v>
      </c>
      <c r="K115" s="74">
        <v>0</v>
      </c>
      <c r="L115" s="74">
        <v>0</v>
      </c>
      <c r="M115" s="74">
        <v>0</v>
      </c>
      <c r="N115" s="74">
        <v>0</v>
      </c>
      <c r="O115" s="74">
        <v>0</v>
      </c>
      <c r="P115" s="74">
        <v>0</v>
      </c>
      <c r="Q115" s="74">
        <v>0</v>
      </c>
      <c r="R115" s="74">
        <v>0</v>
      </c>
      <c r="S115" s="99" t="s">
        <v>377</v>
      </c>
      <c r="T115" s="10">
        <v>0</v>
      </c>
      <c r="U115" s="10">
        <v>2</v>
      </c>
      <c r="V115" s="10">
        <v>0</v>
      </c>
      <c r="W115" s="10">
        <v>1</v>
      </c>
      <c r="X115" s="74">
        <v>0</v>
      </c>
      <c r="Y115" s="74">
        <v>0</v>
      </c>
      <c r="Z115" s="74">
        <v>0</v>
      </c>
      <c r="AA115" s="74">
        <v>0</v>
      </c>
      <c r="AB115" s="74">
        <v>0</v>
      </c>
      <c r="AC115" s="74">
        <v>0</v>
      </c>
      <c r="AD115" s="74">
        <v>0</v>
      </c>
      <c r="AE115" s="74">
        <v>0</v>
      </c>
      <c r="AF115" s="74">
        <v>0</v>
      </c>
      <c r="AG115" s="90">
        <f t="shared" si="4"/>
        <v>5</v>
      </c>
      <c r="AH115" s="90">
        <f t="shared" si="3"/>
        <v>5</v>
      </c>
      <c r="AI115" s="90">
        <f t="shared" si="5"/>
        <v>0</v>
      </c>
    </row>
    <row r="116" spans="1:35" x14ac:dyDescent="0.35">
      <c r="A116" s="93"/>
      <c r="B116" s="95"/>
      <c r="C116" s="96"/>
      <c r="D116" s="97"/>
      <c r="E116" s="97"/>
      <c r="S116" s="99"/>
      <c r="AG116" s="90"/>
      <c r="AH116" s="90"/>
      <c r="AI116" s="90"/>
    </row>
    <row r="117" spans="1:35" x14ac:dyDescent="0.35">
      <c r="A117" s="93">
        <v>8</v>
      </c>
      <c r="B117" s="95" t="s">
        <v>132</v>
      </c>
      <c r="C117" s="96">
        <v>45908</v>
      </c>
      <c r="D117" s="97" t="s">
        <v>55</v>
      </c>
      <c r="E117" s="97" t="s">
        <v>55</v>
      </c>
      <c r="F117" s="10">
        <v>0</v>
      </c>
      <c r="G117" s="10">
        <v>0</v>
      </c>
      <c r="H117" s="10">
        <v>0</v>
      </c>
      <c r="I117" s="10">
        <v>0</v>
      </c>
      <c r="J117" s="74">
        <v>0</v>
      </c>
      <c r="K117" s="74">
        <v>0</v>
      </c>
      <c r="L117" s="74">
        <v>0</v>
      </c>
      <c r="M117" s="74">
        <v>0</v>
      </c>
      <c r="N117" s="74">
        <v>0</v>
      </c>
      <c r="O117" s="74">
        <v>0</v>
      </c>
      <c r="P117" s="74">
        <v>0</v>
      </c>
      <c r="Q117" s="74">
        <v>0</v>
      </c>
      <c r="R117" s="74">
        <v>0</v>
      </c>
      <c r="S117" s="97" t="s">
        <v>55</v>
      </c>
      <c r="T117" s="10">
        <v>0</v>
      </c>
      <c r="U117" s="10">
        <v>0</v>
      </c>
      <c r="V117" s="10">
        <v>0</v>
      </c>
      <c r="W117" s="10">
        <v>0</v>
      </c>
      <c r="X117" s="74">
        <v>0</v>
      </c>
      <c r="Y117" s="74">
        <v>0</v>
      </c>
      <c r="Z117" s="74">
        <v>0</v>
      </c>
      <c r="AA117" s="74">
        <v>0</v>
      </c>
      <c r="AB117" s="74">
        <v>0</v>
      </c>
      <c r="AC117" s="74">
        <v>0</v>
      </c>
      <c r="AD117" s="74">
        <v>0</v>
      </c>
      <c r="AE117" s="74">
        <v>0</v>
      </c>
      <c r="AF117" s="74">
        <v>0</v>
      </c>
      <c r="AG117" s="90">
        <f t="shared" si="4"/>
        <v>0</v>
      </c>
      <c r="AH117" s="90">
        <f t="shared" si="3"/>
        <v>0</v>
      </c>
      <c r="AI117" s="90">
        <f t="shared" si="5"/>
        <v>0</v>
      </c>
    </row>
    <row r="118" spans="1:35" x14ac:dyDescent="0.35">
      <c r="A118" s="93"/>
      <c r="B118" s="95"/>
      <c r="C118" s="96">
        <v>45910</v>
      </c>
      <c r="D118" s="97" t="s">
        <v>55</v>
      </c>
      <c r="E118" s="97" t="s">
        <v>55</v>
      </c>
      <c r="F118" s="10">
        <v>0</v>
      </c>
      <c r="G118" s="10">
        <v>0</v>
      </c>
      <c r="H118" s="10">
        <v>0</v>
      </c>
      <c r="I118" s="10">
        <v>0</v>
      </c>
      <c r="J118" s="74">
        <v>0</v>
      </c>
      <c r="K118" s="74">
        <v>0</v>
      </c>
      <c r="L118" s="74">
        <v>0</v>
      </c>
      <c r="M118" s="74">
        <v>0</v>
      </c>
      <c r="N118" s="74">
        <v>0</v>
      </c>
      <c r="O118" s="74">
        <v>0</v>
      </c>
      <c r="P118" s="74">
        <v>0</v>
      </c>
      <c r="Q118" s="74">
        <v>0</v>
      </c>
      <c r="R118" s="74">
        <v>0</v>
      </c>
      <c r="S118" s="97" t="s">
        <v>55</v>
      </c>
      <c r="T118" s="10">
        <v>0</v>
      </c>
      <c r="U118" s="10">
        <v>0</v>
      </c>
      <c r="V118" s="10">
        <v>0</v>
      </c>
      <c r="W118" s="10">
        <v>0</v>
      </c>
      <c r="X118" s="74">
        <v>0</v>
      </c>
      <c r="Y118" s="74">
        <v>0</v>
      </c>
      <c r="Z118" s="74">
        <v>0</v>
      </c>
      <c r="AA118" s="74">
        <v>0</v>
      </c>
      <c r="AB118" s="74">
        <v>0</v>
      </c>
      <c r="AC118" s="74">
        <v>0</v>
      </c>
      <c r="AD118" s="74">
        <v>0</v>
      </c>
      <c r="AE118" s="74">
        <v>0</v>
      </c>
      <c r="AF118" s="74">
        <v>0</v>
      </c>
      <c r="AG118" s="90">
        <f t="shared" si="4"/>
        <v>0</v>
      </c>
      <c r="AH118" s="90">
        <f t="shared" si="3"/>
        <v>0</v>
      </c>
      <c r="AI118" s="90">
        <f t="shared" si="5"/>
        <v>0</v>
      </c>
    </row>
    <row r="119" spans="1:35" x14ac:dyDescent="0.35">
      <c r="A119" s="93"/>
      <c r="B119" s="95"/>
      <c r="C119" s="96">
        <v>45912</v>
      </c>
      <c r="D119" s="97" t="s">
        <v>55</v>
      </c>
      <c r="E119" s="97" t="s">
        <v>55</v>
      </c>
      <c r="F119" s="10">
        <v>0</v>
      </c>
      <c r="G119" s="10">
        <v>0</v>
      </c>
      <c r="H119" s="10">
        <v>0</v>
      </c>
      <c r="I119" s="10">
        <v>0</v>
      </c>
      <c r="J119" s="74">
        <v>0</v>
      </c>
      <c r="K119" s="74">
        <v>0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0</v>
      </c>
      <c r="R119" s="74">
        <v>0</v>
      </c>
      <c r="S119" s="97" t="s">
        <v>55</v>
      </c>
      <c r="T119" s="10">
        <v>0</v>
      </c>
      <c r="U119" s="10">
        <v>0</v>
      </c>
      <c r="V119" s="10">
        <v>0</v>
      </c>
      <c r="W119" s="10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0</v>
      </c>
      <c r="AF119" s="74">
        <v>0</v>
      </c>
      <c r="AG119" s="90">
        <f t="shared" si="4"/>
        <v>0</v>
      </c>
      <c r="AH119" s="90">
        <f t="shared" si="3"/>
        <v>0</v>
      </c>
      <c r="AI119" s="90">
        <f t="shared" si="5"/>
        <v>0</v>
      </c>
    </row>
    <row r="120" spans="1:35" x14ac:dyDescent="0.35">
      <c r="A120" s="93"/>
      <c r="B120" s="95"/>
      <c r="C120" s="96">
        <v>45915</v>
      </c>
      <c r="D120" s="97" t="s">
        <v>55</v>
      </c>
      <c r="E120" s="97" t="s">
        <v>55</v>
      </c>
      <c r="F120" s="10">
        <v>0</v>
      </c>
      <c r="G120" s="10">
        <v>0</v>
      </c>
      <c r="H120" s="10">
        <v>0</v>
      </c>
      <c r="I120" s="10">
        <v>0</v>
      </c>
      <c r="J120" s="74">
        <v>0</v>
      </c>
      <c r="K120" s="74">
        <v>0</v>
      </c>
      <c r="L120" s="74">
        <v>0</v>
      </c>
      <c r="M120" s="74">
        <v>0</v>
      </c>
      <c r="N120" s="74">
        <v>0</v>
      </c>
      <c r="O120" s="74">
        <v>0</v>
      </c>
      <c r="P120" s="74">
        <v>0</v>
      </c>
      <c r="Q120" s="74">
        <v>0</v>
      </c>
      <c r="R120" s="74">
        <v>0</v>
      </c>
      <c r="S120" s="97" t="s">
        <v>55</v>
      </c>
      <c r="T120" s="10">
        <v>0</v>
      </c>
      <c r="U120" s="10">
        <v>0</v>
      </c>
      <c r="V120" s="10">
        <v>0</v>
      </c>
      <c r="W120" s="10">
        <v>0</v>
      </c>
      <c r="X120" s="74">
        <v>0</v>
      </c>
      <c r="Y120" s="74">
        <v>0</v>
      </c>
      <c r="Z120" s="74">
        <v>0</v>
      </c>
      <c r="AA120" s="74">
        <v>0</v>
      </c>
      <c r="AB120" s="74">
        <v>0</v>
      </c>
      <c r="AC120" s="74">
        <v>0</v>
      </c>
      <c r="AD120" s="74">
        <v>0</v>
      </c>
      <c r="AE120" s="74">
        <v>0</v>
      </c>
      <c r="AF120" s="74">
        <v>0</v>
      </c>
      <c r="AG120" s="90">
        <f t="shared" si="4"/>
        <v>0</v>
      </c>
      <c r="AH120" s="90">
        <f t="shared" si="3"/>
        <v>0</v>
      </c>
      <c r="AI120" s="90">
        <f t="shared" si="5"/>
        <v>0</v>
      </c>
    </row>
    <row r="121" spans="1:35" x14ac:dyDescent="0.35">
      <c r="A121" s="93"/>
      <c r="B121" s="95"/>
      <c r="C121" s="96">
        <v>45918</v>
      </c>
      <c r="D121" s="97">
        <v>11</v>
      </c>
      <c r="E121" s="97" t="s">
        <v>124</v>
      </c>
      <c r="F121" s="10">
        <v>4</v>
      </c>
      <c r="G121" s="10">
        <v>1</v>
      </c>
      <c r="H121" s="10">
        <v>0</v>
      </c>
      <c r="I121" s="10">
        <v>0</v>
      </c>
      <c r="J121" s="74">
        <v>0</v>
      </c>
      <c r="K121" s="74">
        <v>0</v>
      </c>
      <c r="L121" s="74">
        <v>0</v>
      </c>
      <c r="M121" s="74">
        <v>0</v>
      </c>
      <c r="N121" s="74">
        <v>0</v>
      </c>
      <c r="O121" s="74">
        <v>0</v>
      </c>
      <c r="P121" s="74">
        <v>0</v>
      </c>
      <c r="Q121" s="74">
        <v>0</v>
      </c>
      <c r="R121" s="74">
        <v>0</v>
      </c>
      <c r="S121" s="97" t="s">
        <v>184</v>
      </c>
      <c r="T121" s="10">
        <v>3</v>
      </c>
      <c r="U121" s="10">
        <v>2</v>
      </c>
      <c r="V121" s="10">
        <v>0</v>
      </c>
      <c r="W121" s="10">
        <v>0</v>
      </c>
      <c r="X121" s="74">
        <v>0</v>
      </c>
      <c r="Y121" s="74">
        <v>0</v>
      </c>
      <c r="Z121" s="74">
        <v>0</v>
      </c>
      <c r="AA121" s="74">
        <v>0</v>
      </c>
      <c r="AB121" s="74">
        <v>0</v>
      </c>
      <c r="AC121" s="74">
        <v>0</v>
      </c>
      <c r="AD121" s="74">
        <v>0</v>
      </c>
      <c r="AE121" s="74">
        <v>0</v>
      </c>
      <c r="AF121" s="74">
        <v>0</v>
      </c>
      <c r="AG121" s="90">
        <f t="shared" si="4"/>
        <v>10</v>
      </c>
      <c r="AH121" s="90">
        <f t="shared" si="3"/>
        <v>10</v>
      </c>
      <c r="AI121" s="90">
        <f t="shared" si="5"/>
        <v>0</v>
      </c>
    </row>
    <row r="122" spans="1:35" x14ac:dyDescent="0.35">
      <c r="A122" s="93"/>
      <c r="B122" s="95"/>
      <c r="C122" s="96">
        <v>45922</v>
      </c>
      <c r="D122" s="97">
        <v>11</v>
      </c>
      <c r="E122" s="97" t="s">
        <v>250</v>
      </c>
      <c r="F122" s="10">
        <v>1</v>
      </c>
      <c r="G122" s="10">
        <v>2</v>
      </c>
      <c r="H122" s="88">
        <v>0</v>
      </c>
      <c r="I122" s="88">
        <v>0</v>
      </c>
      <c r="J122" s="74">
        <v>0</v>
      </c>
      <c r="K122" s="74">
        <v>0</v>
      </c>
      <c r="L122" s="74">
        <v>0</v>
      </c>
      <c r="M122" s="74">
        <v>0</v>
      </c>
      <c r="N122" s="74">
        <v>0</v>
      </c>
      <c r="O122" s="74">
        <v>0</v>
      </c>
      <c r="P122" s="74">
        <v>0</v>
      </c>
      <c r="Q122" s="74">
        <v>0</v>
      </c>
      <c r="R122" s="74">
        <v>0</v>
      </c>
      <c r="S122" s="97" t="s">
        <v>150</v>
      </c>
      <c r="T122" s="10">
        <v>2</v>
      </c>
      <c r="U122" s="10">
        <v>0</v>
      </c>
      <c r="V122" s="10">
        <v>0</v>
      </c>
      <c r="W122" s="10">
        <v>1</v>
      </c>
      <c r="X122" s="74">
        <v>0</v>
      </c>
      <c r="Y122" s="74">
        <v>1</v>
      </c>
      <c r="Z122" s="74">
        <v>0</v>
      </c>
      <c r="AA122" s="74">
        <v>0</v>
      </c>
      <c r="AB122" s="74">
        <v>0</v>
      </c>
      <c r="AC122" s="74">
        <v>0</v>
      </c>
      <c r="AD122" s="74">
        <v>0</v>
      </c>
      <c r="AE122" s="74">
        <v>0</v>
      </c>
      <c r="AF122" s="74">
        <v>0</v>
      </c>
      <c r="AG122" s="90">
        <f t="shared" si="4"/>
        <v>7</v>
      </c>
      <c r="AH122" s="90">
        <f t="shared" si="3"/>
        <v>6</v>
      </c>
      <c r="AI122" s="90">
        <f t="shared" si="5"/>
        <v>1</v>
      </c>
    </row>
    <row r="123" spans="1:35" x14ac:dyDescent="0.35">
      <c r="A123" s="93"/>
      <c r="B123" s="95"/>
      <c r="C123" s="96">
        <v>45925</v>
      </c>
      <c r="D123" s="97">
        <v>11</v>
      </c>
      <c r="E123" s="97" t="s">
        <v>217</v>
      </c>
      <c r="F123" s="10">
        <v>0</v>
      </c>
      <c r="G123" s="10">
        <v>0</v>
      </c>
      <c r="H123" s="10">
        <v>0</v>
      </c>
      <c r="I123" s="10">
        <v>1</v>
      </c>
      <c r="J123" s="74">
        <v>0</v>
      </c>
      <c r="K123" s="74">
        <v>0</v>
      </c>
      <c r="L123" s="74">
        <v>0</v>
      </c>
      <c r="M123" s="74">
        <v>0</v>
      </c>
      <c r="N123" s="74">
        <v>0</v>
      </c>
      <c r="O123" s="74">
        <v>0</v>
      </c>
      <c r="P123" s="74">
        <v>0</v>
      </c>
      <c r="Q123" s="74">
        <v>0</v>
      </c>
      <c r="R123" s="74">
        <v>0</v>
      </c>
      <c r="S123" s="97" t="s">
        <v>218</v>
      </c>
      <c r="T123" s="10">
        <v>2</v>
      </c>
      <c r="U123" s="10">
        <v>0</v>
      </c>
      <c r="V123" s="10">
        <v>0</v>
      </c>
      <c r="W123" s="10">
        <v>0</v>
      </c>
      <c r="X123" s="74">
        <v>0</v>
      </c>
      <c r="Y123" s="74">
        <v>1</v>
      </c>
      <c r="Z123" s="74">
        <v>0</v>
      </c>
      <c r="AA123" s="74">
        <v>0</v>
      </c>
      <c r="AB123" s="74">
        <v>0</v>
      </c>
      <c r="AC123" s="74">
        <v>0</v>
      </c>
      <c r="AD123" s="74">
        <v>0</v>
      </c>
      <c r="AE123" s="74">
        <v>0</v>
      </c>
      <c r="AF123" s="74">
        <v>0</v>
      </c>
      <c r="AG123" s="90">
        <f t="shared" si="4"/>
        <v>4</v>
      </c>
      <c r="AH123" s="90">
        <f t="shared" si="3"/>
        <v>3</v>
      </c>
      <c r="AI123" s="90">
        <f t="shared" si="5"/>
        <v>1</v>
      </c>
    </row>
    <row r="124" spans="1:35" x14ac:dyDescent="0.35">
      <c r="A124" s="93"/>
      <c r="B124" s="95"/>
      <c r="C124" s="96">
        <v>45930</v>
      </c>
      <c r="D124" s="97">
        <v>11</v>
      </c>
      <c r="E124" s="97" t="s">
        <v>217</v>
      </c>
      <c r="F124" s="10">
        <v>0</v>
      </c>
      <c r="G124" s="10">
        <v>0</v>
      </c>
      <c r="H124" s="10">
        <v>0</v>
      </c>
      <c r="I124" s="10">
        <v>1</v>
      </c>
      <c r="J124" s="74">
        <v>0</v>
      </c>
      <c r="K124" s="74">
        <v>0</v>
      </c>
      <c r="L124" s="74">
        <v>0</v>
      </c>
      <c r="M124" s="74">
        <v>0</v>
      </c>
      <c r="N124" s="74">
        <v>0</v>
      </c>
      <c r="O124" s="74">
        <v>0</v>
      </c>
      <c r="P124" s="74">
        <v>0</v>
      </c>
      <c r="Q124" s="74">
        <v>0</v>
      </c>
      <c r="R124" s="74">
        <v>0</v>
      </c>
      <c r="S124" s="97" t="s">
        <v>115</v>
      </c>
      <c r="T124" s="10">
        <v>1</v>
      </c>
      <c r="U124" s="10">
        <v>0</v>
      </c>
      <c r="V124" s="10">
        <v>0</v>
      </c>
      <c r="W124" s="10">
        <v>0</v>
      </c>
      <c r="X124" s="74">
        <v>0</v>
      </c>
      <c r="Y124" s="74">
        <v>1</v>
      </c>
      <c r="Z124" s="74">
        <v>0</v>
      </c>
      <c r="AA124" s="74">
        <v>0</v>
      </c>
      <c r="AB124" s="74">
        <v>0</v>
      </c>
      <c r="AC124" s="74">
        <v>0</v>
      </c>
      <c r="AD124" s="74">
        <v>0</v>
      </c>
      <c r="AE124" s="74">
        <v>0</v>
      </c>
      <c r="AF124" s="74">
        <v>0</v>
      </c>
      <c r="AG124" s="90">
        <f t="shared" si="4"/>
        <v>3</v>
      </c>
      <c r="AH124" s="90">
        <f t="shared" si="3"/>
        <v>2</v>
      </c>
      <c r="AI124" s="90">
        <f t="shared" si="5"/>
        <v>1</v>
      </c>
    </row>
    <row r="125" spans="1:35" x14ac:dyDescent="0.35">
      <c r="A125" s="93"/>
      <c r="B125" s="95"/>
      <c r="C125" s="96">
        <v>45936</v>
      </c>
      <c r="D125" s="97">
        <v>11</v>
      </c>
      <c r="E125" s="97" t="s">
        <v>268</v>
      </c>
      <c r="F125" s="10">
        <v>0</v>
      </c>
      <c r="G125" s="10">
        <v>0</v>
      </c>
      <c r="H125" s="10">
        <v>0</v>
      </c>
      <c r="I125" s="10">
        <v>1</v>
      </c>
      <c r="J125" s="74">
        <v>0</v>
      </c>
      <c r="K125" s="74">
        <v>1</v>
      </c>
      <c r="L125" s="74">
        <v>0</v>
      </c>
      <c r="M125" s="74">
        <v>2</v>
      </c>
      <c r="N125" s="74">
        <v>0</v>
      </c>
      <c r="O125" s="74">
        <v>0</v>
      </c>
      <c r="P125" s="74">
        <v>0</v>
      </c>
      <c r="Q125" s="74">
        <v>0</v>
      </c>
      <c r="R125" s="74">
        <v>0</v>
      </c>
      <c r="S125" s="97" t="s">
        <v>500</v>
      </c>
      <c r="T125" s="10">
        <v>0</v>
      </c>
      <c r="U125" s="10">
        <v>2</v>
      </c>
      <c r="V125" s="10">
        <v>0</v>
      </c>
      <c r="W125" s="10">
        <v>1</v>
      </c>
      <c r="X125" s="74">
        <v>0</v>
      </c>
      <c r="Y125" s="74">
        <v>1</v>
      </c>
      <c r="Z125" s="74">
        <v>0</v>
      </c>
      <c r="AA125" s="74">
        <v>0</v>
      </c>
      <c r="AB125" s="74">
        <v>0</v>
      </c>
      <c r="AC125" s="74">
        <v>0</v>
      </c>
      <c r="AD125" s="74">
        <v>0</v>
      </c>
      <c r="AE125" s="74">
        <v>0</v>
      </c>
      <c r="AF125" s="74">
        <v>0</v>
      </c>
      <c r="AG125" s="90">
        <f t="shared" si="4"/>
        <v>8</v>
      </c>
      <c r="AH125" s="90">
        <f t="shared" si="3"/>
        <v>4</v>
      </c>
      <c r="AI125" s="90">
        <f t="shared" si="5"/>
        <v>4</v>
      </c>
    </row>
    <row r="126" spans="1:35" x14ac:dyDescent="0.35">
      <c r="A126" s="93"/>
      <c r="B126" s="95"/>
      <c r="C126" s="96">
        <v>45939</v>
      </c>
      <c r="D126" s="97">
        <v>11</v>
      </c>
      <c r="E126" s="97" t="s">
        <v>307</v>
      </c>
      <c r="F126" s="10">
        <v>0</v>
      </c>
      <c r="G126" s="10">
        <v>0</v>
      </c>
      <c r="H126" s="10">
        <v>0</v>
      </c>
      <c r="I126" s="10">
        <v>0</v>
      </c>
      <c r="J126" s="74">
        <v>1</v>
      </c>
      <c r="K126" s="74">
        <v>0</v>
      </c>
      <c r="L126" s="74">
        <v>0</v>
      </c>
      <c r="M126" s="74">
        <v>0</v>
      </c>
      <c r="N126" s="74">
        <v>0</v>
      </c>
      <c r="O126" s="74">
        <v>0</v>
      </c>
      <c r="P126" s="74">
        <v>0</v>
      </c>
      <c r="Q126" s="74">
        <v>0</v>
      </c>
      <c r="R126" s="74">
        <v>0</v>
      </c>
      <c r="S126" s="97" t="s">
        <v>150</v>
      </c>
      <c r="T126" s="10">
        <v>2</v>
      </c>
      <c r="U126" s="10">
        <v>0</v>
      </c>
      <c r="V126" s="10">
        <v>0</v>
      </c>
      <c r="W126" s="10">
        <v>1</v>
      </c>
      <c r="X126" s="74">
        <v>0</v>
      </c>
      <c r="Y126" s="74">
        <v>1</v>
      </c>
      <c r="Z126" s="74">
        <v>0</v>
      </c>
      <c r="AA126" s="74">
        <v>0</v>
      </c>
      <c r="AB126" s="74">
        <v>0</v>
      </c>
      <c r="AC126" s="74">
        <v>0</v>
      </c>
      <c r="AD126" s="74">
        <v>0</v>
      </c>
      <c r="AE126" s="74">
        <v>0</v>
      </c>
      <c r="AF126" s="74">
        <v>0</v>
      </c>
      <c r="AG126" s="90">
        <f t="shared" si="4"/>
        <v>5</v>
      </c>
      <c r="AH126" s="90">
        <f t="shared" si="3"/>
        <v>3</v>
      </c>
      <c r="AI126" s="90">
        <f t="shared" si="5"/>
        <v>2</v>
      </c>
    </row>
    <row r="127" spans="1:35" x14ac:dyDescent="0.35">
      <c r="A127" s="93"/>
      <c r="B127" s="95"/>
      <c r="C127" s="96">
        <v>45944</v>
      </c>
      <c r="D127" s="97">
        <v>11</v>
      </c>
      <c r="E127" s="97" t="s">
        <v>357</v>
      </c>
      <c r="F127" s="10">
        <v>0</v>
      </c>
      <c r="G127" s="10">
        <v>0</v>
      </c>
      <c r="H127" s="10">
        <v>0</v>
      </c>
      <c r="I127" s="10">
        <v>0</v>
      </c>
      <c r="J127" s="74">
        <v>0</v>
      </c>
      <c r="K127" s="74">
        <v>1</v>
      </c>
      <c r="L127" s="74">
        <v>0</v>
      </c>
      <c r="M127" s="74">
        <v>0</v>
      </c>
      <c r="N127" s="74">
        <v>0</v>
      </c>
      <c r="O127" s="74">
        <v>0</v>
      </c>
      <c r="P127" s="74">
        <v>0</v>
      </c>
      <c r="Q127" s="74">
        <v>0</v>
      </c>
      <c r="R127" s="74">
        <v>0</v>
      </c>
      <c r="S127" s="97" t="s">
        <v>153</v>
      </c>
      <c r="T127" s="10">
        <v>0</v>
      </c>
      <c r="U127" s="10">
        <v>0</v>
      </c>
      <c r="V127" s="10">
        <v>0</v>
      </c>
      <c r="W127" s="10">
        <v>1</v>
      </c>
      <c r="X127" s="74">
        <v>0</v>
      </c>
      <c r="Y127" s="74">
        <v>1</v>
      </c>
      <c r="Z127" s="74">
        <v>0</v>
      </c>
      <c r="AA127" s="74">
        <v>0</v>
      </c>
      <c r="AB127" s="74">
        <v>0</v>
      </c>
      <c r="AC127" s="74">
        <v>0</v>
      </c>
      <c r="AD127" s="74">
        <v>0</v>
      </c>
      <c r="AE127" s="74">
        <v>0</v>
      </c>
      <c r="AF127" s="74">
        <v>0</v>
      </c>
      <c r="AG127" s="90">
        <f t="shared" si="4"/>
        <v>3</v>
      </c>
      <c r="AH127" s="90">
        <f t="shared" si="3"/>
        <v>1</v>
      </c>
      <c r="AI127" s="90">
        <f t="shared" si="5"/>
        <v>2</v>
      </c>
    </row>
    <row r="128" spans="1:35" x14ac:dyDescent="0.35">
      <c r="A128" s="93"/>
      <c r="B128" s="95"/>
      <c r="C128" s="96">
        <v>45947</v>
      </c>
      <c r="D128" s="97">
        <v>11</v>
      </c>
      <c r="E128" s="97" t="s">
        <v>376</v>
      </c>
      <c r="F128" s="10">
        <v>0</v>
      </c>
      <c r="G128" s="10">
        <v>0</v>
      </c>
      <c r="H128" s="10">
        <v>0</v>
      </c>
      <c r="I128" s="10">
        <v>0</v>
      </c>
      <c r="J128" s="74">
        <v>0</v>
      </c>
      <c r="K128" s="74">
        <v>0</v>
      </c>
      <c r="L128" s="74">
        <v>0</v>
      </c>
      <c r="M128" s="74">
        <v>0</v>
      </c>
      <c r="N128" s="74">
        <v>0</v>
      </c>
      <c r="O128" s="74">
        <v>1</v>
      </c>
      <c r="P128" s="74">
        <v>0</v>
      </c>
      <c r="Q128" s="74">
        <v>0</v>
      </c>
      <c r="R128" s="74">
        <v>0</v>
      </c>
      <c r="S128" s="97" t="s">
        <v>280</v>
      </c>
      <c r="T128" s="10">
        <v>0</v>
      </c>
      <c r="U128" s="10">
        <v>0</v>
      </c>
      <c r="V128" s="10">
        <v>0</v>
      </c>
      <c r="W128" s="10">
        <v>0</v>
      </c>
      <c r="X128" s="74">
        <v>0</v>
      </c>
      <c r="Y128" s="74">
        <v>0</v>
      </c>
      <c r="Z128" s="74">
        <v>0</v>
      </c>
      <c r="AA128" s="74">
        <v>0</v>
      </c>
      <c r="AB128" s="74">
        <v>0</v>
      </c>
      <c r="AC128" s="74">
        <v>2</v>
      </c>
      <c r="AD128" s="74">
        <v>0</v>
      </c>
      <c r="AE128" s="74">
        <v>0</v>
      </c>
      <c r="AF128" s="74">
        <v>0</v>
      </c>
      <c r="AG128" s="90">
        <f t="shared" si="4"/>
        <v>3</v>
      </c>
      <c r="AH128" s="90">
        <f t="shared" si="3"/>
        <v>0</v>
      </c>
      <c r="AI128" s="90">
        <f t="shared" si="5"/>
        <v>3</v>
      </c>
    </row>
    <row r="129" spans="1:35" ht="29" x14ac:dyDescent="0.35">
      <c r="A129" s="93"/>
      <c r="B129" s="95"/>
      <c r="C129" s="96">
        <v>45951</v>
      </c>
      <c r="D129" s="97">
        <v>11</v>
      </c>
      <c r="E129" s="99" t="s">
        <v>412</v>
      </c>
      <c r="F129" s="10">
        <v>3</v>
      </c>
      <c r="G129" s="10">
        <v>0</v>
      </c>
      <c r="H129" s="10">
        <v>0</v>
      </c>
      <c r="I129" s="10">
        <v>1</v>
      </c>
      <c r="J129" s="74">
        <v>0</v>
      </c>
      <c r="K129" s="74">
        <v>0</v>
      </c>
      <c r="L129" s="74">
        <v>0</v>
      </c>
      <c r="M129" s="74">
        <v>0</v>
      </c>
      <c r="N129" s="74">
        <v>0</v>
      </c>
      <c r="O129" s="74">
        <v>0</v>
      </c>
      <c r="P129" s="74">
        <v>0</v>
      </c>
      <c r="Q129" s="74">
        <v>0</v>
      </c>
      <c r="R129" s="74">
        <v>0</v>
      </c>
      <c r="S129" s="99" t="s">
        <v>413</v>
      </c>
      <c r="T129" s="10">
        <v>0</v>
      </c>
      <c r="U129" s="10">
        <v>1</v>
      </c>
      <c r="V129" s="10">
        <v>0</v>
      </c>
      <c r="W129" s="10">
        <v>1</v>
      </c>
      <c r="X129" s="74">
        <v>0</v>
      </c>
      <c r="Y129" s="74">
        <v>0</v>
      </c>
      <c r="Z129" s="74">
        <v>0</v>
      </c>
      <c r="AA129" s="74">
        <v>0</v>
      </c>
      <c r="AB129" s="74">
        <v>0</v>
      </c>
      <c r="AC129" s="74">
        <v>0</v>
      </c>
      <c r="AD129" s="74">
        <v>0</v>
      </c>
      <c r="AE129" s="74">
        <v>0</v>
      </c>
      <c r="AF129" s="74">
        <v>0</v>
      </c>
      <c r="AG129" s="90">
        <f t="shared" si="4"/>
        <v>6</v>
      </c>
      <c r="AH129" s="90">
        <f t="shared" si="3"/>
        <v>6</v>
      </c>
      <c r="AI129" s="90">
        <f t="shared" si="5"/>
        <v>0</v>
      </c>
    </row>
    <row r="130" spans="1:35" x14ac:dyDescent="0.35">
      <c r="A130" s="93"/>
      <c r="B130" s="95"/>
      <c r="C130" s="96">
        <v>45954</v>
      </c>
      <c r="D130" s="97">
        <v>11</v>
      </c>
      <c r="E130" s="97" t="s">
        <v>272</v>
      </c>
      <c r="F130" s="10">
        <v>0</v>
      </c>
      <c r="G130" s="10">
        <v>0</v>
      </c>
      <c r="H130" s="10">
        <v>0</v>
      </c>
      <c r="I130" s="10">
        <v>0</v>
      </c>
      <c r="J130" s="74">
        <v>0</v>
      </c>
      <c r="K130" s="74">
        <v>0</v>
      </c>
      <c r="L130" s="74">
        <v>0</v>
      </c>
      <c r="M130" s="74">
        <v>0</v>
      </c>
      <c r="N130" s="74">
        <v>0</v>
      </c>
      <c r="O130" s="74">
        <v>0</v>
      </c>
      <c r="P130" s="74">
        <v>0</v>
      </c>
      <c r="Q130" s="74">
        <v>0</v>
      </c>
      <c r="R130" s="74">
        <v>0</v>
      </c>
      <c r="S130" s="97" t="s">
        <v>272</v>
      </c>
      <c r="T130" s="10">
        <v>0</v>
      </c>
      <c r="U130" s="10">
        <v>0</v>
      </c>
      <c r="V130" s="10">
        <v>0</v>
      </c>
      <c r="W130" s="10">
        <v>0</v>
      </c>
      <c r="X130" s="74">
        <v>0</v>
      </c>
      <c r="Y130" s="74">
        <v>0</v>
      </c>
      <c r="Z130" s="74">
        <v>0</v>
      </c>
      <c r="AA130" s="74">
        <v>0</v>
      </c>
      <c r="AB130" s="74">
        <v>0</v>
      </c>
      <c r="AC130" s="74">
        <v>0</v>
      </c>
      <c r="AD130" s="74">
        <v>0</v>
      </c>
      <c r="AE130" s="74">
        <v>0</v>
      </c>
      <c r="AF130" s="74">
        <v>0</v>
      </c>
      <c r="AG130" s="90">
        <f t="shared" si="4"/>
        <v>0</v>
      </c>
      <c r="AH130" s="90">
        <f>F130+G130+H130+I130+T130+U130+V130+W130</f>
        <v>0</v>
      </c>
      <c r="AI130" s="90">
        <f t="shared" si="5"/>
        <v>0</v>
      </c>
    </row>
    <row r="131" spans="1:35" x14ac:dyDescent="0.35">
      <c r="A131" s="93"/>
      <c r="B131" s="95"/>
      <c r="C131" s="96"/>
      <c r="D131" s="97"/>
      <c r="E131" s="97"/>
      <c r="S131" s="97"/>
      <c r="AG131" s="90"/>
      <c r="AH131" s="90"/>
      <c r="AI131" s="90"/>
    </row>
    <row r="132" spans="1:35" x14ac:dyDescent="0.35">
      <c r="A132" s="93">
        <v>9</v>
      </c>
      <c r="B132" s="95" t="s">
        <v>136</v>
      </c>
      <c r="C132" s="96">
        <v>45910</v>
      </c>
      <c r="D132" s="97" t="s">
        <v>55</v>
      </c>
      <c r="E132" s="97" t="s">
        <v>55</v>
      </c>
      <c r="F132" s="10">
        <v>0</v>
      </c>
      <c r="G132" s="10">
        <v>0</v>
      </c>
      <c r="H132" s="10">
        <v>0</v>
      </c>
      <c r="I132" s="10">
        <v>0</v>
      </c>
      <c r="J132" s="74">
        <v>0</v>
      </c>
      <c r="K132" s="74">
        <v>0</v>
      </c>
      <c r="L132" s="74">
        <v>0</v>
      </c>
      <c r="M132" s="74">
        <v>0</v>
      </c>
      <c r="N132" s="74">
        <v>0</v>
      </c>
      <c r="O132" s="74">
        <v>0</v>
      </c>
      <c r="P132" s="74">
        <v>0</v>
      </c>
      <c r="Q132" s="74">
        <v>0</v>
      </c>
      <c r="R132" s="74">
        <v>0</v>
      </c>
      <c r="S132" s="97" t="s">
        <v>55</v>
      </c>
      <c r="T132" s="10">
        <v>0</v>
      </c>
      <c r="U132" s="10">
        <v>0</v>
      </c>
      <c r="V132" s="10">
        <v>0</v>
      </c>
      <c r="W132" s="10">
        <v>0</v>
      </c>
      <c r="X132" s="74">
        <v>0</v>
      </c>
      <c r="Y132" s="74">
        <v>0</v>
      </c>
      <c r="Z132" s="74">
        <v>0</v>
      </c>
      <c r="AA132" s="74">
        <v>0</v>
      </c>
      <c r="AB132" s="74">
        <v>0</v>
      </c>
      <c r="AC132" s="74">
        <v>0</v>
      </c>
      <c r="AD132" s="74">
        <v>0</v>
      </c>
      <c r="AE132" s="74">
        <v>0</v>
      </c>
      <c r="AF132" s="74">
        <v>0</v>
      </c>
      <c r="AG132" s="90">
        <f t="shared" ref="AG132:AG195" si="6">F132+G132+H132+I132+J132+K132+L132+M132+N132+O132+P132+Q132+R132+T132+U132+V132+W132+X132+Y132+Z132+AA132+AB132+AC132+AD132+AE132+AF132</f>
        <v>0</v>
      </c>
      <c r="AH132" s="90">
        <f t="shared" ref="AH132:AH146" si="7">F132+G132+H132+I132+T132+U132+V132+W132</f>
        <v>0</v>
      </c>
      <c r="AI132" s="90">
        <f t="shared" ref="AI132:AI195" si="8">J132+K132+L132+M132+N132+O132+P132+Q132+R132+X132+Y132+Z132+AA132+AB132+AC132+AD132+AE132+AF132</f>
        <v>0</v>
      </c>
    </row>
    <row r="133" spans="1:35" x14ac:dyDescent="0.35">
      <c r="A133" s="93"/>
      <c r="B133" s="95"/>
      <c r="C133" s="96">
        <v>45912</v>
      </c>
      <c r="D133" s="97" t="s">
        <v>55</v>
      </c>
      <c r="E133" s="97" t="s">
        <v>55</v>
      </c>
      <c r="F133" s="10">
        <v>0</v>
      </c>
      <c r="G133" s="10">
        <v>0</v>
      </c>
      <c r="H133" s="10">
        <v>0</v>
      </c>
      <c r="I133" s="10">
        <v>0</v>
      </c>
      <c r="J133" s="74">
        <v>0</v>
      </c>
      <c r="K133" s="74">
        <v>0</v>
      </c>
      <c r="L133" s="74">
        <v>0</v>
      </c>
      <c r="M133" s="74">
        <v>0</v>
      </c>
      <c r="N133" s="74">
        <v>0</v>
      </c>
      <c r="O133" s="74">
        <v>0</v>
      </c>
      <c r="P133" s="74">
        <v>0</v>
      </c>
      <c r="Q133" s="74">
        <v>0</v>
      </c>
      <c r="R133" s="74">
        <v>0</v>
      </c>
      <c r="S133" s="97" t="s">
        <v>55</v>
      </c>
      <c r="T133" s="10">
        <v>0</v>
      </c>
      <c r="U133" s="10">
        <v>0</v>
      </c>
      <c r="V133" s="10">
        <v>0</v>
      </c>
      <c r="W133" s="10">
        <v>0</v>
      </c>
      <c r="X133" s="74">
        <v>0</v>
      </c>
      <c r="Y133" s="74">
        <v>0</v>
      </c>
      <c r="Z133" s="74">
        <v>0</v>
      </c>
      <c r="AA133" s="74">
        <v>0</v>
      </c>
      <c r="AB133" s="74">
        <v>0</v>
      </c>
      <c r="AC133" s="74">
        <v>0</v>
      </c>
      <c r="AD133" s="74">
        <v>0</v>
      </c>
      <c r="AE133" s="74">
        <v>0</v>
      </c>
      <c r="AF133" s="74">
        <v>0</v>
      </c>
      <c r="AG133" s="90">
        <f t="shared" si="6"/>
        <v>0</v>
      </c>
      <c r="AH133" s="90">
        <f t="shared" si="7"/>
        <v>0</v>
      </c>
      <c r="AI133" s="90">
        <f t="shared" si="8"/>
        <v>0</v>
      </c>
    </row>
    <row r="134" spans="1:35" x14ac:dyDescent="0.35">
      <c r="A134" s="93"/>
      <c r="B134" s="95"/>
      <c r="C134" s="96">
        <v>45915</v>
      </c>
      <c r="D134" s="97">
        <v>7</v>
      </c>
      <c r="E134" s="97" t="s">
        <v>501</v>
      </c>
      <c r="F134" s="10">
        <v>1</v>
      </c>
      <c r="G134" s="10">
        <v>1</v>
      </c>
      <c r="H134" s="10">
        <v>0</v>
      </c>
      <c r="I134" s="10">
        <v>0</v>
      </c>
      <c r="J134" s="74">
        <v>1</v>
      </c>
      <c r="K134" s="74">
        <v>0</v>
      </c>
      <c r="L134" s="74">
        <v>0</v>
      </c>
      <c r="M134" s="74">
        <v>0</v>
      </c>
      <c r="N134" s="74">
        <v>0</v>
      </c>
      <c r="O134" s="74">
        <v>0</v>
      </c>
      <c r="P134" s="74">
        <v>0</v>
      </c>
      <c r="Q134" s="74">
        <v>0</v>
      </c>
      <c r="R134" s="74">
        <v>0</v>
      </c>
      <c r="S134" s="97" t="s">
        <v>164</v>
      </c>
      <c r="T134" s="10">
        <v>5</v>
      </c>
      <c r="U134" s="10">
        <v>0</v>
      </c>
      <c r="V134" s="10">
        <v>0</v>
      </c>
      <c r="W134" s="10">
        <v>1</v>
      </c>
      <c r="X134" s="74">
        <v>0</v>
      </c>
      <c r="Y134" s="74">
        <v>0</v>
      </c>
      <c r="Z134" s="74">
        <v>0</v>
      </c>
      <c r="AA134" s="74">
        <v>0</v>
      </c>
      <c r="AB134" s="74">
        <v>0</v>
      </c>
      <c r="AC134" s="74">
        <v>0</v>
      </c>
      <c r="AD134" s="74">
        <v>0</v>
      </c>
      <c r="AE134" s="74">
        <v>0</v>
      </c>
      <c r="AF134" s="74">
        <v>0</v>
      </c>
      <c r="AG134" s="90">
        <f t="shared" si="6"/>
        <v>9</v>
      </c>
      <c r="AH134" s="90">
        <f t="shared" si="7"/>
        <v>8</v>
      </c>
      <c r="AI134" s="90">
        <f t="shared" si="8"/>
        <v>1</v>
      </c>
    </row>
    <row r="135" spans="1:35" x14ac:dyDescent="0.35">
      <c r="A135" s="93"/>
      <c r="B135" s="95"/>
      <c r="C135" s="96">
        <v>45918</v>
      </c>
      <c r="D135" s="97">
        <v>7</v>
      </c>
      <c r="E135" s="97" t="s">
        <v>188</v>
      </c>
      <c r="F135" s="10">
        <v>5</v>
      </c>
      <c r="G135" s="10">
        <v>3</v>
      </c>
      <c r="H135" s="10">
        <v>0</v>
      </c>
      <c r="I135" s="10">
        <v>0</v>
      </c>
      <c r="J135" s="74">
        <v>0</v>
      </c>
      <c r="K135" s="74">
        <v>0</v>
      </c>
      <c r="L135" s="74">
        <v>0</v>
      </c>
      <c r="M135" s="74">
        <v>1</v>
      </c>
      <c r="N135" s="74">
        <v>0</v>
      </c>
      <c r="O135" s="74">
        <v>0</v>
      </c>
      <c r="P135" s="74">
        <v>0</v>
      </c>
      <c r="Q135" s="74">
        <v>0</v>
      </c>
      <c r="R135" s="74">
        <v>0</v>
      </c>
      <c r="S135" s="97" t="s">
        <v>101</v>
      </c>
      <c r="T135" s="10">
        <v>8</v>
      </c>
      <c r="U135" s="10">
        <v>0</v>
      </c>
      <c r="V135" s="10">
        <v>0</v>
      </c>
      <c r="W135" s="10">
        <v>0</v>
      </c>
      <c r="X135" s="74">
        <v>0</v>
      </c>
      <c r="Y135" s="74">
        <v>0</v>
      </c>
      <c r="Z135" s="74">
        <v>0</v>
      </c>
      <c r="AA135" s="74">
        <v>0</v>
      </c>
      <c r="AB135" s="74">
        <v>0</v>
      </c>
      <c r="AC135" s="74">
        <v>0</v>
      </c>
      <c r="AD135" s="74">
        <v>0</v>
      </c>
      <c r="AE135" s="74">
        <v>0</v>
      </c>
      <c r="AF135" s="74">
        <v>0</v>
      </c>
      <c r="AG135" s="90">
        <f t="shared" si="6"/>
        <v>17</v>
      </c>
      <c r="AH135" s="90">
        <f t="shared" si="7"/>
        <v>16</v>
      </c>
      <c r="AI135" s="90">
        <f t="shared" si="8"/>
        <v>1</v>
      </c>
    </row>
    <row r="136" spans="1:35" x14ac:dyDescent="0.35">
      <c r="A136" s="93"/>
      <c r="B136" s="95"/>
      <c r="C136" s="96">
        <v>45922</v>
      </c>
      <c r="D136" s="97">
        <v>7</v>
      </c>
      <c r="E136" s="97" t="s">
        <v>199</v>
      </c>
      <c r="F136" s="10">
        <v>2</v>
      </c>
      <c r="G136" s="10">
        <v>0</v>
      </c>
      <c r="H136" s="10">
        <v>0</v>
      </c>
      <c r="I136" s="10">
        <v>1</v>
      </c>
      <c r="J136" s="74">
        <v>0</v>
      </c>
      <c r="K136" s="74">
        <v>0</v>
      </c>
      <c r="L136" s="74">
        <v>0</v>
      </c>
      <c r="M136" s="74">
        <v>1</v>
      </c>
      <c r="N136" s="74">
        <v>0</v>
      </c>
      <c r="O136" s="74">
        <v>0</v>
      </c>
      <c r="P136" s="74">
        <v>0</v>
      </c>
      <c r="Q136" s="74">
        <v>0</v>
      </c>
      <c r="R136" s="74">
        <v>0</v>
      </c>
      <c r="S136" s="97" t="s">
        <v>200</v>
      </c>
      <c r="T136" s="10">
        <v>4</v>
      </c>
      <c r="U136" s="10">
        <v>3</v>
      </c>
      <c r="V136" s="10">
        <v>0</v>
      </c>
      <c r="W136" s="10">
        <v>0</v>
      </c>
      <c r="X136" s="74">
        <v>0</v>
      </c>
      <c r="Y136" s="74">
        <v>0</v>
      </c>
      <c r="Z136" s="74">
        <v>0</v>
      </c>
      <c r="AA136" s="74">
        <v>0</v>
      </c>
      <c r="AB136" s="74">
        <v>0</v>
      </c>
      <c r="AC136" s="74">
        <v>0</v>
      </c>
      <c r="AD136" s="74">
        <v>0</v>
      </c>
      <c r="AE136" s="74">
        <v>0</v>
      </c>
      <c r="AF136" s="74">
        <v>0</v>
      </c>
      <c r="AG136" s="90">
        <f t="shared" si="6"/>
        <v>11</v>
      </c>
      <c r="AH136" s="90">
        <f t="shared" si="7"/>
        <v>10</v>
      </c>
      <c r="AI136" s="90">
        <f t="shared" si="8"/>
        <v>1</v>
      </c>
    </row>
    <row r="137" spans="1:35" x14ac:dyDescent="0.35">
      <c r="A137" s="93"/>
      <c r="B137" s="95"/>
      <c r="C137" s="96">
        <v>45925</v>
      </c>
      <c r="D137" s="97">
        <v>7</v>
      </c>
      <c r="E137" s="97" t="s">
        <v>225</v>
      </c>
      <c r="F137" s="10">
        <v>4</v>
      </c>
      <c r="G137" s="10">
        <v>0</v>
      </c>
      <c r="H137" s="10">
        <v>0</v>
      </c>
      <c r="I137" s="10">
        <v>1</v>
      </c>
      <c r="J137" s="74">
        <v>0</v>
      </c>
      <c r="K137" s="74">
        <v>1</v>
      </c>
      <c r="L137" s="74">
        <v>1</v>
      </c>
      <c r="M137" s="74">
        <v>0</v>
      </c>
      <c r="N137" s="74">
        <v>0</v>
      </c>
      <c r="O137" s="74">
        <v>0</v>
      </c>
      <c r="P137" s="74">
        <v>0</v>
      </c>
      <c r="Q137" s="74">
        <v>0</v>
      </c>
      <c r="R137" s="74">
        <v>0</v>
      </c>
      <c r="S137" s="97" t="s">
        <v>226</v>
      </c>
      <c r="T137" s="10">
        <v>3</v>
      </c>
      <c r="U137" s="10">
        <v>1</v>
      </c>
      <c r="V137" s="10">
        <v>0</v>
      </c>
      <c r="W137" s="10">
        <v>1</v>
      </c>
      <c r="X137" s="74">
        <v>0</v>
      </c>
      <c r="Y137" s="74">
        <v>0</v>
      </c>
      <c r="Z137" s="74">
        <v>0</v>
      </c>
      <c r="AA137" s="74">
        <v>0</v>
      </c>
      <c r="AB137" s="74">
        <v>0</v>
      </c>
      <c r="AC137" s="74">
        <v>0</v>
      </c>
      <c r="AD137" s="74">
        <v>0</v>
      </c>
      <c r="AE137" s="74">
        <v>0</v>
      </c>
      <c r="AF137" s="74">
        <v>0</v>
      </c>
      <c r="AG137" s="90">
        <f t="shared" si="6"/>
        <v>12</v>
      </c>
      <c r="AH137" s="90">
        <f t="shared" si="7"/>
        <v>10</v>
      </c>
      <c r="AI137" s="90">
        <f t="shared" si="8"/>
        <v>2</v>
      </c>
    </row>
    <row r="138" spans="1:35" x14ac:dyDescent="0.35">
      <c r="A138" s="93"/>
      <c r="B138" s="95"/>
      <c r="C138" s="96">
        <v>45930</v>
      </c>
      <c r="D138" s="97">
        <v>7</v>
      </c>
      <c r="E138" s="97" t="s">
        <v>241</v>
      </c>
      <c r="F138" s="10">
        <v>1</v>
      </c>
      <c r="G138" s="10">
        <v>0</v>
      </c>
      <c r="H138" s="10">
        <v>0</v>
      </c>
      <c r="I138" s="10">
        <v>0</v>
      </c>
      <c r="J138" s="74">
        <v>0</v>
      </c>
      <c r="K138" s="74">
        <v>0</v>
      </c>
      <c r="L138" s="74">
        <v>0</v>
      </c>
      <c r="M138" s="74">
        <v>0</v>
      </c>
      <c r="N138" s="74">
        <v>0</v>
      </c>
      <c r="O138" s="74">
        <v>1</v>
      </c>
      <c r="P138" s="74">
        <v>0</v>
      </c>
      <c r="Q138" s="74">
        <v>0</v>
      </c>
      <c r="R138" s="74">
        <v>0</v>
      </c>
      <c r="S138" s="97" t="s">
        <v>242</v>
      </c>
      <c r="T138" s="10">
        <v>2</v>
      </c>
      <c r="U138" s="10">
        <v>1</v>
      </c>
      <c r="V138" s="10">
        <v>0</v>
      </c>
      <c r="W138" s="10">
        <v>0</v>
      </c>
      <c r="X138" s="74">
        <v>0</v>
      </c>
      <c r="Y138" s="74">
        <v>0</v>
      </c>
      <c r="Z138" s="74">
        <v>0</v>
      </c>
      <c r="AA138" s="74">
        <v>0</v>
      </c>
      <c r="AB138" s="74">
        <v>0</v>
      </c>
      <c r="AC138" s="74">
        <v>0</v>
      </c>
      <c r="AD138" s="74">
        <v>0</v>
      </c>
      <c r="AE138" s="74">
        <v>0</v>
      </c>
      <c r="AF138" s="74">
        <v>0</v>
      </c>
      <c r="AG138" s="90">
        <f t="shared" si="6"/>
        <v>5</v>
      </c>
      <c r="AH138" s="90">
        <f t="shared" si="7"/>
        <v>4</v>
      </c>
      <c r="AI138" s="90">
        <f t="shared" si="8"/>
        <v>1</v>
      </c>
    </row>
    <row r="139" spans="1:35" x14ac:dyDescent="0.35">
      <c r="A139" s="93"/>
      <c r="B139" s="95"/>
      <c r="C139" s="96">
        <v>45936</v>
      </c>
      <c r="D139" s="97">
        <v>7</v>
      </c>
      <c r="E139" s="97" t="s">
        <v>264</v>
      </c>
      <c r="F139" s="10">
        <v>0</v>
      </c>
      <c r="G139" s="10">
        <v>0</v>
      </c>
      <c r="H139" s="10">
        <v>0</v>
      </c>
      <c r="I139" s="10">
        <v>0</v>
      </c>
      <c r="J139" s="74">
        <v>0</v>
      </c>
      <c r="K139" s="74">
        <v>2</v>
      </c>
      <c r="L139" s="74">
        <v>0</v>
      </c>
      <c r="M139" s="74">
        <v>0</v>
      </c>
      <c r="N139" s="74">
        <v>0</v>
      </c>
      <c r="O139" s="74">
        <v>0</v>
      </c>
      <c r="P139" s="74">
        <v>0</v>
      </c>
      <c r="Q139" s="74">
        <v>0</v>
      </c>
      <c r="R139" s="74">
        <v>0</v>
      </c>
      <c r="S139" s="97" t="s">
        <v>265</v>
      </c>
      <c r="T139" s="10">
        <v>1</v>
      </c>
      <c r="U139" s="10">
        <v>1</v>
      </c>
      <c r="V139" s="10">
        <v>0</v>
      </c>
      <c r="W139" s="10">
        <v>0</v>
      </c>
      <c r="X139" s="74">
        <v>0</v>
      </c>
      <c r="Y139" s="74">
        <v>0</v>
      </c>
      <c r="Z139" s="74">
        <v>0</v>
      </c>
      <c r="AA139" s="74">
        <v>0</v>
      </c>
      <c r="AB139" s="74">
        <v>0</v>
      </c>
      <c r="AC139" s="74">
        <v>0</v>
      </c>
      <c r="AD139" s="74">
        <v>0</v>
      </c>
      <c r="AE139" s="74">
        <v>0</v>
      </c>
      <c r="AF139" s="74">
        <v>0</v>
      </c>
      <c r="AG139" s="90">
        <f t="shared" si="6"/>
        <v>4</v>
      </c>
      <c r="AH139" s="90">
        <f t="shared" si="7"/>
        <v>2</v>
      </c>
      <c r="AI139" s="90">
        <f t="shared" si="8"/>
        <v>2</v>
      </c>
    </row>
    <row r="140" spans="1:35" x14ac:dyDescent="0.35">
      <c r="A140" s="93"/>
      <c r="B140" s="95"/>
      <c r="C140" s="96">
        <v>45939</v>
      </c>
      <c r="D140" s="97">
        <v>7</v>
      </c>
      <c r="E140" s="97" t="s">
        <v>267</v>
      </c>
      <c r="F140" s="10">
        <v>3</v>
      </c>
      <c r="G140" s="10">
        <v>0</v>
      </c>
      <c r="H140" s="10">
        <v>0</v>
      </c>
      <c r="I140" s="10">
        <v>0</v>
      </c>
      <c r="J140" s="74">
        <v>0</v>
      </c>
      <c r="K140" s="74">
        <v>0</v>
      </c>
      <c r="L140" s="74">
        <v>0</v>
      </c>
      <c r="M140" s="74">
        <v>1</v>
      </c>
      <c r="N140" s="74">
        <v>0</v>
      </c>
      <c r="O140" s="74">
        <v>0</v>
      </c>
      <c r="P140" s="74">
        <v>0</v>
      </c>
      <c r="Q140" s="74">
        <v>0</v>
      </c>
      <c r="R140" s="74">
        <v>0</v>
      </c>
      <c r="S140" s="97" t="s">
        <v>311</v>
      </c>
      <c r="T140" s="10">
        <v>3</v>
      </c>
      <c r="U140" s="10">
        <v>2</v>
      </c>
      <c r="V140" s="10">
        <v>0</v>
      </c>
      <c r="W140" s="10">
        <v>0</v>
      </c>
      <c r="X140" s="74">
        <v>0</v>
      </c>
      <c r="Y140" s="74">
        <v>0</v>
      </c>
      <c r="Z140" s="74">
        <v>0</v>
      </c>
      <c r="AA140" s="74">
        <v>1</v>
      </c>
      <c r="AB140" s="74">
        <v>0</v>
      </c>
      <c r="AC140" s="74">
        <v>0</v>
      </c>
      <c r="AD140" s="74">
        <v>0</v>
      </c>
      <c r="AE140" s="74">
        <v>0</v>
      </c>
      <c r="AF140" s="74">
        <v>0</v>
      </c>
      <c r="AG140" s="90">
        <f t="shared" si="6"/>
        <v>10</v>
      </c>
      <c r="AH140" s="90">
        <f t="shared" si="7"/>
        <v>8</v>
      </c>
      <c r="AI140" s="90">
        <f t="shared" si="8"/>
        <v>2</v>
      </c>
    </row>
    <row r="141" spans="1:35" x14ac:dyDescent="0.35">
      <c r="A141" s="93"/>
      <c r="B141" s="95"/>
      <c r="C141" s="96">
        <v>45944</v>
      </c>
      <c r="D141" s="97">
        <v>7</v>
      </c>
      <c r="E141" s="97" t="s">
        <v>226</v>
      </c>
      <c r="F141" s="10">
        <v>3</v>
      </c>
      <c r="G141" s="10">
        <v>1</v>
      </c>
      <c r="H141" s="10">
        <v>0</v>
      </c>
      <c r="I141" s="10">
        <v>1</v>
      </c>
      <c r="J141" s="74">
        <v>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  <c r="P141" s="74">
        <v>0</v>
      </c>
      <c r="Q141" s="74">
        <v>0</v>
      </c>
      <c r="R141" s="74">
        <v>0</v>
      </c>
      <c r="S141" s="97" t="s">
        <v>232</v>
      </c>
      <c r="T141" s="10">
        <v>2</v>
      </c>
      <c r="U141" s="10">
        <v>1</v>
      </c>
      <c r="V141" s="10">
        <v>0</v>
      </c>
      <c r="W141" s="10">
        <v>0</v>
      </c>
      <c r="X141" s="74">
        <v>0</v>
      </c>
      <c r="Y141" s="74">
        <v>0</v>
      </c>
      <c r="Z141" s="74">
        <v>0</v>
      </c>
      <c r="AA141" s="74">
        <v>1</v>
      </c>
      <c r="AB141" s="74">
        <v>0</v>
      </c>
      <c r="AC141" s="74">
        <v>0</v>
      </c>
      <c r="AD141" s="74">
        <v>0</v>
      </c>
      <c r="AE141" s="74">
        <v>0</v>
      </c>
      <c r="AF141" s="74">
        <v>0</v>
      </c>
      <c r="AG141" s="90">
        <f t="shared" si="6"/>
        <v>9</v>
      </c>
      <c r="AH141" s="90">
        <f t="shared" si="7"/>
        <v>8</v>
      </c>
      <c r="AI141" s="90">
        <f t="shared" si="8"/>
        <v>1</v>
      </c>
    </row>
    <row r="142" spans="1:35" x14ac:dyDescent="0.35">
      <c r="A142" s="93"/>
      <c r="B142" s="95"/>
      <c r="C142" s="96">
        <v>45947</v>
      </c>
      <c r="D142" s="97">
        <v>7</v>
      </c>
      <c r="E142" s="97" t="s">
        <v>345</v>
      </c>
      <c r="F142" s="10">
        <v>1</v>
      </c>
      <c r="G142" s="10">
        <v>0</v>
      </c>
      <c r="H142" s="10">
        <v>0</v>
      </c>
      <c r="I142" s="10">
        <v>0</v>
      </c>
      <c r="J142" s="74">
        <v>0</v>
      </c>
      <c r="K142" s="74">
        <v>0</v>
      </c>
      <c r="L142" s="74">
        <v>0</v>
      </c>
      <c r="M142" s="74">
        <v>1</v>
      </c>
      <c r="N142" s="74">
        <v>0</v>
      </c>
      <c r="O142" s="74">
        <v>0</v>
      </c>
      <c r="P142" s="74">
        <v>0</v>
      </c>
      <c r="Q142" s="74">
        <v>0</v>
      </c>
      <c r="R142" s="74">
        <v>0</v>
      </c>
      <c r="S142" s="97" t="s">
        <v>218</v>
      </c>
      <c r="T142" s="10">
        <v>2</v>
      </c>
      <c r="U142" s="10">
        <v>0</v>
      </c>
      <c r="V142" s="10">
        <v>0</v>
      </c>
      <c r="W142" s="10">
        <v>0</v>
      </c>
      <c r="X142" s="74">
        <v>0</v>
      </c>
      <c r="Y142" s="74">
        <v>1</v>
      </c>
      <c r="Z142" s="74">
        <v>0</v>
      </c>
      <c r="AA142" s="74">
        <v>0</v>
      </c>
      <c r="AB142" s="74">
        <v>0</v>
      </c>
      <c r="AC142" s="74">
        <v>0</v>
      </c>
      <c r="AD142" s="74">
        <v>0</v>
      </c>
      <c r="AE142" s="74">
        <v>0</v>
      </c>
      <c r="AF142" s="74">
        <v>0</v>
      </c>
      <c r="AG142" s="90">
        <f t="shared" si="6"/>
        <v>5</v>
      </c>
      <c r="AH142" s="90">
        <f t="shared" si="7"/>
        <v>3</v>
      </c>
      <c r="AI142" s="90">
        <f t="shared" si="8"/>
        <v>2</v>
      </c>
    </row>
    <row r="143" spans="1:35" x14ac:dyDescent="0.35">
      <c r="A143" s="93"/>
      <c r="B143" s="95"/>
      <c r="C143" s="96">
        <v>45951</v>
      </c>
      <c r="D143" s="97">
        <v>7</v>
      </c>
      <c r="E143" s="97" t="s">
        <v>139</v>
      </c>
      <c r="F143" s="10">
        <v>12</v>
      </c>
      <c r="G143" s="10">
        <v>0</v>
      </c>
      <c r="H143" s="10">
        <v>0</v>
      </c>
      <c r="I143" s="10">
        <v>0</v>
      </c>
      <c r="J143" s="74">
        <v>0</v>
      </c>
      <c r="K143" s="74">
        <v>0</v>
      </c>
      <c r="L143" s="74">
        <v>0</v>
      </c>
      <c r="M143" s="74">
        <v>0</v>
      </c>
      <c r="N143" s="74">
        <v>0</v>
      </c>
      <c r="O143" s="74">
        <v>0</v>
      </c>
      <c r="P143" s="74">
        <v>0</v>
      </c>
      <c r="Q143" s="74">
        <v>0</v>
      </c>
      <c r="R143" s="74">
        <v>0</v>
      </c>
      <c r="S143" s="97" t="s">
        <v>133</v>
      </c>
      <c r="T143" s="10">
        <v>5</v>
      </c>
      <c r="U143" s="10">
        <v>0</v>
      </c>
      <c r="V143" s="10">
        <v>0</v>
      </c>
      <c r="W143" s="10">
        <v>0</v>
      </c>
      <c r="X143" s="74">
        <v>0</v>
      </c>
      <c r="Y143" s="74">
        <v>0</v>
      </c>
      <c r="Z143" s="74">
        <v>0</v>
      </c>
      <c r="AA143" s="74">
        <v>0</v>
      </c>
      <c r="AB143" s="74">
        <v>0</v>
      </c>
      <c r="AC143" s="74">
        <v>0</v>
      </c>
      <c r="AD143" s="74">
        <v>0</v>
      </c>
      <c r="AE143" s="74">
        <v>0</v>
      </c>
      <c r="AF143" s="74">
        <v>0</v>
      </c>
      <c r="AG143" s="90">
        <f t="shared" si="6"/>
        <v>17</v>
      </c>
      <c r="AH143" s="90">
        <f t="shared" si="7"/>
        <v>17</v>
      </c>
      <c r="AI143" s="90">
        <f t="shared" si="8"/>
        <v>0</v>
      </c>
    </row>
    <row r="144" spans="1:35" x14ac:dyDescent="0.35">
      <c r="A144" s="93"/>
      <c r="B144" s="95"/>
      <c r="C144" s="96">
        <v>45954</v>
      </c>
      <c r="D144" s="97">
        <v>7</v>
      </c>
      <c r="E144" s="97" t="s">
        <v>305</v>
      </c>
      <c r="F144" s="10">
        <v>4</v>
      </c>
      <c r="G144" s="10">
        <v>0</v>
      </c>
      <c r="H144" s="10">
        <v>0</v>
      </c>
      <c r="I144" s="10">
        <v>0</v>
      </c>
      <c r="J144" s="74">
        <v>0</v>
      </c>
      <c r="K144" s="74">
        <v>0</v>
      </c>
      <c r="L144" s="74">
        <v>0</v>
      </c>
      <c r="M144" s="74">
        <v>1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97" t="s">
        <v>317</v>
      </c>
      <c r="T144" s="10">
        <v>4</v>
      </c>
      <c r="U144" s="10">
        <v>0</v>
      </c>
      <c r="V144" s="10">
        <v>0</v>
      </c>
      <c r="W144" s="10">
        <v>1</v>
      </c>
      <c r="X144" s="74">
        <v>0</v>
      </c>
      <c r="Y144" s="74">
        <v>0</v>
      </c>
      <c r="Z144" s="74">
        <v>0</v>
      </c>
      <c r="AA144" s="74">
        <v>0</v>
      </c>
      <c r="AB144" s="74">
        <v>0</v>
      </c>
      <c r="AC144" s="74">
        <v>0</v>
      </c>
      <c r="AD144" s="74">
        <v>0</v>
      </c>
      <c r="AE144" s="74">
        <v>0</v>
      </c>
      <c r="AF144" s="74">
        <v>0</v>
      </c>
      <c r="AG144" s="90">
        <f t="shared" si="6"/>
        <v>10</v>
      </c>
      <c r="AH144" s="90">
        <f t="shared" si="7"/>
        <v>9</v>
      </c>
      <c r="AI144" s="90">
        <f t="shared" si="8"/>
        <v>1</v>
      </c>
    </row>
    <row r="145" spans="1:35" ht="29" x14ac:dyDescent="0.35">
      <c r="A145" s="93"/>
      <c r="B145" s="95"/>
      <c r="C145" s="96">
        <v>45958</v>
      </c>
      <c r="D145" s="97">
        <v>7</v>
      </c>
      <c r="E145" s="99" t="s">
        <v>455</v>
      </c>
      <c r="F145" s="10">
        <v>4</v>
      </c>
      <c r="G145" s="10">
        <v>2</v>
      </c>
      <c r="H145" s="10">
        <v>2</v>
      </c>
      <c r="I145" s="10">
        <v>0</v>
      </c>
      <c r="J145" s="74">
        <v>0</v>
      </c>
      <c r="K145" s="74">
        <v>0</v>
      </c>
      <c r="L145" s="74">
        <v>0</v>
      </c>
      <c r="M145" s="74">
        <v>0</v>
      </c>
      <c r="N145" s="74">
        <v>0</v>
      </c>
      <c r="O145" s="74">
        <v>0</v>
      </c>
      <c r="P145" s="74">
        <v>0</v>
      </c>
      <c r="Q145" s="74">
        <v>0</v>
      </c>
      <c r="R145" s="74">
        <v>0</v>
      </c>
      <c r="S145" s="97" t="s">
        <v>355</v>
      </c>
      <c r="T145" s="10">
        <v>5</v>
      </c>
      <c r="U145" s="10">
        <v>1</v>
      </c>
      <c r="V145" s="10">
        <v>0</v>
      </c>
      <c r="W145" s="10">
        <v>0</v>
      </c>
      <c r="X145" s="74">
        <v>0</v>
      </c>
      <c r="Y145" s="74">
        <v>0</v>
      </c>
      <c r="Z145" s="74">
        <v>0</v>
      </c>
      <c r="AA145" s="74">
        <v>0</v>
      </c>
      <c r="AB145" s="74">
        <v>0</v>
      </c>
      <c r="AC145" s="74">
        <v>0</v>
      </c>
      <c r="AD145" s="74">
        <v>0</v>
      </c>
      <c r="AE145" s="74">
        <v>0</v>
      </c>
      <c r="AF145" s="74">
        <v>0</v>
      </c>
      <c r="AG145" s="90">
        <f t="shared" si="6"/>
        <v>14</v>
      </c>
      <c r="AH145" s="90">
        <f t="shared" si="7"/>
        <v>14</v>
      </c>
      <c r="AI145" s="90">
        <f t="shared" si="8"/>
        <v>0</v>
      </c>
    </row>
    <row r="146" spans="1:35" x14ac:dyDescent="0.35">
      <c r="A146" s="93"/>
      <c r="B146" s="95"/>
      <c r="C146" s="96">
        <v>45961</v>
      </c>
      <c r="D146" s="97">
        <v>7</v>
      </c>
      <c r="E146" s="97" t="s">
        <v>517</v>
      </c>
      <c r="F146" s="10">
        <v>8</v>
      </c>
      <c r="G146" s="10">
        <v>1</v>
      </c>
      <c r="H146" s="10">
        <v>0</v>
      </c>
      <c r="I146" s="10">
        <v>0</v>
      </c>
      <c r="J146" s="74">
        <v>0</v>
      </c>
      <c r="K146" s="74">
        <v>0</v>
      </c>
      <c r="L146" s="74">
        <v>0</v>
      </c>
      <c r="M146" s="74">
        <v>1</v>
      </c>
      <c r="N146" s="74">
        <v>0</v>
      </c>
      <c r="O146" s="74">
        <v>0</v>
      </c>
      <c r="P146" s="74">
        <v>0</v>
      </c>
      <c r="Q146" s="74">
        <v>0</v>
      </c>
      <c r="R146" s="74">
        <v>0</v>
      </c>
      <c r="S146" s="97" t="s">
        <v>134</v>
      </c>
      <c r="T146" s="10">
        <v>3</v>
      </c>
      <c r="U146" s="10">
        <v>0</v>
      </c>
      <c r="V146" s="10">
        <v>0</v>
      </c>
      <c r="W146" s="10">
        <v>0</v>
      </c>
      <c r="X146" s="74">
        <v>0</v>
      </c>
      <c r="Y146" s="74">
        <v>0</v>
      </c>
      <c r="Z146" s="74">
        <v>0</v>
      </c>
      <c r="AA146" s="74">
        <v>0</v>
      </c>
      <c r="AB146" s="74">
        <v>0</v>
      </c>
      <c r="AC146" s="74">
        <v>0</v>
      </c>
      <c r="AD146" s="74">
        <v>0</v>
      </c>
      <c r="AE146" s="74">
        <v>0</v>
      </c>
      <c r="AF146" s="74">
        <v>0</v>
      </c>
      <c r="AG146" s="90">
        <f t="shared" si="6"/>
        <v>13</v>
      </c>
      <c r="AH146" s="90">
        <f t="shared" si="7"/>
        <v>12</v>
      </c>
      <c r="AI146" s="90">
        <f t="shared" si="8"/>
        <v>1</v>
      </c>
    </row>
    <row r="147" spans="1:35" x14ac:dyDescent="0.35">
      <c r="A147" s="93"/>
      <c r="B147" s="95"/>
      <c r="C147" s="96"/>
      <c r="D147" s="97"/>
      <c r="E147" s="97"/>
      <c r="S147" s="97"/>
      <c r="AG147" s="90"/>
      <c r="AH147" s="90"/>
      <c r="AI147" s="90"/>
    </row>
    <row r="148" spans="1:35" x14ac:dyDescent="0.35">
      <c r="A148" s="93">
        <v>10</v>
      </c>
      <c r="B148" s="95" t="s">
        <v>189</v>
      </c>
      <c r="C148" s="96">
        <v>45922</v>
      </c>
      <c r="D148" s="97" t="s">
        <v>55</v>
      </c>
      <c r="E148" s="97" t="s">
        <v>55</v>
      </c>
      <c r="F148" s="10">
        <v>0</v>
      </c>
      <c r="G148" s="10">
        <v>0</v>
      </c>
      <c r="H148" s="10">
        <v>0</v>
      </c>
      <c r="I148" s="10">
        <v>0</v>
      </c>
      <c r="J148" s="74">
        <v>0</v>
      </c>
      <c r="K148" s="74">
        <v>0</v>
      </c>
      <c r="L148" s="74">
        <v>0</v>
      </c>
      <c r="M148" s="74">
        <v>0</v>
      </c>
      <c r="N148" s="74">
        <v>0</v>
      </c>
      <c r="O148" s="74">
        <v>0</v>
      </c>
      <c r="P148" s="74">
        <v>0</v>
      </c>
      <c r="Q148" s="74">
        <v>0</v>
      </c>
      <c r="R148" s="74">
        <v>0</v>
      </c>
      <c r="S148" s="97" t="s">
        <v>55</v>
      </c>
      <c r="T148" s="10">
        <v>0</v>
      </c>
      <c r="U148" s="10">
        <v>0</v>
      </c>
      <c r="V148" s="10">
        <v>0</v>
      </c>
      <c r="W148" s="10">
        <v>0</v>
      </c>
      <c r="X148" s="74">
        <v>0</v>
      </c>
      <c r="Y148" s="74">
        <v>0</v>
      </c>
      <c r="Z148" s="74">
        <v>0</v>
      </c>
      <c r="AA148" s="74">
        <v>0</v>
      </c>
      <c r="AB148" s="74">
        <v>0</v>
      </c>
      <c r="AC148" s="74">
        <v>0</v>
      </c>
      <c r="AD148" s="74">
        <v>0</v>
      </c>
      <c r="AE148" s="74">
        <v>0</v>
      </c>
      <c r="AF148" s="74">
        <v>0</v>
      </c>
      <c r="AG148" s="90">
        <f t="shared" si="6"/>
        <v>0</v>
      </c>
      <c r="AH148" s="90">
        <f t="shared" ref="AH148:AH154" si="9">F148+G148+H148+I148+T148+U148+V148+W148</f>
        <v>0</v>
      </c>
      <c r="AI148" s="90">
        <f t="shared" si="8"/>
        <v>0</v>
      </c>
    </row>
    <row r="149" spans="1:35" x14ac:dyDescent="0.35">
      <c r="A149" s="93"/>
      <c r="B149" s="95"/>
      <c r="C149" s="96">
        <v>45925</v>
      </c>
      <c r="D149" s="97" t="s">
        <v>55</v>
      </c>
      <c r="E149" s="97" t="s">
        <v>55</v>
      </c>
      <c r="F149" s="10">
        <v>0</v>
      </c>
      <c r="G149" s="10">
        <v>0</v>
      </c>
      <c r="H149" s="10">
        <v>0</v>
      </c>
      <c r="I149" s="10">
        <v>0</v>
      </c>
      <c r="J149" s="74">
        <v>0</v>
      </c>
      <c r="K149" s="74">
        <v>0</v>
      </c>
      <c r="L149" s="74">
        <v>0</v>
      </c>
      <c r="M149" s="74">
        <v>0</v>
      </c>
      <c r="N149" s="74">
        <v>0</v>
      </c>
      <c r="O149" s="74">
        <v>0</v>
      </c>
      <c r="P149" s="74">
        <v>0</v>
      </c>
      <c r="Q149" s="74">
        <v>0</v>
      </c>
      <c r="R149" s="74">
        <v>0</v>
      </c>
      <c r="S149" s="97" t="s">
        <v>55</v>
      </c>
      <c r="T149" s="10">
        <v>0</v>
      </c>
      <c r="U149" s="10">
        <v>0</v>
      </c>
      <c r="V149" s="10">
        <v>0</v>
      </c>
      <c r="W149" s="10">
        <v>0</v>
      </c>
      <c r="X149" s="74">
        <v>0</v>
      </c>
      <c r="Y149" s="74">
        <v>0</v>
      </c>
      <c r="Z149" s="74">
        <v>0</v>
      </c>
      <c r="AA149" s="74">
        <v>0</v>
      </c>
      <c r="AB149" s="74">
        <v>0</v>
      </c>
      <c r="AC149" s="74">
        <v>0</v>
      </c>
      <c r="AD149" s="74">
        <v>0</v>
      </c>
      <c r="AE149" s="74">
        <v>0</v>
      </c>
      <c r="AF149" s="74">
        <v>0</v>
      </c>
      <c r="AG149" s="90">
        <f t="shared" si="6"/>
        <v>0</v>
      </c>
      <c r="AH149" s="90">
        <f t="shared" si="9"/>
        <v>0</v>
      </c>
      <c r="AI149" s="90">
        <f t="shared" si="8"/>
        <v>0</v>
      </c>
    </row>
    <row r="150" spans="1:35" x14ac:dyDescent="0.35">
      <c r="A150" s="93"/>
      <c r="B150" s="95"/>
      <c r="C150" s="96">
        <v>45930</v>
      </c>
      <c r="D150" s="97" t="s">
        <v>55</v>
      </c>
      <c r="E150" s="97" t="s">
        <v>55</v>
      </c>
      <c r="F150" s="10">
        <v>0</v>
      </c>
      <c r="G150" s="10">
        <v>0</v>
      </c>
      <c r="H150" s="10">
        <v>0</v>
      </c>
      <c r="I150" s="10">
        <v>0</v>
      </c>
      <c r="J150" s="74">
        <v>0</v>
      </c>
      <c r="K150" s="74">
        <v>0</v>
      </c>
      <c r="L150" s="74">
        <v>0</v>
      </c>
      <c r="M150" s="74">
        <v>0</v>
      </c>
      <c r="N150" s="74">
        <v>0</v>
      </c>
      <c r="O150" s="74">
        <v>0</v>
      </c>
      <c r="P150" s="74">
        <v>0</v>
      </c>
      <c r="Q150" s="74">
        <v>0</v>
      </c>
      <c r="R150" s="74">
        <v>0</v>
      </c>
      <c r="S150" s="97" t="s">
        <v>55</v>
      </c>
      <c r="T150" s="10">
        <v>0</v>
      </c>
      <c r="U150" s="10">
        <v>0</v>
      </c>
      <c r="V150" s="10">
        <v>0</v>
      </c>
      <c r="W150" s="10">
        <v>0</v>
      </c>
      <c r="X150" s="74">
        <v>0</v>
      </c>
      <c r="Y150" s="74">
        <v>0</v>
      </c>
      <c r="Z150" s="74">
        <v>0</v>
      </c>
      <c r="AA150" s="74">
        <v>0</v>
      </c>
      <c r="AB150" s="74">
        <v>0</v>
      </c>
      <c r="AC150" s="74">
        <v>0</v>
      </c>
      <c r="AD150" s="74">
        <v>0</v>
      </c>
      <c r="AE150" s="74">
        <v>0</v>
      </c>
      <c r="AF150" s="74">
        <v>0</v>
      </c>
      <c r="AG150" s="90">
        <f t="shared" si="6"/>
        <v>0</v>
      </c>
      <c r="AH150" s="90">
        <f t="shared" si="9"/>
        <v>0</v>
      </c>
      <c r="AI150" s="90">
        <f t="shared" si="8"/>
        <v>0</v>
      </c>
    </row>
    <row r="151" spans="1:35" x14ac:dyDescent="0.35">
      <c r="A151" s="93"/>
      <c r="B151" s="95"/>
      <c r="C151" s="96">
        <v>45936</v>
      </c>
      <c r="D151" s="97">
        <v>20</v>
      </c>
      <c r="E151" s="97" t="s">
        <v>233</v>
      </c>
      <c r="F151" s="10">
        <v>0</v>
      </c>
      <c r="G151" s="10">
        <v>0</v>
      </c>
      <c r="H151" s="10">
        <v>0</v>
      </c>
      <c r="I151" s="10">
        <v>0</v>
      </c>
      <c r="J151" s="74">
        <v>0</v>
      </c>
      <c r="K151" s="74">
        <v>0</v>
      </c>
      <c r="L151" s="74">
        <v>0</v>
      </c>
      <c r="M151" s="74">
        <v>0</v>
      </c>
      <c r="N151" s="74">
        <v>0</v>
      </c>
      <c r="O151" s="74">
        <v>1</v>
      </c>
      <c r="P151" s="74">
        <v>0</v>
      </c>
      <c r="Q151" s="74">
        <v>0</v>
      </c>
      <c r="R151" s="74">
        <v>0</v>
      </c>
      <c r="S151" s="97" t="s">
        <v>55</v>
      </c>
      <c r="T151" s="10">
        <v>0</v>
      </c>
      <c r="U151" s="10">
        <v>0</v>
      </c>
      <c r="V151" s="10">
        <v>0</v>
      </c>
      <c r="W151" s="10">
        <v>0</v>
      </c>
      <c r="X151" s="74">
        <v>0</v>
      </c>
      <c r="Y151" s="74">
        <v>0</v>
      </c>
      <c r="Z151" s="74">
        <v>0</v>
      </c>
      <c r="AA151" s="74">
        <v>0</v>
      </c>
      <c r="AB151" s="74">
        <v>0</v>
      </c>
      <c r="AC151" s="74">
        <v>0</v>
      </c>
      <c r="AD151" s="74">
        <v>0</v>
      </c>
      <c r="AE151" s="74">
        <v>0</v>
      </c>
      <c r="AF151" s="74">
        <v>0</v>
      </c>
      <c r="AG151" s="90">
        <f t="shared" si="6"/>
        <v>1</v>
      </c>
      <c r="AH151" s="90">
        <f t="shared" si="9"/>
        <v>0</v>
      </c>
      <c r="AI151" s="90">
        <f t="shared" si="8"/>
        <v>1</v>
      </c>
    </row>
    <row r="152" spans="1:35" x14ac:dyDescent="0.35">
      <c r="A152" s="93"/>
      <c r="B152" s="95"/>
      <c r="C152" s="96">
        <v>45939</v>
      </c>
      <c r="D152" s="97">
        <v>20</v>
      </c>
      <c r="E152" s="97" t="s">
        <v>55</v>
      </c>
      <c r="F152" s="10">
        <v>0</v>
      </c>
      <c r="G152" s="10">
        <v>0</v>
      </c>
      <c r="H152" s="10">
        <v>0</v>
      </c>
      <c r="I152" s="10">
        <v>0</v>
      </c>
      <c r="J152" s="74">
        <v>0</v>
      </c>
      <c r="K152" s="74">
        <v>0</v>
      </c>
      <c r="L152" s="74">
        <v>0</v>
      </c>
      <c r="M152" s="74">
        <v>0</v>
      </c>
      <c r="N152" s="74">
        <v>0</v>
      </c>
      <c r="O152" s="74">
        <v>0</v>
      </c>
      <c r="P152" s="74">
        <v>0</v>
      </c>
      <c r="Q152" s="74">
        <v>0</v>
      </c>
      <c r="R152" s="74">
        <v>0</v>
      </c>
      <c r="S152" s="97" t="s">
        <v>55</v>
      </c>
      <c r="T152" s="10">
        <v>0</v>
      </c>
      <c r="U152" s="10">
        <v>0</v>
      </c>
      <c r="V152" s="10">
        <v>0</v>
      </c>
      <c r="W152" s="10">
        <v>0</v>
      </c>
      <c r="X152" s="74">
        <v>0</v>
      </c>
      <c r="Y152" s="74">
        <v>0</v>
      </c>
      <c r="Z152" s="74">
        <v>0</v>
      </c>
      <c r="AA152" s="74">
        <v>0</v>
      </c>
      <c r="AB152" s="74">
        <v>0</v>
      </c>
      <c r="AC152" s="74">
        <v>0</v>
      </c>
      <c r="AD152" s="74">
        <v>0</v>
      </c>
      <c r="AE152" s="74">
        <v>0</v>
      </c>
      <c r="AF152" s="74">
        <v>0</v>
      </c>
      <c r="AG152" s="90">
        <f t="shared" si="6"/>
        <v>0</v>
      </c>
      <c r="AH152" s="90">
        <f t="shared" si="9"/>
        <v>0</v>
      </c>
      <c r="AI152" s="90">
        <f t="shared" si="8"/>
        <v>0</v>
      </c>
    </row>
    <row r="153" spans="1:35" x14ac:dyDescent="0.35">
      <c r="A153" s="93"/>
      <c r="B153" s="95"/>
      <c r="C153" s="96">
        <v>45944</v>
      </c>
      <c r="D153" s="97">
        <v>20</v>
      </c>
      <c r="E153" s="97" t="s">
        <v>332</v>
      </c>
      <c r="F153" s="10">
        <v>0</v>
      </c>
      <c r="G153" s="10">
        <v>0</v>
      </c>
      <c r="H153" s="10">
        <v>0</v>
      </c>
      <c r="I153" s="10">
        <v>0</v>
      </c>
      <c r="J153" s="74">
        <v>0</v>
      </c>
      <c r="K153" s="74">
        <v>0</v>
      </c>
      <c r="L153" s="74">
        <v>0</v>
      </c>
      <c r="M153" s="74">
        <v>0</v>
      </c>
      <c r="N153" s="74">
        <v>0</v>
      </c>
      <c r="O153" s="74">
        <v>0</v>
      </c>
      <c r="P153" s="74">
        <v>0</v>
      </c>
      <c r="Q153" s="74">
        <v>0</v>
      </c>
      <c r="R153" s="74">
        <v>0</v>
      </c>
      <c r="S153" s="97" t="s">
        <v>55</v>
      </c>
      <c r="T153" s="10">
        <v>0</v>
      </c>
      <c r="U153" s="10">
        <v>0</v>
      </c>
      <c r="V153" s="10">
        <v>0</v>
      </c>
      <c r="W153" s="10">
        <v>0</v>
      </c>
      <c r="X153" s="74">
        <v>0</v>
      </c>
      <c r="Y153" s="74">
        <v>0</v>
      </c>
      <c r="Z153" s="74">
        <v>0</v>
      </c>
      <c r="AA153" s="74">
        <v>0</v>
      </c>
      <c r="AB153" s="74">
        <v>0</v>
      </c>
      <c r="AC153" s="74">
        <v>0</v>
      </c>
      <c r="AD153" s="74">
        <v>0</v>
      </c>
      <c r="AE153" s="74">
        <v>0</v>
      </c>
      <c r="AF153" s="74">
        <v>0</v>
      </c>
      <c r="AG153" s="90">
        <f t="shared" si="6"/>
        <v>0</v>
      </c>
      <c r="AH153" s="90">
        <f t="shared" si="9"/>
        <v>0</v>
      </c>
      <c r="AI153" s="90">
        <f t="shared" si="8"/>
        <v>0</v>
      </c>
    </row>
    <row r="154" spans="1:35" ht="29" x14ac:dyDescent="0.35">
      <c r="A154" s="93"/>
      <c r="B154" s="95"/>
      <c r="C154" s="96">
        <v>45947</v>
      </c>
      <c r="D154" s="97">
        <v>20</v>
      </c>
      <c r="E154" s="99" t="s">
        <v>542</v>
      </c>
      <c r="F154" s="10">
        <v>0</v>
      </c>
      <c r="G154" s="10">
        <v>1</v>
      </c>
      <c r="H154" s="10">
        <v>0</v>
      </c>
      <c r="I154" s="10">
        <v>1</v>
      </c>
      <c r="J154" s="74">
        <v>0</v>
      </c>
      <c r="K154" s="74">
        <v>1</v>
      </c>
      <c r="L154" s="74">
        <v>0</v>
      </c>
      <c r="M154" s="74">
        <v>0</v>
      </c>
      <c r="N154" s="74">
        <v>0</v>
      </c>
      <c r="O154" s="74">
        <v>0</v>
      </c>
      <c r="P154" s="74">
        <v>0</v>
      </c>
      <c r="Q154" s="74">
        <v>0</v>
      </c>
      <c r="R154" s="74">
        <v>0</v>
      </c>
      <c r="S154" s="97" t="s">
        <v>394</v>
      </c>
      <c r="T154" s="10">
        <v>3</v>
      </c>
      <c r="U154" s="10">
        <v>0</v>
      </c>
      <c r="V154" s="10">
        <v>0</v>
      </c>
      <c r="W154" s="10">
        <v>0</v>
      </c>
      <c r="X154" s="74">
        <v>0</v>
      </c>
      <c r="Y154" s="74">
        <v>2</v>
      </c>
      <c r="Z154" s="74">
        <v>0</v>
      </c>
      <c r="AA154" s="74">
        <v>0</v>
      </c>
      <c r="AB154" s="74">
        <v>0</v>
      </c>
      <c r="AC154" s="74">
        <v>0</v>
      </c>
      <c r="AD154" s="74">
        <v>0</v>
      </c>
      <c r="AE154" s="74">
        <v>0</v>
      </c>
      <c r="AF154" s="74">
        <v>0</v>
      </c>
      <c r="AG154" s="90">
        <f t="shared" si="6"/>
        <v>8</v>
      </c>
      <c r="AH154" s="90">
        <f t="shared" si="9"/>
        <v>5</v>
      </c>
      <c r="AI154" s="90">
        <f t="shared" si="8"/>
        <v>3</v>
      </c>
    </row>
    <row r="155" spans="1:35" x14ac:dyDescent="0.35">
      <c r="A155" s="93"/>
      <c r="B155" s="95"/>
      <c r="C155" s="97"/>
      <c r="D155" s="97"/>
      <c r="E155" s="97"/>
      <c r="S155" s="97"/>
      <c r="AG155" s="90"/>
      <c r="AH155" s="90"/>
      <c r="AI155" s="90"/>
    </row>
    <row r="156" spans="1:35" x14ac:dyDescent="0.35">
      <c r="A156" s="93">
        <v>11</v>
      </c>
      <c r="B156" s="95" t="s">
        <v>211</v>
      </c>
      <c r="C156" s="96">
        <v>45922</v>
      </c>
      <c r="D156" s="97" t="s">
        <v>55</v>
      </c>
      <c r="E156" s="97" t="s">
        <v>55</v>
      </c>
      <c r="F156" s="10">
        <v>0</v>
      </c>
      <c r="G156" s="10">
        <v>0</v>
      </c>
      <c r="H156" s="10">
        <v>0</v>
      </c>
      <c r="I156" s="10">
        <v>0</v>
      </c>
      <c r="J156" s="74">
        <v>0</v>
      </c>
      <c r="K156" s="74">
        <v>0</v>
      </c>
      <c r="L156" s="74">
        <v>0</v>
      </c>
      <c r="M156" s="74">
        <v>0</v>
      </c>
      <c r="N156" s="74">
        <v>0</v>
      </c>
      <c r="O156" s="74">
        <v>0</v>
      </c>
      <c r="P156" s="74">
        <v>0</v>
      </c>
      <c r="Q156" s="74">
        <v>0</v>
      </c>
      <c r="R156" s="74">
        <v>0</v>
      </c>
      <c r="S156" s="97" t="s">
        <v>55</v>
      </c>
      <c r="T156" s="10">
        <v>0</v>
      </c>
      <c r="U156" s="10">
        <v>0</v>
      </c>
      <c r="V156" s="10">
        <v>0</v>
      </c>
      <c r="W156" s="10">
        <v>0</v>
      </c>
      <c r="X156" s="74">
        <v>0</v>
      </c>
      <c r="Y156" s="74">
        <v>0</v>
      </c>
      <c r="Z156" s="74">
        <v>0</v>
      </c>
      <c r="AA156" s="74">
        <v>0</v>
      </c>
      <c r="AB156" s="74">
        <v>0</v>
      </c>
      <c r="AC156" s="74">
        <v>0</v>
      </c>
      <c r="AD156" s="74">
        <v>0</v>
      </c>
      <c r="AE156" s="74">
        <v>0</v>
      </c>
      <c r="AF156" s="74">
        <v>0</v>
      </c>
      <c r="AG156" s="90">
        <f t="shared" si="6"/>
        <v>0</v>
      </c>
      <c r="AH156" s="90">
        <f t="shared" ref="AH156:AH166" si="10">F156+G156+H156+I156+T156+U156+V156+W156</f>
        <v>0</v>
      </c>
      <c r="AI156" s="90">
        <f t="shared" si="8"/>
        <v>0</v>
      </c>
    </row>
    <row r="157" spans="1:35" x14ac:dyDescent="0.35">
      <c r="A157" s="93"/>
      <c r="B157" s="95"/>
      <c r="C157" s="96">
        <v>45925</v>
      </c>
      <c r="D157" s="97" t="s">
        <v>55</v>
      </c>
      <c r="E157" s="97" t="s">
        <v>55</v>
      </c>
      <c r="F157" s="10">
        <v>0</v>
      </c>
      <c r="G157" s="10">
        <v>0</v>
      </c>
      <c r="H157" s="10">
        <v>0</v>
      </c>
      <c r="I157" s="10">
        <v>0</v>
      </c>
      <c r="J157" s="74">
        <v>0</v>
      </c>
      <c r="K157" s="74">
        <v>0</v>
      </c>
      <c r="L157" s="74">
        <v>0</v>
      </c>
      <c r="M157" s="74">
        <v>0</v>
      </c>
      <c r="N157" s="74">
        <v>0</v>
      </c>
      <c r="O157" s="74">
        <v>0</v>
      </c>
      <c r="P157" s="74">
        <v>0</v>
      </c>
      <c r="Q157" s="74">
        <v>0</v>
      </c>
      <c r="R157" s="74">
        <v>0</v>
      </c>
      <c r="S157" s="97" t="s">
        <v>55</v>
      </c>
      <c r="T157" s="10">
        <v>0</v>
      </c>
      <c r="U157" s="10">
        <v>0</v>
      </c>
      <c r="V157" s="10">
        <v>0</v>
      </c>
      <c r="W157" s="10">
        <v>0</v>
      </c>
      <c r="X157" s="74">
        <v>0</v>
      </c>
      <c r="Y157" s="74">
        <v>0</v>
      </c>
      <c r="Z157" s="74">
        <v>0</v>
      </c>
      <c r="AA157" s="74">
        <v>0</v>
      </c>
      <c r="AB157" s="74">
        <v>0</v>
      </c>
      <c r="AC157" s="74">
        <v>0</v>
      </c>
      <c r="AD157" s="74">
        <v>0</v>
      </c>
      <c r="AE157" s="74">
        <v>0</v>
      </c>
      <c r="AF157" s="74">
        <v>0</v>
      </c>
      <c r="AG157" s="90">
        <f t="shared" si="6"/>
        <v>0</v>
      </c>
      <c r="AH157" s="90">
        <f t="shared" si="10"/>
        <v>0</v>
      </c>
      <c r="AI157" s="90">
        <f t="shared" si="8"/>
        <v>0</v>
      </c>
    </row>
    <row r="158" spans="1:35" x14ac:dyDescent="0.35">
      <c r="A158" s="93"/>
      <c r="B158" s="95"/>
      <c r="C158" s="96">
        <v>45930</v>
      </c>
      <c r="D158" s="97">
        <v>10</v>
      </c>
      <c r="E158" s="97" t="s">
        <v>249</v>
      </c>
      <c r="F158" s="10">
        <v>5</v>
      </c>
      <c r="G158" s="10">
        <v>2</v>
      </c>
      <c r="H158" s="10">
        <v>0</v>
      </c>
      <c r="I158" s="10">
        <v>0</v>
      </c>
      <c r="J158" s="74">
        <v>0</v>
      </c>
      <c r="K158" s="74">
        <v>1</v>
      </c>
      <c r="L158" s="74">
        <v>0</v>
      </c>
      <c r="M158" s="74">
        <v>0</v>
      </c>
      <c r="N158" s="74">
        <v>0</v>
      </c>
      <c r="O158" s="74">
        <v>0</v>
      </c>
      <c r="P158" s="74">
        <v>0</v>
      </c>
      <c r="Q158" s="74">
        <v>0</v>
      </c>
      <c r="R158" s="74">
        <v>0</v>
      </c>
      <c r="S158" s="97" t="s">
        <v>248</v>
      </c>
      <c r="T158" s="10">
        <v>7</v>
      </c>
      <c r="U158" s="10">
        <v>6</v>
      </c>
      <c r="V158" s="10">
        <v>0</v>
      </c>
      <c r="W158" s="10">
        <v>0</v>
      </c>
      <c r="X158" s="74">
        <v>0</v>
      </c>
      <c r="Y158" s="74">
        <v>0</v>
      </c>
      <c r="Z158" s="74">
        <v>0</v>
      </c>
      <c r="AA158" s="74">
        <v>0</v>
      </c>
      <c r="AB158" s="74">
        <v>0</v>
      </c>
      <c r="AC158" s="74">
        <v>0</v>
      </c>
      <c r="AD158" s="74">
        <v>0</v>
      </c>
      <c r="AE158" s="74">
        <v>0</v>
      </c>
      <c r="AF158" s="74">
        <v>0</v>
      </c>
      <c r="AG158" s="90">
        <f t="shared" si="6"/>
        <v>21</v>
      </c>
      <c r="AH158" s="90">
        <f t="shared" si="10"/>
        <v>20</v>
      </c>
      <c r="AI158" s="90">
        <f t="shared" si="8"/>
        <v>1</v>
      </c>
    </row>
    <row r="159" spans="1:35" x14ac:dyDescent="0.35">
      <c r="A159" s="93"/>
      <c r="B159" s="95"/>
      <c r="C159" s="96">
        <v>45936</v>
      </c>
      <c r="D159" s="97">
        <v>10</v>
      </c>
      <c r="E159" s="97" t="s">
        <v>285</v>
      </c>
      <c r="F159" s="10">
        <v>1</v>
      </c>
      <c r="G159" s="10">
        <v>1</v>
      </c>
      <c r="H159" s="10">
        <v>0</v>
      </c>
      <c r="I159" s="10">
        <v>0</v>
      </c>
      <c r="J159" s="74">
        <v>0</v>
      </c>
      <c r="K159" s="74">
        <v>1</v>
      </c>
      <c r="L159" s="74">
        <v>0</v>
      </c>
      <c r="M159" s="74">
        <v>0</v>
      </c>
      <c r="N159" s="74">
        <v>0</v>
      </c>
      <c r="O159" s="74">
        <v>0</v>
      </c>
      <c r="P159" s="74">
        <v>0</v>
      </c>
      <c r="Q159" s="74">
        <v>0</v>
      </c>
      <c r="R159" s="74">
        <v>0</v>
      </c>
      <c r="S159" s="97" t="s">
        <v>284</v>
      </c>
      <c r="T159" s="10">
        <v>4</v>
      </c>
      <c r="U159" s="10">
        <v>0</v>
      </c>
      <c r="V159" s="10">
        <v>0</v>
      </c>
      <c r="W159" s="10">
        <v>0</v>
      </c>
      <c r="X159" s="74">
        <v>0</v>
      </c>
      <c r="Y159" s="74">
        <v>0</v>
      </c>
      <c r="Z159" s="74">
        <v>0</v>
      </c>
      <c r="AA159" s="74">
        <v>1</v>
      </c>
      <c r="AB159" s="74">
        <v>0</v>
      </c>
      <c r="AC159" s="74">
        <v>0</v>
      </c>
      <c r="AD159" s="74">
        <v>0</v>
      </c>
      <c r="AE159" s="74">
        <v>0</v>
      </c>
      <c r="AF159" s="74">
        <v>0</v>
      </c>
      <c r="AG159" s="90">
        <f t="shared" si="6"/>
        <v>8</v>
      </c>
      <c r="AH159" s="90">
        <f t="shared" si="10"/>
        <v>6</v>
      </c>
      <c r="AI159" s="90">
        <f t="shared" si="8"/>
        <v>2</v>
      </c>
    </row>
    <row r="160" spans="1:35" x14ac:dyDescent="0.35">
      <c r="A160" s="93"/>
      <c r="B160" s="95"/>
      <c r="C160" s="96">
        <v>45939</v>
      </c>
      <c r="D160" s="97">
        <v>10</v>
      </c>
      <c r="E160" s="97" t="s">
        <v>328</v>
      </c>
      <c r="F160" s="10">
        <v>0</v>
      </c>
      <c r="G160" s="10">
        <v>3</v>
      </c>
      <c r="H160" s="10">
        <v>0</v>
      </c>
      <c r="I160" s="10">
        <v>1</v>
      </c>
      <c r="J160" s="74">
        <v>0</v>
      </c>
      <c r="K160" s="74">
        <v>0</v>
      </c>
      <c r="L160" s="74">
        <v>0</v>
      </c>
      <c r="M160" s="74">
        <v>1</v>
      </c>
      <c r="N160" s="74">
        <v>0</v>
      </c>
      <c r="O160" s="74">
        <v>0</v>
      </c>
      <c r="P160" s="74">
        <v>0</v>
      </c>
      <c r="Q160" s="74">
        <v>0</v>
      </c>
      <c r="R160" s="74">
        <v>0</v>
      </c>
      <c r="S160" s="97" t="s">
        <v>327</v>
      </c>
      <c r="T160" s="10">
        <v>0</v>
      </c>
      <c r="U160" s="10">
        <v>0</v>
      </c>
      <c r="V160" s="10">
        <v>0</v>
      </c>
      <c r="W160" s="10">
        <v>0</v>
      </c>
      <c r="X160" s="74">
        <v>1</v>
      </c>
      <c r="Y160" s="74">
        <v>1</v>
      </c>
      <c r="Z160" s="74">
        <v>0</v>
      </c>
      <c r="AA160" s="74">
        <v>0</v>
      </c>
      <c r="AB160" s="74">
        <v>0</v>
      </c>
      <c r="AC160" s="74">
        <v>0</v>
      </c>
      <c r="AD160" s="74">
        <v>0</v>
      </c>
      <c r="AE160" s="74">
        <v>0</v>
      </c>
      <c r="AF160" s="74">
        <v>0</v>
      </c>
      <c r="AG160" s="90">
        <f t="shared" si="6"/>
        <v>7</v>
      </c>
      <c r="AH160" s="90">
        <f t="shared" si="10"/>
        <v>4</v>
      </c>
      <c r="AI160" s="90">
        <f t="shared" si="8"/>
        <v>3</v>
      </c>
    </row>
    <row r="161" spans="1:35" x14ac:dyDescent="0.35">
      <c r="A161" s="93"/>
      <c r="B161" s="95"/>
      <c r="C161" s="96">
        <v>45944</v>
      </c>
      <c r="D161" s="97">
        <v>10</v>
      </c>
      <c r="E161" s="97" t="s">
        <v>363</v>
      </c>
      <c r="F161" s="10">
        <v>4</v>
      </c>
      <c r="G161" s="10">
        <v>1</v>
      </c>
      <c r="H161" s="10">
        <v>0</v>
      </c>
      <c r="I161" s="10">
        <v>0</v>
      </c>
      <c r="J161" s="74">
        <v>0</v>
      </c>
      <c r="K161" s="74">
        <v>1</v>
      </c>
      <c r="L161" s="74">
        <v>0</v>
      </c>
      <c r="M161" s="74">
        <v>0</v>
      </c>
      <c r="N161" s="74">
        <v>0</v>
      </c>
      <c r="O161" s="74">
        <v>0</v>
      </c>
      <c r="P161" s="74">
        <v>0</v>
      </c>
      <c r="Q161" s="74">
        <v>0</v>
      </c>
      <c r="R161" s="74">
        <v>0</v>
      </c>
      <c r="S161" s="97" t="s">
        <v>362</v>
      </c>
      <c r="T161" s="10">
        <v>5</v>
      </c>
      <c r="U161" s="10">
        <v>0</v>
      </c>
      <c r="V161" s="10">
        <v>0</v>
      </c>
      <c r="W161" s="10">
        <v>0</v>
      </c>
      <c r="X161" s="74">
        <v>0</v>
      </c>
      <c r="Y161" s="74">
        <v>0</v>
      </c>
      <c r="Z161" s="74">
        <v>0</v>
      </c>
      <c r="AA161" s="74">
        <v>1</v>
      </c>
      <c r="AB161" s="74">
        <v>0</v>
      </c>
      <c r="AC161" s="74">
        <v>0</v>
      </c>
      <c r="AD161" s="74">
        <v>0</v>
      </c>
      <c r="AE161" s="74">
        <v>0</v>
      </c>
      <c r="AF161" s="74">
        <v>0</v>
      </c>
      <c r="AG161" s="90">
        <f t="shared" si="6"/>
        <v>12</v>
      </c>
      <c r="AH161" s="90">
        <f t="shared" si="10"/>
        <v>10</v>
      </c>
      <c r="AI161" s="90">
        <f t="shared" si="8"/>
        <v>2</v>
      </c>
    </row>
    <row r="162" spans="1:35" x14ac:dyDescent="0.35">
      <c r="A162" s="93"/>
      <c r="B162" s="95"/>
      <c r="C162" s="96">
        <v>45947</v>
      </c>
      <c r="D162" s="97">
        <v>10</v>
      </c>
      <c r="E162" s="97" t="s">
        <v>386</v>
      </c>
      <c r="F162" s="10">
        <v>4</v>
      </c>
      <c r="G162" s="10">
        <v>0</v>
      </c>
      <c r="H162" s="10">
        <v>0</v>
      </c>
      <c r="I162" s="10">
        <v>0</v>
      </c>
      <c r="J162" s="74">
        <v>0</v>
      </c>
      <c r="K162" s="74">
        <v>0</v>
      </c>
      <c r="L162" s="74">
        <v>0</v>
      </c>
      <c r="M162" s="74">
        <v>1</v>
      </c>
      <c r="N162" s="74">
        <v>0</v>
      </c>
      <c r="O162" s="74">
        <v>1</v>
      </c>
      <c r="P162" s="74">
        <v>0</v>
      </c>
      <c r="Q162" s="74">
        <v>0</v>
      </c>
      <c r="R162" s="74">
        <v>0</v>
      </c>
      <c r="S162" s="97" t="s">
        <v>267</v>
      </c>
      <c r="T162" s="10">
        <v>3</v>
      </c>
      <c r="U162" s="10">
        <v>0</v>
      </c>
      <c r="V162" s="10">
        <v>0</v>
      </c>
      <c r="W162" s="10">
        <v>0</v>
      </c>
      <c r="X162" s="74">
        <v>0</v>
      </c>
      <c r="Y162" s="74">
        <v>0</v>
      </c>
      <c r="Z162" s="74">
        <v>0</v>
      </c>
      <c r="AA162" s="74">
        <v>1</v>
      </c>
      <c r="AB162" s="74">
        <v>0</v>
      </c>
      <c r="AC162" s="74">
        <v>0</v>
      </c>
      <c r="AD162" s="74">
        <v>0</v>
      </c>
      <c r="AE162" s="74">
        <v>0</v>
      </c>
      <c r="AF162" s="74">
        <v>0</v>
      </c>
      <c r="AG162" s="90">
        <f t="shared" si="6"/>
        <v>10</v>
      </c>
      <c r="AH162" s="90">
        <f t="shared" si="10"/>
        <v>7</v>
      </c>
      <c r="AI162" s="90">
        <f t="shared" si="8"/>
        <v>3</v>
      </c>
    </row>
    <row r="163" spans="1:35" x14ac:dyDescent="0.35">
      <c r="A163" s="93"/>
      <c r="B163" s="95"/>
      <c r="C163" s="96">
        <v>45951</v>
      </c>
      <c r="D163" s="97">
        <v>10</v>
      </c>
      <c r="E163" s="97" t="s">
        <v>410</v>
      </c>
      <c r="F163" s="10">
        <v>4</v>
      </c>
      <c r="G163" s="10">
        <v>0</v>
      </c>
      <c r="H163" s="10">
        <v>0</v>
      </c>
      <c r="I163" s="10">
        <v>0</v>
      </c>
      <c r="J163" s="74">
        <v>0</v>
      </c>
      <c r="K163" s="74">
        <v>0</v>
      </c>
      <c r="L163" s="74">
        <v>0</v>
      </c>
      <c r="M163" s="74">
        <v>0</v>
      </c>
      <c r="N163" s="74">
        <v>0</v>
      </c>
      <c r="O163" s="74">
        <v>1</v>
      </c>
      <c r="P163" s="74">
        <v>0</v>
      </c>
      <c r="Q163" s="74">
        <v>0</v>
      </c>
      <c r="R163" s="74">
        <v>0</v>
      </c>
      <c r="S163" s="97" t="s">
        <v>322</v>
      </c>
      <c r="T163" s="10">
        <v>3</v>
      </c>
      <c r="U163" s="10">
        <v>1</v>
      </c>
      <c r="V163" s="10">
        <v>0</v>
      </c>
      <c r="W163" s="10">
        <v>0</v>
      </c>
      <c r="X163" s="74">
        <v>0</v>
      </c>
      <c r="Y163" s="74">
        <v>0</v>
      </c>
      <c r="Z163" s="74">
        <v>0</v>
      </c>
      <c r="AA163" s="74">
        <v>0</v>
      </c>
      <c r="AB163" s="74">
        <v>0</v>
      </c>
      <c r="AC163" s="74">
        <v>0</v>
      </c>
      <c r="AD163" s="74">
        <v>1</v>
      </c>
      <c r="AE163" s="74">
        <v>0</v>
      </c>
      <c r="AF163" s="74">
        <v>0</v>
      </c>
      <c r="AG163" s="90">
        <f t="shared" si="6"/>
        <v>10</v>
      </c>
      <c r="AH163" s="90">
        <f t="shared" si="10"/>
        <v>8</v>
      </c>
      <c r="AI163" s="90">
        <f t="shared" si="8"/>
        <v>2</v>
      </c>
    </row>
    <row r="164" spans="1:35" x14ac:dyDescent="0.35">
      <c r="A164" s="93"/>
      <c r="B164" s="95"/>
      <c r="C164" s="96">
        <v>45954</v>
      </c>
      <c r="D164" s="97">
        <v>10</v>
      </c>
      <c r="E164" s="97" t="s">
        <v>450</v>
      </c>
      <c r="F164" s="10">
        <v>3</v>
      </c>
      <c r="G164" s="10">
        <v>1</v>
      </c>
      <c r="H164" s="10">
        <v>0</v>
      </c>
      <c r="I164" s="10">
        <v>0</v>
      </c>
      <c r="J164" s="74">
        <v>0</v>
      </c>
      <c r="K164" s="74">
        <v>0</v>
      </c>
      <c r="L164" s="74">
        <v>0</v>
      </c>
      <c r="M164" s="74">
        <v>1</v>
      </c>
      <c r="N164" s="74">
        <v>0</v>
      </c>
      <c r="O164" s="74">
        <v>0</v>
      </c>
      <c r="P164" s="74">
        <v>0</v>
      </c>
      <c r="Q164" s="74">
        <v>0</v>
      </c>
      <c r="R164" s="74">
        <v>0</v>
      </c>
      <c r="S164" s="97" t="s">
        <v>449</v>
      </c>
      <c r="T164" s="10">
        <v>0</v>
      </c>
      <c r="U164" s="10">
        <v>0</v>
      </c>
      <c r="V164" s="10">
        <v>0</v>
      </c>
      <c r="W164" s="10">
        <v>1</v>
      </c>
      <c r="X164" s="74">
        <v>0</v>
      </c>
      <c r="Y164" s="74">
        <v>0</v>
      </c>
      <c r="Z164" s="74">
        <v>0</v>
      </c>
      <c r="AA164" s="74">
        <v>0</v>
      </c>
      <c r="AB164" s="74">
        <v>0</v>
      </c>
      <c r="AC164" s="74">
        <v>1</v>
      </c>
      <c r="AD164" s="74">
        <v>0</v>
      </c>
      <c r="AE164" s="74">
        <v>0</v>
      </c>
      <c r="AF164" s="74">
        <v>0</v>
      </c>
      <c r="AG164" s="90">
        <f t="shared" si="6"/>
        <v>7</v>
      </c>
      <c r="AH164" s="90">
        <f t="shared" si="10"/>
        <v>5</v>
      </c>
      <c r="AI164" s="90">
        <f t="shared" si="8"/>
        <v>2</v>
      </c>
    </row>
    <row r="165" spans="1:35" x14ac:dyDescent="0.35">
      <c r="A165" s="93"/>
      <c r="B165" s="95"/>
      <c r="C165" s="96">
        <v>45958</v>
      </c>
      <c r="D165" s="97">
        <v>10</v>
      </c>
      <c r="E165" s="97" t="s">
        <v>471</v>
      </c>
      <c r="F165" s="10">
        <v>6</v>
      </c>
      <c r="G165" s="10">
        <v>2</v>
      </c>
      <c r="H165" s="10">
        <v>0</v>
      </c>
      <c r="I165" s="10">
        <v>0</v>
      </c>
      <c r="J165" s="74">
        <v>0</v>
      </c>
      <c r="K165" s="74">
        <v>0</v>
      </c>
      <c r="L165" s="74">
        <v>0</v>
      </c>
      <c r="M165" s="74">
        <v>0</v>
      </c>
      <c r="N165" s="74">
        <v>0</v>
      </c>
      <c r="O165" s="74">
        <v>0</v>
      </c>
      <c r="P165" s="74">
        <v>0</v>
      </c>
      <c r="Q165" s="74">
        <v>0</v>
      </c>
      <c r="R165" s="74">
        <v>0</v>
      </c>
      <c r="S165" s="97" t="s">
        <v>470</v>
      </c>
      <c r="T165" s="10">
        <v>6</v>
      </c>
      <c r="U165" s="10">
        <v>2</v>
      </c>
      <c r="V165" s="10">
        <v>0</v>
      </c>
      <c r="W165" s="10">
        <v>0</v>
      </c>
      <c r="X165" s="74">
        <v>0</v>
      </c>
      <c r="Y165" s="74">
        <v>0</v>
      </c>
      <c r="Z165" s="74">
        <v>0</v>
      </c>
      <c r="AA165" s="74">
        <v>0</v>
      </c>
      <c r="AB165" s="74">
        <v>0</v>
      </c>
      <c r="AC165" s="74">
        <v>0</v>
      </c>
      <c r="AD165" s="74">
        <v>0</v>
      </c>
      <c r="AE165" s="74">
        <v>0</v>
      </c>
      <c r="AF165" s="74">
        <v>0</v>
      </c>
      <c r="AG165" s="90">
        <f t="shared" si="6"/>
        <v>16</v>
      </c>
      <c r="AH165" s="90">
        <f t="shared" si="10"/>
        <v>16</v>
      </c>
      <c r="AI165" s="90">
        <f t="shared" si="8"/>
        <v>0</v>
      </c>
    </row>
    <row r="166" spans="1:35" ht="25" customHeight="1" x14ac:dyDescent="0.35">
      <c r="A166" s="93"/>
      <c r="B166" s="95"/>
      <c r="C166" s="96">
        <v>45961</v>
      </c>
      <c r="D166" s="97">
        <v>10</v>
      </c>
      <c r="E166" s="99" t="s">
        <v>543</v>
      </c>
      <c r="F166" s="10">
        <v>4</v>
      </c>
      <c r="G166" s="10">
        <v>1</v>
      </c>
      <c r="H166" s="10">
        <v>0</v>
      </c>
      <c r="I166" s="10">
        <v>0</v>
      </c>
      <c r="J166" s="74">
        <v>0</v>
      </c>
      <c r="K166" s="74">
        <v>0</v>
      </c>
      <c r="L166" s="74">
        <v>0</v>
      </c>
      <c r="M166" s="74">
        <v>0</v>
      </c>
      <c r="N166" s="74">
        <v>0</v>
      </c>
      <c r="O166" s="74">
        <v>1</v>
      </c>
      <c r="P166" s="74">
        <v>0</v>
      </c>
      <c r="Q166" s="74">
        <v>0</v>
      </c>
      <c r="R166" s="74">
        <v>0</v>
      </c>
      <c r="S166" s="99" t="s">
        <v>536</v>
      </c>
      <c r="T166" s="10">
        <v>3</v>
      </c>
      <c r="U166" s="10">
        <v>0</v>
      </c>
      <c r="V166" s="10">
        <v>0</v>
      </c>
      <c r="W166" s="10">
        <v>0</v>
      </c>
      <c r="X166" s="74">
        <v>0</v>
      </c>
      <c r="Y166" s="74">
        <v>0</v>
      </c>
      <c r="Z166" s="74">
        <v>0</v>
      </c>
      <c r="AA166" s="74">
        <v>0</v>
      </c>
      <c r="AB166" s="74">
        <v>0</v>
      </c>
      <c r="AC166" s="74">
        <v>0</v>
      </c>
      <c r="AD166" s="74">
        <v>1</v>
      </c>
      <c r="AE166" s="74">
        <v>0</v>
      </c>
      <c r="AF166" s="74">
        <v>0</v>
      </c>
      <c r="AG166" s="90">
        <f t="shared" si="6"/>
        <v>10</v>
      </c>
      <c r="AH166" s="90">
        <f t="shared" si="10"/>
        <v>8</v>
      </c>
      <c r="AI166" s="90">
        <f t="shared" si="8"/>
        <v>2</v>
      </c>
    </row>
    <row r="167" spans="1:35" x14ac:dyDescent="0.35">
      <c r="A167" s="93"/>
      <c r="B167" s="95"/>
      <c r="C167" s="97"/>
      <c r="D167" s="97"/>
      <c r="E167" s="97"/>
      <c r="S167" s="97"/>
      <c r="AG167" s="90"/>
      <c r="AH167" s="90"/>
      <c r="AI167" s="90"/>
    </row>
    <row r="168" spans="1:35" x14ac:dyDescent="0.35">
      <c r="A168" s="93">
        <v>12</v>
      </c>
      <c r="B168" s="95" t="s">
        <v>190</v>
      </c>
      <c r="C168" s="96">
        <v>45925</v>
      </c>
      <c r="D168" s="97" t="s">
        <v>55</v>
      </c>
      <c r="E168" s="97" t="s">
        <v>55</v>
      </c>
      <c r="F168" s="10">
        <v>0</v>
      </c>
      <c r="G168" s="10">
        <v>0</v>
      </c>
      <c r="H168" s="10">
        <v>0</v>
      </c>
      <c r="I168" s="10">
        <v>0</v>
      </c>
      <c r="J168" s="74">
        <v>0</v>
      </c>
      <c r="K168" s="74">
        <v>0</v>
      </c>
      <c r="L168" s="74">
        <v>0</v>
      </c>
      <c r="M168" s="74">
        <v>0</v>
      </c>
      <c r="N168" s="74">
        <v>0</v>
      </c>
      <c r="O168" s="74">
        <v>0</v>
      </c>
      <c r="P168" s="74">
        <v>0</v>
      </c>
      <c r="Q168" s="74">
        <v>0</v>
      </c>
      <c r="R168" s="74">
        <v>0</v>
      </c>
      <c r="S168" s="97" t="s">
        <v>55</v>
      </c>
      <c r="T168" s="10">
        <v>0</v>
      </c>
      <c r="U168" s="10">
        <v>0</v>
      </c>
      <c r="V168" s="10">
        <v>0</v>
      </c>
      <c r="W168" s="10">
        <v>0</v>
      </c>
      <c r="X168" s="74">
        <v>0</v>
      </c>
      <c r="Y168" s="74">
        <v>0</v>
      </c>
      <c r="Z168" s="74">
        <v>0</v>
      </c>
      <c r="AA168" s="74">
        <v>0</v>
      </c>
      <c r="AB168" s="74">
        <v>0</v>
      </c>
      <c r="AC168" s="74">
        <v>0</v>
      </c>
      <c r="AD168" s="74">
        <v>0</v>
      </c>
      <c r="AE168" s="74">
        <v>0</v>
      </c>
      <c r="AF168" s="74">
        <v>0</v>
      </c>
      <c r="AG168" s="90">
        <f t="shared" si="6"/>
        <v>0</v>
      </c>
      <c r="AH168" s="90">
        <f t="shared" ref="AH168:AH179" si="11">F168+G168+H168+I168+T168+U168+V168+W168</f>
        <v>0</v>
      </c>
      <c r="AI168" s="90">
        <f t="shared" si="8"/>
        <v>0</v>
      </c>
    </row>
    <row r="169" spans="1:35" x14ac:dyDescent="0.35">
      <c r="A169" s="93"/>
      <c r="B169" s="95"/>
      <c r="C169" s="96">
        <v>45930</v>
      </c>
      <c r="D169" s="97" t="s">
        <v>55</v>
      </c>
      <c r="E169" s="97" t="s">
        <v>55</v>
      </c>
      <c r="F169" s="10">
        <v>0</v>
      </c>
      <c r="G169" s="10">
        <v>0</v>
      </c>
      <c r="H169" s="10">
        <v>0</v>
      </c>
      <c r="I169" s="10">
        <v>0</v>
      </c>
      <c r="J169" s="74">
        <v>0</v>
      </c>
      <c r="K169" s="74">
        <v>0</v>
      </c>
      <c r="L169" s="74">
        <v>0</v>
      </c>
      <c r="M169" s="74">
        <v>0</v>
      </c>
      <c r="N169" s="74">
        <v>0</v>
      </c>
      <c r="O169" s="74">
        <v>0</v>
      </c>
      <c r="P169" s="74">
        <v>0</v>
      </c>
      <c r="Q169" s="74">
        <v>0</v>
      </c>
      <c r="R169" s="74">
        <v>0</v>
      </c>
      <c r="S169" s="97" t="s">
        <v>55</v>
      </c>
      <c r="T169" s="10">
        <v>0</v>
      </c>
      <c r="U169" s="10">
        <v>0</v>
      </c>
      <c r="V169" s="10">
        <v>0</v>
      </c>
      <c r="W169" s="10">
        <v>0</v>
      </c>
      <c r="X169" s="74">
        <v>0</v>
      </c>
      <c r="Y169" s="74">
        <v>0</v>
      </c>
      <c r="Z169" s="74">
        <v>0</v>
      </c>
      <c r="AA169" s="74">
        <v>0</v>
      </c>
      <c r="AB169" s="74">
        <v>0</v>
      </c>
      <c r="AC169" s="74">
        <v>0</v>
      </c>
      <c r="AD169" s="74">
        <v>0</v>
      </c>
      <c r="AE169" s="74">
        <v>0</v>
      </c>
      <c r="AF169" s="74">
        <v>0</v>
      </c>
      <c r="AG169" s="90">
        <f t="shared" si="6"/>
        <v>0</v>
      </c>
      <c r="AH169" s="90">
        <f t="shared" si="11"/>
        <v>0</v>
      </c>
      <c r="AI169" s="90">
        <f t="shared" si="8"/>
        <v>0</v>
      </c>
    </row>
    <row r="170" spans="1:35" x14ac:dyDescent="0.35">
      <c r="A170" s="93"/>
      <c r="B170" s="95"/>
      <c r="C170" s="96">
        <v>45936</v>
      </c>
      <c r="D170" s="97" t="s">
        <v>55</v>
      </c>
      <c r="E170" s="97" t="s">
        <v>55</v>
      </c>
      <c r="F170" s="10">
        <v>0</v>
      </c>
      <c r="G170" s="10">
        <v>0</v>
      </c>
      <c r="H170" s="10">
        <v>0</v>
      </c>
      <c r="I170" s="10">
        <v>0</v>
      </c>
      <c r="J170" s="74">
        <v>0</v>
      </c>
      <c r="K170" s="74">
        <v>0</v>
      </c>
      <c r="L170" s="74">
        <v>0</v>
      </c>
      <c r="M170" s="74">
        <v>0</v>
      </c>
      <c r="N170" s="74">
        <v>0</v>
      </c>
      <c r="O170" s="74">
        <v>0</v>
      </c>
      <c r="P170" s="74">
        <v>0</v>
      </c>
      <c r="Q170" s="74">
        <v>0</v>
      </c>
      <c r="R170" s="74">
        <v>0</v>
      </c>
      <c r="S170" s="97" t="s">
        <v>55</v>
      </c>
      <c r="T170" s="10">
        <v>0</v>
      </c>
      <c r="U170" s="10">
        <v>0</v>
      </c>
      <c r="V170" s="10">
        <v>0</v>
      </c>
      <c r="W170" s="10">
        <v>0</v>
      </c>
      <c r="X170" s="74">
        <v>0</v>
      </c>
      <c r="Y170" s="74">
        <v>0</v>
      </c>
      <c r="Z170" s="74">
        <v>0</v>
      </c>
      <c r="AA170" s="74">
        <v>0</v>
      </c>
      <c r="AB170" s="74">
        <v>0</v>
      </c>
      <c r="AC170" s="74">
        <v>0</v>
      </c>
      <c r="AD170" s="74">
        <v>0</v>
      </c>
      <c r="AE170" s="74">
        <v>0</v>
      </c>
      <c r="AF170" s="74">
        <v>0</v>
      </c>
      <c r="AG170" s="90">
        <f t="shared" si="6"/>
        <v>0</v>
      </c>
      <c r="AH170" s="90">
        <f t="shared" si="11"/>
        <v>0</v>
      </c>
      <c r="AI170" s="90">
        <f t="shared" si="8"/>
        <v>0</v>
      </c>
    </row>
    <row r="171" spans="1:35" x14ac:dyDescent="0.35">
      <c r="A171" s="93"/>
      <c r="B171" s="95"/>
      <c r="C171" s="96">
        <v>45939</v>
      </c>
      <c r="D171" s="97">
        <v>21</v>
      </c>
      <c r="E171" s="97" t="s">
        <v>315</v>
      </c>
      <c r="F171" s="10">
        <v>1</v>
      </c>
      <c r="G171" s="10">
        <v>0</v>
      </c>
      <c r="H171" s="10">
        <v>0</v>
      </c>
      <c r="I171" s="10">
        <v>1</v>
      </c>
      <c r="J171" s="74">
        <v>0</v>
      </c>
      <c r="K171" s="74">
        <v>0</v>
      </c>
      <c r="L171" s="74">
        <v>0</v>
      </c>
      <c r="M171" s="74">
        <v>0</v>
      </c>
      <c r="N171" s="74">
        <v>0</v>
      </c>
      <c r="O171" s="74">
        <v>0</v>
      </c>
      <c r="P171" s="74">
        <v>0</v>
      </c>
      <c r="Q171" s="74">
        <v>0</v>
      </c>
      <c r="R171" s="74">
        <v>0</v>
      </c>
      <c r="S171" s="97" t="s">
        <v>314</v>
      </c>
      <c r="T171" s="10">
        <v>4</v>
      </c>
      <c r="U171" s="10">
        <v>0</v>
      </c>
      <c r="V171" s="10">
        <v>1</v>
      </c>
      <c r="W171" s="10">
        <v>1</v>
      </c>
      <c r="X171" s="74">
        <v>0</v>
      </c>
      <c r="Y171" s="74">
        <v>0</v>
      </c>
      <c r="Z171" s="74">
        <v>0</v>
      </c>
      <c r="AA171" s="74">
        <v>0</v>
      </c>
      <c r="AB171" s="74">
        <v>0</v>
      </c>
      <c r="AC171" s="74">
        <v>0</v>
      </c>
      <c r="AD171" s="74">
        <v>0</v>
      </c>
      <c r="AE171" s="74">
        <v>0</v>
      </c>
      <c r="AF171" s="74">
        <v>0</v>
      </c>
      <c r="AG171" s="90">
        <f t="shared" si="6"/>
        <v>8</v>
      </c>
      <c r="AH171" s="90">
        <f t="shared" si="11"/>
        <v>8</v>
      </c>
      <c r="AI171" s="90">
        <f t="shared" si="8"/>
        <v>0</v>
      </c>
    </row>
    <row r="172" spans="1:35" x14ac:dyDescent="0.35">
      <c r="A172" s="93"/>
      <c r="B172" s="95"/>
      <c r="C172" s="96">
        <v>45944</v>
      </c>
      <c r="D172" s="97">
        <v>21</v>
      </c>
      <c r="E172" s="97" t="s">
        <v>354</v>
      </c>
      <c r="F172" s="10">
        <v>0</v>
      </c>
      <c r="G172" s="10">
        <v>2</v>
      </c>
      <c r="H172" s="10">
        <v>0</v>
      </c>
      <c r="I172" s="10">
        <v>1</v>
      </c>
      <c r="J172" s="74">
        <v>0</v>
      </c>
      <c r="K172" s="74">
        <v>0</v>
      </c>
      <c r="L172" s="74">
        <v>0</v>
      </c>
      <c r="M172" s="74">
        <v>2</v>
      </c>
      <c r="N172" s="74">
        <v>0</v>
      </c>
      <c r="O172" s="74">
        <v>0</v>
      </c>
      <c r="P172" s="74">
        <v>0</v>
      </c>
      <c r="Q172" s="74">
        <v>0</v>
      </c>
      <c r="R172" s="74">
        <v>0</v>
      </c>
      <c r="S172" s="97" t="s">
        <v>353</v>
      </c>
      <c r="T172" s="10">
        <v>3</v>
      </c>
      <c r="U172" s="10">
        <v>0</v>
      </c>
      <c r="V172" s="10">
        <v>0</v>
      </c>
      <c r="W172" s="10">
        <v>0</v>
      </c>
      <c r="X172" s="74">
        <v>0</v>
      </c>
      <c r="Y172" s="74">
        <v>0</v>
      </c>
      <c r="Z172" s="74">
        <v>0</v>
      </c>
      <c r="AA172" s="74">
        <v>1</v>
      </c>
      <c r="AB172" s="74">
        <v>0</v>
      </c>
      <c r="AC172" s="74">
        <v>0</v>
      </c>
      <c r="AD172" s="74">
        <v>0</v>
      </c>
      <c r="AE172" s="74">
        <v>0</v>
      </c>
      <c r="AF172" s="74">
        <v>0</v>
      </c>
      <c r="AG172" s="90">
        <f t="shared" si="6"/>
        <v>9</v>
      </c>
      <c r="AH172" s="90">
        <f t="shared" si="11"/>
        <v>6</v>
      </c>
      <c r="AI172" s="90">
        <f t="shared" si="8"/>
        <v>3</v>
      </c>
    </row>
    <row r="173" spans="1:35" x14ac:dyDescent="0.35">
      <c r="A173" s="93"/>
      <c r="B173" s="95"/>
      <c r="C173" s="96">
        <v>45947</v>
      </c>
      <c r="D173" s="97">
        <v>21</v>
      </c>
      <c r="E173" s="97" t="s">
        <v>378</v>
      </c>
      <c r="F173" s="10">
        <v>0</v>
      </c>
      <c r="G173" s="10">
        <v>1</v>
      </c>
      <c r="H173" s="10">
        <v>0</v>
      </c>
      <c r="I173" s="10">
        <v>1</v>
      </c>
      <c r="J173" s="74">
        <v>0</v>
      </c>
      <c r="K173" s="74">
        <v>0</v>
      </c>
      <c r="L173" s="74">
        <v>0</v>
      </c>
      <c r="M173" s="74">
        <v>1</v>
      </c>
      <c r="N173" s="74">
        <v>0</v>
      </c>
      <c r="O173" s="74">
        <v>0</v>
      </c>
      <c r="P173" s="74">
        <v>0</v>
      </c>
      <c r="Q173" s="74">
        <v>0</v>
      </c>
      <c r="R173" s="74">
        <v>0</v>
      </c>
      <c r="S173" s="97" t="s">
        <v>387</v>
      </c>
      <c r="T173" s="10">
        <v>0</v>
      </c>
      <c r="U173" s="10">
        <v>2</v>
      </c>
      <c r="V173" s="10">
        <v>3</v>
      </c>
      <c r="W173" s="10">
        <v>0</v>
      </c>
      <c r="X173" s="74">
        <v>0</v>
      </c>
      <c r="Y173" s="74">
        <v>0</v>
      </c>
      <c r="Z173" s="74">
        <v>0</v>
      </c>
      <c r="AA173" s="74">
        <v>0</v>
      </c>
      <c r="AB173" s="74">
        <v>0</v>
      </c>
      <c r="AC173" s="74">
        <v>0</v>
      </c>
      <c r="AD173" s="74">
        <v>0</v>
      </c>
      <c r="AE173" s="74">
        <v>0</v>
      </c>
      <c r="AF173" s="74">
        <v>0</v>
      </c>
      <c r="AG173" s="90">
        <f t="shared" si="6"/>
        <v>8</v>
      </c>
      <c r="AH173" s="90">
        <f t="shared" si="11"/>
        <v>7</v>
      </c>
      <c r="AI173" s="90">
        <f t="shared" si="8"/>
        <v>1</v>
      </c>
    </row>
    <row r="174" spans="1:35" x14ac:dyDescent="0.35">
      <c r="A174" s="93"/>
      <c r="B174" s="95"/>
      <c r="C174" s="96">
        <v>45951</v>
      </c>
      <c r="D174" s="97">
        <v>21</v>
      </c>
      <c r="E174" s="97" t="s">
        <v>55</v>
      </c>
      <c r="F174" s="10">
        <v>0</v>
      </c>
      <c r="G174" s="10">
        <v>0</v>
      </c>
      <c r="H174" s="10">
        <v>0</v>
      </c>
      <c r="I174" s="10">
        <v>0</v>
      </c>
      <c r="J174" s="74">
        <v>0</v>
      </c>
      <c r="K174" s="74">
        <v>0</v>
      </c>
      <c r="L174" s="74">
        <v>0</v>
      </c>
      <c r="M174" s="74">
        <v>0</v>
      </c>
      <c r="N174" s="74">
        <v>0</v>
      </c>
      <c r="O174" s="74">
        <v>0</v>
      </c>
      <c r="P174" s="74">
        <v>0</v>
      </c>
      <c r="Q174" s="74">
        <v>0</v>
      </c>
      <c r="R174" s="74">
        <v>0</v>
      </c>
      <c r="S174" s="97" t="s">
        <v>421</v>
      </c>
      <c r="T174" s="10">
        <v>0</v>
      </c>
      <c r="U174" s="10">
        <v>0</v>
      </c>
      <c r="V174" s="10">
        <v>0</v>
      </c>
      <c r="W174" s="10">
        <v>0</v>
      </c>
      <c r="X174" s="74">
        <v>0</v>
      </c>
      <c r="Y174" s="74">
        <v>0</v>
      </c>
      <c r="Z174" s="74">
        <v>0</v>
      </c>
      <c r="AA174" s="74">
        <v>0</v>
      </c>
      <c r="AB174" s="74">
        <v>0</v>
      </c>
      <c r="AC174" s="74">
        <v>0</v>
      </c>
      <c r="AD174" s="74">
        <v>2</v>
      </c>
      <c r="AE174" s="74">
        <v>0</v>
      </c>
      <c r="AF174" s="74">
        <v>0</v>
      </c>
      <c r="AG174" s="90">
        <f t="shared" si="6"/>
        <v>2</v>
      </c>
      <c r="AH174" s="90">
        <f t="shared" si="11"/>
        <v>0</v>
      </c>
      <c r="AI174" s="90">
        <f t="shared" si="8"/>
        <v>2</v>
      </c>
    </row>
    <row r="175" spans="1:35" x14ac:dyDescent="0.35">
      <c r="A175" s="93"/>
      <c r="B175" s="95"/>
      <c r="C175" s="96">
        <v>45954</v>
      </c>
      <c r="D175" s="97">
        <v>21</v>
      </c>
      <c r="E175" s="97" t="s">
        <v>434</v>
      </c>
      <c r="F175" s="10">
        <v>2</v>
      </c>
      <c r="G175" s="10">
        <v>1</v>
      </c>
      <c r="H175" s="10">
        <v>2</v>
      </c>
      <c r="I175" s="10">
        <v>0</v>
      </c>
      <c r="J175" s="74">
        <v>0</v>
      </c>
      <c r="K175" s="74">
        <v>0</v>
      </c>
      <c r="L175" s="74">
        <v>0</v>
      </c>
      <c r="M175" s="74">
        <v>0</v>
      </c>
      <c r="N175" s="74">
        <v>0</v>
      </c>
      <c r="O175" s="74">
        <v>0</v>
      </c>
      <c r="P175" s="74">
        <v>0</v>
      </c>
      <c r="Q175" s="74">
        <v>0</v>
      </c>
      <c r="R175" s="74">
        <v>0</v>
      </c>
      <c r="S175" s="97" t="s">
        <v>311</v>
      </c>
      <c r="T175" s="10">
        <v>3</v>
      </c>
      <c r="U175" s="10">
        <v>2</v>
      </c>
      <c r="V175" s="10">
        <v>0</v>
      </c>
      <c r="W175" s="10">
        <v>0</v>
      </c>
      <c r="X175" s="74">
        <v>0</v>
      </c>
      <c r="Y175" s="74">
        <v>0</v>
      </c>
      <c r="Z175" s="74">
        <v>0</v>
      </c>
      <c r="AA175" s="74">
        <v>1</v>
      </c>
      <c r="AB175" s="74">
        <v>0</v>
      </c>
      <c r="AC175" s="74">
        <v>0</v>
      </c>
      <c r="AD175" s="74">
        <v>0</v>
      </c>
      <c r="AE175" s="74">
        <v>0</v>
      </c>
      <c r="AF175" s="74">
        <v>0</v>
      </c>
      <c r="AG175" s="90">
        <f t="shared" si="6"/>
        <v>11</v>
      </c>
      <c r="AH175" s="90">
        <f t="shared" si="11"/>
        <v>10</v>
      </c>
      <c r="AI175" s="90">
        <f t="shared" si="8"/>
        <v>1</v>
      </c>
    </row>
    <row r="176" spans="1:35" x14ac:dyDescent="0.35">
      <c r="A176" s="93"/>
      <c r="B176" s="95"/>
      <c r="C176" s="96">
        <v>45957</v>
      </c>
      <c r="D176" s="97">
        <v>21</v>
      </c>
      <c r="E176" s="97" t="s">
        <v>440</v>
      </c>
      <c r="F176" s="10">
        <v>4</v>
      </c>
      <c r="G176" s="10">
        <v>0</v>
      </c>
      <c r="H176" s="10">
        <v>0</v>
      </c>
      <c r="I176" s="10">
        <v>0</v>
      </c>
      <c r="J176" s="74">
        <v>0</v>
      </c>
      <c r="K176" s="74">
        <v>0</v>
      </c>
      <c r="L176" s="74">
        <v>0</v>
      </c>
      <c r="M176" s="74">
        <v>0</v>
      </c>
      <c r="N176" s="74">
        <v>0</v>
      </c>
      <c r="O176" s="74">
        <v>0</v>
      </c>
      <c r="P176" s="74">
        <v>0</v>
      </c>
      <c r="Q176" s="74">
        <v>0</v>
      </c>
      <c r="R176" s="74">
        <v>0</v>
      </c>
      <c r="S176" s="97" t="s">
        <v>317</v>
      </c>
      <c r="T176" s="10">
        <v>4</v>
      </c>
      <c r="U176" s="10">
        <v>0</v>
      </c>
      <c r="V176" s="10">
        <v>0</v>
      </c>
      <c r="W176" s="10">
        <v>1</v>
      </c>
      <c r="X176" s="74">
        <v>0</v>
      </c>
      <c r="Y176" s="74">
        <v>0</v>
      </c>
      <c r="Z176" s="74">
        <v>0</v>
      </c>
      <c r="AA176" s="74">
        <v>0</v>
      </c>
      <c r="AB176" s="74">
        <v>0</v>
      </c>
      <c r="AC176" s="74">
        <v>0</v>
      </c>
      <c r="AD176" s="74">
        <v>0</v>
      </c>
      <c r="AE176" s="74">
        <v>0</v>
      </c>
      <c r="AF176" s="74">
        <v>0</v>
      </c>
      <c r="AG176" s="90">
        <f t="shared" si="6"/>
        <v>9</v>
      </c>
      <c r="AH176" s="90">
        <f t="shared" si="11"/>
        <v>9</v>
      </c>
      <c r="AI176" s="90">
        <f t="shared" si="8"/>
        <v>0</v>
      </c>
    </row>
    <row r="177" spans="1:35" ht="29" x14ac:dyDescent="0.35">
      <c r="A177" s="93"/>
      <c r="B177" s="95"/>
      <c r="C177" s="96">
        <v>45961</v>
      </c>
      <c r="D177" s="97">
        <v>21</v>
      </c>
      <c r="E177" s="97" t="s">
        <v>317</v>
      </c>
      <c r="F177" s="10">
        <v>4</v>
      </c>
      <c r="G177" s="10">
        <v>0</v>
      </c>
      <c r="H177" s="10">
        <v>0</v>
      </c>
      <c r="I177" s="10">
        <v>1</v>
      </c>
      <c r="J177" s="74">
        <v>0</v>
      </c>
      <c r="K177" s="74">
        <v>0</v>
      </c>
      <c r="L177" s="74">
        <v>0</v>
      </c>
      <c r="M177" s="74">
        <v>0</v>
      </c>
      <c r="N177" s="74">
        <v>0</v>
      </c>
      <c r="O177" s="74">
        <v>0</v>
      </c>
      <c r="P177" s="74">
        <v>0</v>
      </c>
      <c r="Q177" s="74">
        <v>0</v>
      </c>
      <c r="R177" s="74">
        <v>0</v>
      </c>
      <c r="S177" s="99" t="s">
        <v>515</v>
      </c>
      <c r="T177" s="10">
        <v>0</v>
      </c>
      <c r="U177" s="10">
        <v>1</v>
      </c>
      <c r="V177" s="10">
        <v>0</v>
      </c>
      <c r="W177" s="10">
        <v>0</v>
      </c>
      <c r="X177" s="74">
        <v>0</v>
      </c>
      <c r="Y177" s="74">
        <v>1</v>
      </c>
      <c r="Z177" s="74">
        <v>0</v>
      </c>
      <c r="AA177" s="74">
        <v>0</v>
      </c>
      <c r="AB177" s="74">
        <v>0</v>
      </c>
      <c r="AC177" s="74">
        <v>0</v>
      </c>
      <c r="AD177" s="74">
        <v>0</v>
      </c>
      <c r="AE177" s="74">
        <v>0</v>
      </c>
      <c r="AF177" s="74">
        <v>0</v>
      </c>
      <c r="AG177" s="90">
        <f t="shared" si="6"/>
        <v>7</v>
      </c>
      <c r="AH177" s="90">
        <f t="shared" si="11"/>
        <v>6</v>
      </c>
      <c r="AI177" s="90">
        <f t="shared" si="8"/>
        <v>1</v>
      </c>
    </row>
    <row r="178" spans="1:35" x14ac:dyDescent="0.35">
      <c r="A178" s="93"/>
      <c r="B178" s="95"/>
      <c r="C178" s="96">
        <v>45964</v>
      </c>
      <c r="D178" s="97">
        <v>21</v>
      </c>
      <c r="E178" s="97" t="s">
        <v>79</v>
      </c>
      <c r="F178" s="10">
        <v>0</v>
      </c>
      <c r="G178" s="10">
        <v>3</v>
      </c>
      <c r="H178" s="10">
        <v>0</v>
      </c>
      <c r="I178" s="10">
        <v>0</v>
      </c>
      <c r="J178" s="74">
        <v>0</v>
      </c>
      <c r="K178" s="74">
        <v>1</v>
      </c>
      <c r="L178" s="74">
        <v>0</v>
      </c>
      <c r="M178" s="74">
        <v>0</v>
      </c>
      <c r="N178" s="74">
        <v>0</v>
      </c>
      <c r="O178" s="74">
        <v>0</v>
      </c>
      <c r="P178" s="74">
        <v>0</v>
      </c>
      <c r="Q178" s="74">
        <v>0</v>
      </c>
      <c r="R178" s="74">
        <v>0</v>
      </c>
      <c r="S178" s="97" t="s">
        <v>243</v>
      </c>
      <c r="T178" s="10">
        <v>0</v>
      </c>
      <c r="U178" s="10">
        <v>0</v>
      </c>
      <c r="V178" s="10">
        <v>0</v>
      </c>
      <c r="W178" s="10">
        <v>0</v>
      </c>
      <c r="X178" s="74">
        <v>0</v>
      </c>
      <c r="Y178" s="74">
        <v>0</v>
      </c>
      <c r="Z178" s="74">
        <v>0</v>
      </c>
      <c r="AA178" s="74">
        <v>1</v>
      </c>
      <c r="AB178" s="74">
        <v>0</v>
      </c>
      <c r="AC178" s="74">
        <v>0</v>
      </c>
      <c r="AD178" s="74">
        <v>0</v>
      </c>
      <c r="AE178" s="74">
        <v>0</v>
      </c>
      <c r="AF178" s="74">
        <v>0</v>
      </c>
      <c r="AG178" s="90">
        <f t="shared" si="6"/>
        <v>5</v>
      </c>
      <c r="AH178" s="90">
        <f t="shared" si="11"/>
        <v>3</v>
      </c>
      <c r="AI178" s="90">
        <f t="shared" si="8"/>
        <v>2</v>
      </c>
    </row>
    <row r="179" spans="1:35" ht="43.5" x14ac:dyDescent="0.35">
      <c r="A179" s="93"/>
      <c r="B179" s="95"/>
      <c r="C179" s="96">
        <v>45968</v>
      </c>
      <c r="D179" s="97">
        <v>21</v>
      </c>
      <c r="E179" s="99" t="s">
        <v>567</v>
      </c>
      <c r="F179" s="10">
        <v>3</v>
      </c>
      <c r="G179" s="10">
        <v>2</v>
      </c>
      <c r="H179" s="10">
        <v>0</v>
      </c>
      <c r="I179" s="10">
        <v>1</v>
      </c>
      <c r="J179" s="74">
        <v>0</v>
      </c>
      <c r="K179" s="74">
        <v>1</v>
      </c>
      <c r="L179" s="74">
        <v>0</v>
      </c>
      <c r="M179" s="74">
        <v>1</v>
      </c>
      <c r="N179" s="74">
        <v>0</v>
      </c>
      <c r="O179" s="74">
        <v>0</v>
      </c>
      <c r="P179" s="74">
        <v>0</v>
      </c>
      <c r="Q179" s="74">
        <v>0</v>
      </c>
      <c r="R179" s="74">
        <v>0</v>
      </c>
      <c r="S179" s="99" t="s">
        <v>568</v>
      </c>
      <c r="T179" s="10">
        <v>0</v>
      </c>
      <c r="U179" s="10">
        <v>0</v>
      </c>
      <c r="V179" s="10">
        <v>0</v>
      </c>
      <c r="W179" s="10">
        <v>0</v>
      </c>
      <c r="X179" s="74">
        <v>0</v>
      </c>
      <c r="Y179" s="74">
        <v>0</v>
      </c>
      <c r="Z179" s="74">
        <v>0</v>
      </c>
      <c r="AA179" s="74">
        <v>0</v>
      </c>
      <c r="AB179" s="74">
        <v>0</v>
      </c>
      <c r="AC179" s="74">
        <v>0</v>
      </c>
      <c r="AD179" s="74">
        <v>0</v>
      </c>
      <c r="AE179" s="74">
        <v>0</v>
      </c>
      <c r="AF179" s="74">
        <v>0</v>
      </c>
      <c r="AG179" s="90">
        <f t="shared" si="6"/>
        <v>8</v>
      </c>
      <c r="AH179" s="90">
        <f t="shared" si="11"/>
        <v>6</v>
      </c>
      <c r="AI179" s="90">
        <f t="shared" si="8"/>
        <v>2</v>
      </c>
    </row>
    <row r="180" spans="1:35" x14ac:dyDescent="0.35">
      <c r="A180" s="93"/>
      <c r="B180" s="95"/>
      <c r="C180" s="96"/>
      <c r="D180" s="97"/>
      <c r="E180" s="97"/>
      <c r="S180" s="97"/>
      <c r="AG180" s="90"/>
      <c r="AH180" s="90"/>
      <c r="AI180" s="90"/>
    </row>
    <row r="181" spans="1:35" x14ac:dyDescent="0.35">
      <c r="A181" s="93">
        <v>13</v>
      </c>
      <c r="B181" s="95" t="s">
        <v>177</v>
      </c>
      <c r="C181" s="96">
        <v>45925</v>
      </c>
      <c r="D181" s="97">
        <v>9</v>
      </c>
      <c r="E181" s="97" t="s">
        <v>223</v>
      </c>
      <c r="F181" s="10">
        <v>0</v>
      </c>
      <c r="G181" s="10">
        <v>2</v>
      </c>
      <c r="H181" s="10">
        <v>0</v>
      </c>
      <c r="I181" s="10">
        <v>0</v>
      </c>
      <c r="J181" s="74">
        <v>0</v>
      </c>
      <c r="K181" s="74">
        <v>0</v>
      </c>
      <c r="L181" s="74">
        <v>0</v>
      </c>
      <c r="M181" s="74">
        <v>1</v>
      </c>
      <c r="N181" s="74">
        <v>0</v>
      </c>
      <c r="O181" s="74">
        <v>0</v>
      </c>
      <c r="P181" s="74">
        <v>0</v>
      </c>
      <c r="Q181" s="74">
        <v>0</v>
      </c>
      <c r="R181" s="74">
        <v>0</v>
      </c>
      <c r="S181" s="97" t="s">
        <v>222</v>
      </c>
      <c r="T181" s="10">
        <v>0</v>
      </c>
      <c r="U181" s="10">
        <v>0</v>
      </c>
      <c r="V181" s="10">
        <v>0</v>
      </c>
      <c r="W181" s="10">
        <v>0</v>
      </c>
      <c r="X181" s="74">
        <v>0</v>
      </c>
      <c r="Y181" s="74">
        <v>0</v>
      </c>
      <c r="Z181" s="74">
        <v>0</v>
      </c>
      <c r="AA181" s="74">
        <v>0</v>
      </c>
      <c r="AB181" s="74">
        <v>0</v>
      </c>
      <c r="AC181" s="74">
        <v>0</v>
      </c>
      <c r="AD181" s="74">
        <v>1</v>
      </c>
      <c r="AE181" s="74">
        <v>0</v>
      </c>
      <c r="AF181" s="74">
        <v>0</v>
      </c>
      <c r="AG181" s="90">
        <f t="shared" si="6"/>
        <v>4</v>
      </c>
      <c r="AH181" s="90">
        <f t="shared" ref="AH181:AH188" si="12">F181+G181+H181+I181+T181+U181+V181+W181</f>
        <v>2</v>
      </c>
      <c r="AI181" s="90">
        <f t="shared" si="8"/>
        <v>2</v>
      </c>
    </row>
    <row r="182" spans="1:35" x14ac:dyDescent="0.5">
      <c r="C182" s="96">
        <v>45930</v>
      </c>
      <c r="D182" s="97">
        <v>9</v>
      </c>
      <c r="E182" s="97" t="s">
        <v>240</v>
      </c>
      <c r="F182" s="10">
        <v>0</v>
      </c>
      <c r="G182" s="10">
        <v>2</v>
      </c>
      <c r="H182" s="10">
        <v>0</v>
      </c>
      <c r="I182" s="10">
        <v>0</v>
      </c>
      <c r="J182" s="74">
        <v>1</v>
      </c>
      <c r="K182" s="74">
        <v>0</v>
      </c>
      <c r="L182" s="74">
        <v>0</v>
      </c>
      <c r="M182" s="74">
        <v>0</v>
      </c>
      <c r="N182" s="74">
        <v>0</v>
      </c>
      <c r="O182" s="74">
        <v>0</v>
      </c>
      <c r="P182" s="74">
        <v>0</v>
      </c>
      <c r="Q182" s="74">
        <v>0</v>
      </c>
      <c r="R182" s="74">
        <v>0</v>
      </c>
      <c r="S182" s="97" t="s">
        <v>129</v>
      </c>
      <c r="T182" s="10">
        <v>1</v>
      </c>
      <c r="U182" s="10">
        <v>1</v>
      </c>
      <c r="V182" s="10">
        <v>0</v>
      </c>
      <c r="W182" s="10">
        <v>1</v>
      </c>
      <c r="X182" s="74">
        <v>0</v>
      </c>
      <c r="Y182" s="74">
        <v>0</v>
      </c>
      <c r="Z182" s="74">
        <v>0</v>
      </c>
      <c r="AA182" s="74">
        <v>0</v>
      </c>
      <c r="AB182" s="74">
        <v>0</v>
      </c>
      <c r="AC182" s="74">
        <v>0</v>
      </c>
      <c r="AD182" s="74">
        <v>0</v>
      </c>
      <c r="AE182" s="74">
        <v>0</v>
      </c>
      <c r="AF182" s="74">
        <v>0</v>
      </c>
      <c r="AG182" s="90">
        <f t="shared" si="6"/>
        <v>6</v>
      </c>
      <c r="AH182" s="90">
        <f t="shared" si="12"/>
        <v>5</v>
      </c>
      <c r="AI182" s="90">
        <f t="shared" si="8"/>
        <v>1</v>
      </c>
    </row>
    <row r="183" spans="1:35" x14ac:dyDescent="0.5">
      <c r="C183" s="96">
        <v>45936</v>
      </c>
      <c r="D183" s="97">
        <v>9</v>
      </c>
      <c r="E183" s="97" t="s">
        <v>276</v>
      </c>
      <c r="F183" s="10">
        <v>1</v>
      </c>
      <c r="G183" s="10">
        <v>0</v>
      </c>
      <c r="H183" s="10">
        <v>0</v>
      </c>
      <c r="I183" s="10">
        <v>1</v>
      </c>
      <c r="J183" s="74">
        <v>0</v>
      </c>
      <c r="K183" s="74">
        <v>0</v>
      </c>
      <c r="L183" s="74">
        <v>0</v>
      </c>
      <c r="M183" s="74">
        <v>0</v>
      </c>
      <c r="N183" s="74">
        <v>0</v>
      </c>
      <c r="O183" s="74">
        <v>0</v>
      </c>
      <c r="P183" s="74">
        <v>0</v>
      </c>
      <c r="Q183" s="74">
        <v>0</v>
      </c>
      <c r="R183" s="74">
        <v>0</v>
      </c>
      <c r="S183" s="97" t="s">
        <v>288</v>
      </c>
      <c r="T183" s="10">
        <v>1</v>
      </c>
      <c r="U183" s="10">
        <v>1</v>
      </c>
      <c r="V183" s="10">
        <v>0</v>
      </c>
      <c r="W183" s="10">
        <v>1</v>
      </c>
      <c r="X183" s="74">
        <v>0</v>
      </c>
      <c r="Y183" s="74">
        <v>0</v>
      </c>
      <c r="Z183" s="74">
        <v>0</v>
      </c>
      <c r="AA183" s="74">
        <v>2</v>
      </c>
      <c r="AB183" s="74">
        <v>0</v>
      </c>
      <c r="AC183" s="74">
        <v>0</v>
      </c>
      <c r="AD183" s="74">
        <v>0</v>
      </c>
      <c r="AE183" s="74">
        <v>0</v>
      </c>
      <c r="AF183" s="74">
        <v>0</v>
      </c>
      <c r="AG183" s="90">
        <f t="shared" si="6"/>
        <v>7</v>
      </c>
      <c r="AH183" s="90">
        <f t="shared" si="12"/>
        <v>5</v>
      </c>
      <c r="AI183" s="90">
        <f t="shared" si="8"/>
        <v>2</v>
      </c>
    </row>
    <row r="184" spans="1:35" x14ac:dyDescent="0.5">
      <c r="C184" s="96">
        <v>45939</v>
      </c>
      <c r="D184" s="97">
        <v>9</v>
      </c>
      <c r="E184" s="97" t="s">
        <v>296</v>
      </c>
      <c r="F184" s="10">
        <v>0</v>
      </c>
      <c r="G184" s="10">
        <v>2</v>
      </c>
      <c r="H184" s="10">
        <v>0</v>
      </c>
      <c r="I184" s="10">
        <v>0</v>
      </c>
      <c r="J184" s="74">
        <v>0</v>
      </c>
      <c r="K184" s="74">
        <v>0</v>
      </c>
      <c r="L184" s="74">
        <v>0</v>
      </c>
      <c r="M184" s="74">
        <v>0</v>
      </c>
      <c r="N184" s="74">
        <v>0</v>
      </c>
      <c r="O184" s="74">
        <v>0</v>
      </c>
      <c r="P184" s="74">
        <v>0</v>
      </c>
      <c r="Q184" s="74">
        <v>0</v>
      </c>
      <c r="R184" s="74">
        <v>0</v>
      </c>
      <c r="S184" s="97" t="s">
        <v>297</v>
      </c>
      <c r="T184" s="10">
        <v>0</v>
      </c>
      <c r="U184" s="10">
        <v>0</v>
      </c>
      <c r="V184" s="10">
        <v>0</v>
      </c>
      <c r="W184" s="10">
        <v>0</v>
      </c>
      <c r="X184" s="74">
        <v>0</v>
      </c>
      <c r="Y184" s="74">
        <v>0</v>
      </c>
      <c r="Z184" s="74">
        <v>0</v>
      </c>
      <c r="AA184" s="74">
        <v>1</v>
      </c>
      <c r="AB184" s="74">
        <v>0</v>
      </c>
      <c r="AC184" s="74">
        <v>1</v>
      </c>
      <c r="AD184" s="74">
        <v>0</v>
      </c>
      <c r="AE184" s="74">
        <v>0</v>
      </c>
      <c r="AF184" s="74">
        <v>0</v>
      </c>
      <c r="AG184" s="90">
        <f t="shared" si="6"/>
        <v>4</v>
      </c>
      <c r="AH184" s="90">
        <f t="shared" si="12"/>
        <v>2</v>
      </c>
      <c r="AI184" s="90">
        <f t="shared" si="8"/>
        <v>2</v>
      </c>
    </row>
    <row r="185" spans="1:35" x14ac:dyDescent="0.5">
      <c r="C185" s="96">
        <v>45944</v>
      </c>
      <c r="D185" s="97">
        <v>9</v>
      </c>
      <c r="E185" s="97" t="s">
        <v>345</v>
      </c>
      <c r="F185" s="10">
        <v>1</v>
      </c>
      <c r="G185" s="10">
        <v>0</v>
      </c>
      <c r="H185" s="10">
        <v>0</v>
      </c>
      <c r="I185" s="10">
        <v>0</v>
      </c>
      <c r="J185" s="74">
        <v>0</v>
      </c>
      <c r="K185" s="74">
        <v>0</v>
      </c>
      <c r="L185" s="74">
        <v>0</v>
      </c>
      <c r="M185" s="74">
        <v>1</v>
      </c>
      <c r="N185" s="74">
        <v>0</v>
      </c>
      <c r="O185" s="74">
        <v>0</v>
      </c>
      <c r="P185" s="74">
        <v>0</v>
      </c>
      <c r="Q185" s="74">
        <v>0</v>
      </c>
      <c r="R185" s="74">
        <v>0</v>
      </c>
      <c r="S185" s="97" t="s">
        <v>347</v>
      </c>
      <c r="T185" s="10">
        <v>2</v>
      </c>
      <c r="U185" s="10">
        <v>0</v>
      </c>
      <c r="V185" s="10">
        <v>0</v>
      </c>
      <c r="W185" s="10">
        <v>0</v>
      </c>
      <c r="X185" s="74">
        <v>0</v>
      </c>
      <c r="Y185" s="74">
        <v>0</v>
      </c>
      <c r="Z185" s="74">
        <v>0</v>
      </c>
      <c r="AA185" s="74">
        <v>0</v>
      </c>
      <c r="AB185" s="74">
        <v>0</v>
      </c>
      <c r="AC185" s="74">
        <v>0</v>
      </c>
      <c r="AD185" s="74">
        <v>0</v>
      </c>
      <c r="AE185" s="74">
        <v>0</v>
      </c>
      <c r="AF185" s="74">
        <v>0</v>
      </c>
      <c r="AG185" s="90">
        <f t="shared" si="6"/>
        <v>4</v>
      </c>
      <c r="AH185" s="90">
        <f t="shared" si="12"/>
        <v>3</v>
      </c>
      <c r="AI185" s="90">
        <f t="shared" si="8"/>
        <v>1</v>
      </c>
    </row>
    <row r="186" spans="1:35" ht="29" x14ac:dyDescent="0.5">
      <c r="C186" s="96">
        <v>45947</v>
      </c>
      <c r="D186" s="97">
        <v>9</v>
      </c>
      <c r="E186" s="97" t="s">
        <v>112</v>
      </c>
      <c r="F186" s="10">
        <v>0</v>
      </c>
      <c r="G186" s="10">
        <v>0</v>
      </c>
      <c r="H186" s="10">
        <v>0</v>
      </c>
      <c r="I186" s="10">
        <v>0</v>
      </c>
      <c r="J186" s="74">
        <v>0</v>
      </c>
      <c r="K186" s="74">
        <v>0</v>
      </c>
      <c r="L186" s="74">
        <v>0</v>
      </c>
      <c r="M186" s="74">
        <v>0</v>
      </c>
      <c r="N186" s="74">
        <v>0</v>
      </c>
      <c r="O186" s="74">
        <v>1</v>
      </c>
      <c r="P186" s="74">
        <v>0</v>
      </c>
      <c r="Q186" s="74">
        <v>0</v>
      </c>
      <c r="R186" s="74">
        <v>0</v>
      </c>
      <c r="S186" s="99" t="s">
        <v>414</v>
      </c>
      <c r="T186" s="10">
        <v>3</v>
      </c>
      <c r="U186" s="10">
        <v>0</v>
      </c>
      <c r="V186" s="10">
        <v>0</v>
      </c>
      <c r="W186" s="10">
        <v>0</v>
      </c>
      <c r="X186" s="74">
        <v>0</v>
      </c>
      <c r="Y186" s="74">
        <v>0</v>
      </c>
      <c r="Z186" s="74">
        <v>0</v>
      </c>
      <c r="AA186" s="74">
        <v>0</v>
      </c>
      <c r="AB186" s="74">
        <v>0</v>
      </c>
      <c r="AC186" s="74">
        <v>0</v>
      </c>
      <c r="AD186" s="74">
        <v>0</v>
      </c>
      <c r="AE186" s="74">
        <v>0</v>
      </c>
      <c r="AF186" s="74">
        <v>0</v>
      </c>
      <c r="AG186" s="90">
        <f t="shared" si="6"/>
        <v>4</v>
      </c>
      <c r="AH186" s="90">
        <f t="shared" si="12"/>
        <v>3</v>
      </c>
      <c r="AI186" s="90">
        <f t="shared" si="8"/>
        <v>1</v>
      </c>
    </row>
    <row r="187" spans="1:35" x14ac:dyDescent="0.5">
      <c r="C187" s="96">
        <v>45951</v>
      </c>
      <c r="D187" s="97">
        <v>9</v>
      </c>
      <c r="E187" s="97" t="s">
        <v>415</v>
      </c>
      <c r="F187" s="10">
        <v>3</v>
      </c>
      <c r="G187" s="10">
        <v>3</v>
      </c>
      <c r="H187" s="10">
        <v>0</v>
      </c>
      <c r="I187" s="10">
        <v>0</v>
      </c>
      <c r="J187" s="74">
        <v>0</v>
      </c>
      <c r="K187" s="74">
        <v>0</v>
      </c>
      <c r="L187" s="74">
        <v>0</v>
      </c>
      <c r="M187" s="74">
        <v>0</v>
      </c>
      <c r="N187" s="74">
        <v>0</v>
      </c>
      <c r="O187" s="74">
        <v>0</v>
      </c>
      <c r="P187" s="74">
        <v>0</v>
      </c>
      <c r="Q187" s="74">
        <v>0</v>
      </c>
      <c r="R187" s="74">
        <v>0</v>
      </c>
      <c r="S187" s="97" t="s">
        <v>242</v>
      </c>
      <c r="T187" s="10">
        <v>2</v>
      </c>
      <c r="U187" s="10">
        <v>1</v>
      </c>
      <c r="V187" s="10">
        <v>0</v>
      </c>
      <c r="W187" s="10">
        <v>0</v>
      </c>
      <c r="X187" s="74">
        <v>0</v>
      </c>
      <c r="Y187" s="74">
        <v>0</v>
      </c>
      <c r="Z187" s="74">
        <v>0</v>
      </c>
      <c r="AA187" s="74">
        <v>0</v>
      </c>
      <c r="AB187" s="74">
        <v>0</v>
      </c>
      <c r="AC187" s="74">
        <v>0</v>
      </c>
      <c r="AD187" s="74">
        <v>0</v>
      </c>
      <c r="AE187" s="74">
        <v>0</v>
      </c>
      <c r="AF187" s="74">
        <v>0</v>
      </c>
      <c r="AG187" s="90">
        <f t="shared" si="6"/>
        <v>9</v>
      </c>
      <c r="AH187" s="90">
        <f t="shared" si="12"/>
        <v>9</v>
      </c>
      <c r="AI187" s="90">
        <f t="shared" si="8"/>
        <v>0</v>
      </c>
    </row>
    <row r="188" spans="1:35" x14ac:dyDescent="0.5">
      <c r="C188" s="96">
        <v>45954</v>
      </c>
      <c r="D188" s="97">
        <v>9</v>
      </c>
      <c r="E188" s="97" t="s">
        <v>319</v>
      </c>
      <c r="F188" s="10">
        <v>0</v>
      </c>
      <c r="G188" s="10">
        <v>0</v>
      </c>
      <c r="H188" s="10">
        <v>0</v>
      </c>
      <c r="I188" s="10">
        <v>0</v>
      </c>
      <c r="J188" s="74">
        <v>0</v>
      </c>
      <c r="K188" s="74">
        <v>0</v>
      </c>
      <c r="L188" s="74">
        <v>0</v>
      </c>
      <c r="M188" s="74">
        <v>0</v>
      </c>
      <c r="N188" s="74">
        <v>0</v>
      </c>
      <c r="O188" s="74">
        <v>0</v>
      </c>
      <c r="P188" s="74">
        <v>0</v>
      </c>
      <c r="Q188" s="74">
        <v>0</v>
      </c>
      <c r="R188" s="74">
        <v>0</v>
      </c>
      <c r="S188" s="97" t="s">
        <v>233</v>
      </c>
      <c r="T188" s="10">
        <v>0</v>
      </c>
      <c r="U188" s="10">
        <v>0</v>
      </c>
      <c r="V188" s="10">
        <v>0</v>
      </c>
      <c r="W188" s="10">
        <v>0</v>
      </c>
      <c r="X188" s="74">
        <v>0</v>
      </c>
      <c r="Y188" s="74">
        <v>0</v>
      </c>
      <c r="Z188" s="74">
        <v>0</v>
      </c>
      <c r="AA188" s="74">
        <v>0</v>
      </c>
      <c r="AB188" s="74">
        <v>0</v>
      </c>
      <c r="AC188" s="74">
        <v>1</v>
      </c>
      <c r="AD188" s="74">
        <v>0</v>
      </c>
      <c r="AE188" s="74">
        <v>0</v>
      </c>
      <c r="AF188" s="74">
        <v>0</v>
      </c>
      <c r="AG188" s="90">
        <f t="shared" si="6"/>
        <v>1</v>
      </c>
      <c r="AH188" s="90">
        <f t="shared" si="12"/>
        <v>0</v>
      </c>
      <c r="AI188" s="90">
        <f t="shared" si="8"/>
        <v>1</v>
      </c>
    </row>
    <row r="189" spans="1:35" x14ac:dyDescent="0.5">
      <c r="AG189" s="90"/>
      <c r="AH189" s="90"/>
      <c r="AI189" s="90"/>
    </row>
    <row r="190" spans="1:35" x14ac:dyDescent="0.35">
      <c r="A190" s="93">
        <v>14</v>
      </c>
      <c r="B190" s="95" t="s">
        <v>191</v>
      </c>
      <c r="C190" s="96">
        <v>45925</v>
      </c>
      <c r="D190" s="97">
        <v>7</v>
      </c>
      <c r="E190" s="97" t="s">
        <v>235</v>
      </c>
      <c r="F190" s="10">
        <v>6</v>
      </c>
      <c r="G190" s="10">
        <v>1</v>
      </c>
      <c r="H190" s="10">
        <v>0</v>
      </c>
      <c r="I190" s="10">
        <v>0</v>
      </c>
      <c r="J190" s="74">
        <v>0</v>
      </c>
      <c r="K190" s="74">
        <v>0</v>
      </c>
      <c r="L190" s="74">
        <v>0</v>
      </c>
      <c r="M190" s="74">
        <v>0</v>
      </c>
      <c r="N190" s="74">
        <v>0</v>
      </c>
      <c r="O190" s="74">
        <v>0</v>
      </c>
      <c r="P190" s="74">
        <v>0</v>
      </c>
      <c r="Q190" s="74">
        <v>0</v>
      </c>
      <c r="R190" s="74">
        <v>0</v>
      </c>
      <c r="S190" s="97" t="s">
        <v>55</v>
      </c>
      <c r="T190" s="10">
        <v>0</v>
      </c>
      <c r="U190" s="10">
        <v>0</v>
      </c>
      <c r="V190" s="10">
        <v>0</v>
      </c>
      <c r="W190" s="10">
        <v>0</v>
      </c>
      <c r="X190" s="74">
        <v>0</v>
      </c>
      <c r="Y190" s="74">
        <v>0</v>
      </c>
      <c r="Z190" s="74">
        <v>0</v>
      </c>
      <c r="AA190" s="74">
        <v>0</v>
      </c>
      <c r="AB190" s="74">
        <v>0</v>
      </c>
      <c r="AC190" s="74">
        <v>0</v>
      </c>
      <c r="AD190" s="74">
        <v>0</v>
      </c>
      <c r="AE190" s="74">
        <v>0</v>
      </c>
      <c r="AF190" s="74">
        <v>0</v>
      </c>
      <c r="AG190" s="90">
        <f t="shared" si="6"/>
        <v>7</v>
      </c>
      <c r="AH190" s="90">
        <f t="shared" ref="AH190:AH197" si="13">F190+G190+H190+I190+T190+U190+V190+W190</f>
        <v>7</v>
      </c>
      <c r="AI190" s="90">
        <f t="shared" si="8"/>
        <v>0</v>
      </c>
    </row>
    <row r="191" spans="1:35" x14ac:dyDescent="0.5">
      <c r="C191" s="96">
        <v>45930</v>
      </c>
      <c r="D191" s="97">
        <v>7</v>
      </c>
      <c r="E191" s="97" t="s">
        <v>245</v>
      </c>
      <c r="F191" s="10">
        <v>0</v>
      </c>
      <c r="G191" s="10">
        <v>1</v>
      </c>
      <c r="H191" s="10">
        <v>1</v>
      </c>
      <c r="I191" s="10">
        <v>0</v>
      </c>
      <c r="J191" s="74">
        <v>0</v>
      </c>
      <c r="K191" s="74">
        <v>0</v>
      </c>
      <c r="L191" s="74">
        <v>0</v>
      </c>
      <c r="M191" s="74">
        <v>1</v>
      </c>
      <c r="N191" s="74">
        <v>0</v>
      </c>
      <c r="O191" s="74">
        <v>0</v>
      </c>
      <c r="P191" s="74">
        <v>0</v>
      </c>
      <c r="Q191" s="74">
        <v>0</v>
      </c>
      <c r="R191" s="74">
        <v>0</v>
      </c>
      <c r="S191" s="97" t="s">
        <v>55</v>
      </c>
      <c r="T191" s="10">
        <v>0</v>
      </c>
      <c r="U191" s="10">
        <v>0</v>
      </c>
      <c r="V191" s="10">
        <v>0</v>
      </c>
      <c r="W191" s="10">
        <v>0</v>
      </c>
      <c r="X191" s="74">
        <v>0</v>
      </c>
      <c r="Y191" s="74">
        <v>0</v>
      </c>
      <c r="Z191" s="74">
        <v>0</v>
      </c>
      <c r="AA191" s="74">
        <v>0</v>
      </c>
      <c r="AB191" s="74">
        <v>0</v>
      </c>
      <c r="AC191" s="74">
        <v>0</v>
      </c>
      <c r="AD191" s="74">
        <v>0</v>
      </c>
      <c r="AE191" s="74">
        <v>0</v>
      </c>
      <c r="AF191" s="74">
        <v>0</v>
      </c>
      <c r="AG191" s="90">
        <f t="shared" si="6"/>
        <v>3</v>
      </c>
      <c r="AH191" s="90">
        <f t="shared" si="13"/>
        <v>2</v>
      </c>
      <c r="AI191" s="90">
        <f t="shared" si="8"/>
        <v>1</v>
      </c>
    </row>
    <row r="192" spans="1:35" x14ac:dyDescent="0.5">
      <c r="C192" s="96">
        <v>45936</v>
      </c>
      <c r="D192" s="97">
        <v>7</v>
      </c>
      <c r="E192" s="97" t="s">
        <v>129</v>
      </c>
      <c r="F192" s="10">
        <v>1</v>
      </c>
      <c r="G192" s="10">
        <v>1</v>
      </c>
      <c r="H192" s="10">
        <v>0</v>
      </c>
      <c r="I192" s="10">
        <v>1</v>
      </c>
      <c r="J192" s="74">
        <v>0</v>
      </c>
      <c r="K192" s="74">
        <v>0</v>
      </c>
      <c r="L192" s="74">
        <v>0</v>
      </c>
      <c r="M192" s="74">
        <v>0</v>
      </c>
      <c r="N192" s="74">
        <v>0</v>
      </c>
      <c r="O192" s="74">
        <v>0</v>
      </c>
      <c r="P192" s="74">
        <v>0</v>
      </c>
      <c r="Q192" s="74">
        <v>0</v>
      </c>
      <c r="R192" s="74">
        <v>0</v>
      </c>
      <c r="S192" s="97" t="s">
        <v>267</v>
      </c>
      <c r="T192" s="10">
        <v>3</v>
      </c>
      <c r="U192" s="10">
        <v>0</v>
      </c>
      <c r="V192" s="10">
        <v>0</v>
      </c>
      <c r="W192" s="10">
        <v>0</v>
      </c>
      <c r="X192" s="74">
        <v>0</v>
      </c>
      <c r="Y192" s="74">
        <v>0</v>
      </c>
      <c r="Z192" s="74">
        <v>0</v>
      </c>
      <c r="AA192" s="74">
        <v>1</v>
      </c>
      <c r="AB192" s="74">
        <v>0</v>
      </c>
      <c r="AC192" s="74">
        <v>0</v>
      </c>
      <c r="AD192" s="74">
        <v>0</v>
      </c>
      <c r="AE192" s="74">
        <v>0</v>
      </c>
      <c r="AF192" s="74">
        <v>0</v>
      </c>
      <c r="AG192" s="90">
        <f t="shared" si="6"/>
        <v>7</v>
      </c>
      <c r="AH192" s="90">
        <f t="shared" si="13"/>
        <v>6</v>
      </c>
      <c r="AI192" s="90">
        <f t="shared" si="8"/>
        <v>1</v>
      </c>
    </row>
    <row r="193" spans="1:35" x14ac:dyDescent="0.5">
      <c r="C193" s="96">
        <v>45939</v>
      </c>
      <c r="D193" s="97">
        <v>7</v>
      </c>
      <c r="E193" s="97" t="s">
        <v>310</v>
      </c>
      <c r="F193" s="10">
        <v>0</v>
      </c>
      <c r="G193" s="10">
        <v>2</v>
      </c>
      <c r="H193" s="10">
        <v>0</v>
      </c>
      <c r="I193" s="10">
        <v>0</v>
      </c>
      <c r="J193" s="74">
        <v>0</v>
      </c>
      <c r="K193" s="74">
        <v>0</v>
      </c>
      <c r="L193" s="74">
        <v>0</v>
      </c>
      <c r="M193" s="74">
        <v>0</v>
      </c>
      <c r="N193" s="74">
        <v>0</v>
      </c>
      <c r="O193" s="74">
        <v>0</v>
      </c>
      <c r="P193" s="74">
        <v>0</v>
      </c>
      <c r="Q193" s="74">
        <v>0</v>
      </c>
      <c r="R193" s="74">
        <v>0</v>
      </c>
      <c r="S193" s="97" t="s">
        <v>309</v>
      </c>
      <c r="T193" s="10">
        <v>0</v>
      </c>
      <c r="U193" s="10">
        <v>3</v>
      </c>
      <c r="V193" s="10">
        <v>0</v>
      </c>
      <c r="W193" s="10">
        <v>3</v>
      </c>
      <c r="X193" s="74">
        <v>0</v>
      </c>
      <c r="Y193" s="74">
        <v>0</v>
      </c>
      <c r="Z193" s="74">
        <v>0</v>
      </c>
      <c r="AA193" s="74">
        <v>0</v>
      </c>
      <c r="AB193" s="74">
        <v>0</v>
      </c>
      <c r="AC193" s="74">
        <v>0</v>
      </c>
      <c r="AD193" s="74">
        <v>0</v>
      </c>
      <c r="AE193" s="74">
        <v>0</v>
      </c>
      <c r="AF193" s="74">
        <v>0</v>
      </c>
      <c r="AG193" s="90">
        <f t="shared" si="6"/>
        <v>8</v>
      </c>
      <c r="AH193" s="90">
        <f t="shared" si="13"/>
        <v>8</v>
      </c>
      <c r="AI193" s="90">
        <f t="shared" si="8"/>
        <v>0</v>
      </c>
    </row>
    <row r="194" spans="1:35" x14ac:dyDescent="0.5">
      <c r="C194" s="96">
        <v>45944</v>
      </c>
      <c r="D194" s="97">
        <v>7</v>
      </c>
      <c r="E194" s="97" t="s">
        <v>333</v>
      </c>
      <c r="F194" s="10">
        <v>5</v>
      </c>
      <c r="G194" s="10">
        <v>1</v>
      </c>
      <c r="H194" s="10">
        <v>0</v>
      </c>
      <c r="I194" s="10">
        <v>1</v>
      </c>
      <c r="J194" s="74">
        <v>0</v>
      </c>
      <c r="K194" s="74">
        <v>0</v>
      </c>
      <c r="L194" s="74">
        <v>0</v>
      </c>
      <c r="M194" s="74">
        <v>0</v>
      </c>
      <c r="N194" s="74">
        <v>0</v>
      </c>
      <c r="O194" s="74">
        <v>0</v>
      </c>
      <c r="P194" s="74">
        <v>0</v>
      </c>
      <c r="Q194" s="74">
        <v>0</v>
      </c>
      <c r="R194" s="74">
        <v>0</v>
      </c>
      <c r="S194" s="97" t="s">
        <v>208</v>
      </c>
      <c r="T194" s="10">
        <v>3</v>
      </c>
      <c r="U194" s="10">
        <v>2</v>
      </c>
      <c r="V194" s="10">
        <v>0</v>
      </c>
      <c r="W194" s="10">
        <v>0</v>
      </c>
      <c r="X194" s="74">
        <v>0</v>
      </c>
      <c r="Y194" s="74">
        <v>1</v>
      </c>
      <c r="Z194" s="74">
        <v>0</v>
      </c>
      <c r="AA194" s="74">
        <v>0</v>
      </c>
      <c r="AB194" s="74">
        <v>0</v>
      </c>
      <c r="AC194" s="74">
        <v>0</v>
      </c>
      <c r="AD194" s="74">
        <v>0</v>
      </c>
      <c r="AE194" s="74">
        <v>0</v>
      </c>
      <c r="AF194" s="74">
        <v>0</v>
      </c>
      <c r="AG194" s="90">
        <f t="shared" si="6"/>
        <v>13</v>
      </c>
      <c r="AH194" s="90">
        <f t="shared" si="13"/>
        <v>12</v>
      </c>
      <c r="AI194" s="90">
        <f t="shared" si="8"/>
        <v>1</v>
      </c>
    </row>
    <row r="195" spans="1:35" x14ac:dyDescent="0.5">
      <c r="C195" s="96">
        <v>45947</v>
      </c>
      <c r="D195" s="97">
        <v>7</v>
      </c>
      <c r="E195" s="97" t="s">
        <v>378</v>
      </c>
      <c r="F195" s="10">
        <v>0</v>
      </c>
      <c r="G195" s="10">
        <v>1</v>
      </c>
      <c r="H195" s="10">
        <v>0</v>
      </c>
      <c r="I195" s="10">
        <v>1</v>
      </c>
      <c r="J195" s="74">
        <v>0</v>
      </c>
      <c r="K195" s="74">
        <v>0</v>
      </c>
      <c r="L195" s="74">
        <v>0</v>
      </c>
      <c r="M195" s="74">
        <v>1</v>
      </c>
      <c r="N195" s="74">
        <v>0</v>
      </c>
      <c r="O195" s="74">
        <v>0</v>
      </c>
      <c r="P195" s="74">
        <v>0</v>
      </c>
      <c r="Q195" s="74">
        <v>0</v>
      </c>
      <c r="R195" s="74">
        <v>0</v>
      </c>
      <c r="S195" s="97" t="s">
        <v>379</v>
      </c>
      <c r="T195" s="10">
        <v>2</v>
      </c>
      <c r="U195" s="10">
        <v>1</v>
      </c>
      <c r="V195" s="10">
        <v>0</v>
      </c>
      <c r="W195" s="10">
        <v>0</v>
      </c>
      <c r="X195" s="74">
        <v>0</v>
      </c>
      <c r="Y195" s="74">
        <v>1</v>
      </c>
      <c r="Z195" s="74">
        <v>0</v>
      </c>
      <c r="AA195" s="74">
        <v>1</v>
      </c>
      <c r="AB195" s="74">
        <v>0</v>
      </c>
      <c r="AC195" s="74">
        <v>0</v>
      </c>
      <c r="AD195" s="74">
        <v>0</v>
      </c>
      <c r="AE195" s="74">
        <v>0</v>
      </c>
      <c r="AF195" s="74">
        <v>0</v>
      </c>
      <c r="AG195" s="90">
        <f t="shared" si="6"/>
        <v>8</v>
      </c>
      <c r="AH195" s="90">
        <f t="shared" si="13"/>
        <v>5</v>
      </c>
      <c r="AI195" s="90">
        <f t="shared" si="8"/>
        <v>3</v>
      </c>
    </row>
    <row r="196" spans="1:35" x14ac:dyDescent="0.5">
      <c r="C196" s="96">
        <v>45951</v>
      </c>
      <c r="D196" s="97">
        <v>7</v>
      </c>
      <c r="E196" s="97" t="s">
        <v>200</v>
      </c>
      <c r="F196" s="10">
        <v>4</v>
      </c>
      <c r="G196" s="10">
        <v>3</v>
      </c>
      <c r="H196" s="10">
        <v>0</v>
      </c>
      <c r="I196" s="10">
        <v>0</v>
      </c>
      <c r="J196" s="74">
        <v>0</v>
      </c>
      <c r="K196" s="74">
        <v>0</v>
      </c>
      <c r="L196" s="74">
        <v>0</v>
      </c>
      <c r="M196" s="74">
        <v>0</v>
      </c>
      <c r="N196" s="74">
        <v>0</v>
      </c>
      <c r="O196" s="74">
        <v>0</v>
      </c>
      <c r="P196" s="74">
        <v>0</v>
      </c>
      <c r="Q196" s="74">
        <v>0</v>
      </c>
      <c r="R196" s="74">
        <v>0</v>
      </c>
      <c r="S196" s="97" t="s">
        <v>430</v>
      </c>
      <c r="T196" s="10">
        <v>3</v>
      </c>
      <c r="U196" s="10">
        <v>0</v>
      </c>
      <c r="V196" s="10">
        <v>0</v>
      </c>
      <c r="W196" s="10">
        <v>0</v>
      </c>
      <c r="X196" s="74">
        <v>0</v>
      </c>
      <c r="Y196" s="74">
        <v>0</v>
      </c>
      <c r="Z196" s="74">
        <v>0</v>
      </c>
      <c r="AA196" s="74">
        <v>2</v>
      </c>
      <c r="AB196" s="74">
        <v>0</v>
      </c>
      <c r="AC196" s="74">
        <v>0</v>
      </c>
      <c r="AD196" s="74">
        <v>0</v>
      </c>
      <c r="AE196" s="74">
        <v>0</v>
      </c>
      <c r="AF196" s="74">
        <v>0</v>
      </c>
      <c r="AG196" s="90">
        <f t="shared" ref="AG196:AG259" si="14">F196+G196+H196+I196+J196+K196+L196+M196+N196+O196+P196+Q196+R196+T196+U196+V196+W196+X196+Y196+Z196+AA196+AB196+AC196+AD196+AE196+AF196</f>
        <v>12</v>
      </c>
      <c r="AH196" s="90">
        <f t="shared" si="13"/>
        <v>10</v>
      </c>
      <c r="AI196" s="90">
        <f t="shared" ref="AI196:AI259" si="15">J196+K196+L196+M196+N196+O196+P196+Q196+R196+X196+Y196+Z196+AA196+AB196+AC196+AD196+AE196+AF196</f>
        <v>2</v>
      </c>
    </row>
    <row r="197" spans="1:35" x14ac:dyDescent="0.35">
      <c r="A197" s="93"/>
      <c r="B197" s="95"/>
      <c r="C197" s="96">
        <v>45954</v>
      </c>
      <c r="D197" s="97">
        <v>7</v>
      </c>
      <c r="E197" s="97" t="s">
        <v>111</v>
      </c>
      <c r="F197" s="10">
        <v>2</v>
      </c>
      <c r="G197" s="10">
        <v>0</v>
      </c>
      <c r="H197" s="10">
        <v>0</v>
      </c>
      <c r="I197" s="10">
        <v>1</v>
      </c>
      <c r="J197" s="74">
        <v>0</v>
      </c>
      <c r="K197" s="74">
        <v>0</v>
      </c>
      <c r="L197" s="74">
        <v>0</v>
      </c>
      <c r="M197" s="74">
        <v>0</v>
      </c>
      <c r="N197" s="74">
        <v>0</v>
      </c>
      <c r="O197" s="74">
        <v>0</v>
      </c>
      <c r="P197" s="74">
        <v>0</v>
      </c>
      <c r="Q197" s="74">
        <v>0</v>
      </c>
      <c r="R197" s="74">
        <v>0</v>
      </c>
      <c r="S197" s="97" t="s">
        <v>446</v>
      </c>
      <c r="T197" s="10">
        <v>4</v>
      </c>
      <c r="U197" s="10">
        <v>0</v>
      </c>
      <c r="V197" s="10">
        <v>0</v>
      </c>
      <c r="W197" s="10">
        <v>0</v>
      </c>
      <c r="X197" s="74">
        <v>0</v>
      </c>
      <c r="Y197" s="74">
        <v>0</v>
      </c>
      <c r="Z197" s="74">
        <v>0</v>
      </c>
      <c r="AA197" s="74">
        <v>1</v>
      </c>
      <c r="AB197" s="74">
        <v>1</v>
      </c>
      <c r="AC197" s="74">
        <v>0</v>
      </c>
      <c r="AD197" s="74">
        <v>0</v>
      </c>
      <c r="AE197" s="74">
        <v>0</v>
      </c>
      <c r="AF197" s="74">
        <v>0</v>
      </c>
      <c r="AG197" s="90">
        <f t="shared" si="14"/>
        <v>9</v>
      </c>
      <c r="AH197" s="90">
        <f t="shared" si="13"/>
        <v>7</v>
      </c>
      <c r="AI197" s="90">
        <f t="shared" si="15"/>
        <v>2</v>
      </c>
    </row>
    <row r="198" spans="1:35" ht="29" x14ac:dyDescent="0.5">
      <c r="C198" s="96">
        <v>45958</v>
      </c>
      <c r="D198" s="97">
        <v>7</v>
      </c>
      <c r="E198" s="97" t="s">
        <v>124</v>
      </c>
      <c r="F198" s="10">
        <v>4</v>
      </c>
      <c r="G198" s="10">
        <v>1</v>
      </c>
      <c r="H198" s="10">
        <v>0</v>
      </c>
      <c r="I198" s="10">
        <v>0</v>
      </c>
      <c r="J198" s="74">
        <v>0</v>
      </c>
      <c r="K198" s="74">
        <v>0</v>
      </c>
      <c r="L198" s="74">
        <v>0</v>
      </c>
      <c r="M198" s="74">
        <v>0</v>
      </c>
      <c r="N198" s="74">
        <v>0</v>
      </c>
      <c r="O198" s="74">
        <v>0</v>
      </c>
      <c r="P198" s="74">
        <v>0</v>
      </c>
      <c r="Q198" s="74">
        <v>0</v>
      </c>
      <c r="R198" s="74">
        <v>0</v>
      </c>
      <c r="S198" s="99" t="s">
        <v>456</v>
      </c>
      <c r="T198" s="10">
        <v>4</v>
      </c>
      <c r="U198" s="10">
        <v>0</v>
      </c>
      <c r="V198" s="10">
        <v>1</v>
      </c>
      <c r="W198" s="10">
        <v>2</v>
      </c>
      <c r="X198" s="74">
        <v>0</v>
      </c>
      <c r="Y198" s="74">
        <v>0</v>
      </c>
      <c r="Z198" s="74">
        <v>0</v>
      </c>
      <c r="AA198" s="74">
        <v>0</v>
      </c>
      <c r="AB198" s="74">
        <v>0</v>
      </c>
      <c r="AC198" s="74">
        <v>0</v>
      </c>
      <c r="AD198" s="74">
        <v>0</v>
      </c>
      <c r="AE198" s="74">
        <v>0</v>
      </c>
      <c r="AF198" s="74">
        <v>0</v>
      </c>
      <c r="AG198" s="90">
        <f t="shared" si="14"/>
        <v>12</v>
      </c>
      <c r="AH198" s="90">
        <f t="shared" ref="AH198:AH268" si="16">F198+G198+H198+I198+T198+U198+V198+W198</f>
        <v>12</v>
      </c>
      <c r="AI198" s="90">
        <f t="shared" si="15"/>
        <v>0</v>
      </c>
    </row>
    <row r="199" spans="1:35" s="104" customFormat="1" x14ac:dyDescent="0.35">
      <c r="A199" s="93"/>
      <c r="B199" s="95"/>
      <c r="C199" s="96">
        <v>45961</v>
      </c>
      <c r="D199" s="97">
        <v>7</v>
      </c>
      <c r="E199" s="97" t="s">
        <v>533</v>
      </c>
      <c r="F199" s="10">
        <v>5</v>
      </c>
      <c r="G199" s="10">
        <v>0</v>
      </c>
      <c r="H199" s="10">
        <v>0</v>
      </c>
      <c r="I199" s="10">
        <v>0</v>
      </c>
      <c r="J199" s="74">
        <v>0</v>
      </c>
      <c r="K199" s="74">
        <v>0</v>
      </c>
      <c r="L199" s="74">
        <v>0</v>
      </c>
      <c r="M199" s="74">
        <v>0</v>
      </c>
      <c r="N199" s="74">
        <v>0</v>
      </c>
      <c r="O199" s="74">
        <v>0</v>
      </c>
      <c r="P199" s="74">
        <v>0</v>
      </c>
      <c r="Q199" s="74">
        <v>0</v>
      </c>
      <c r="R199" s="74">
        <v>0</v>
      </c>
      <c r="S199" s="97" t="s">
        <v>532</v>
      </c>
      <c r="T199" s="10">
        <v>0</v>
      </c>
      <c r="U199" s="10">
        <v>1</v>
      </c>
      <c r="V199" s="10">
        <v>0</v>
      </c>
      <c r="W199" s="10">
        <v>0</v>
      </c>
      <c r="X199" s="74">
        <v>0</v>
      </c>
      <c r="Y199" s="74">
        <v>0</v>
      </c>
      <c r="Z199" s="74">
        <v>0</v>
      </c>
      <c r="AA199" s="74">
        <v>0</v>
      </c>
      <c r="AB199" s="74">
        <v>0</v>
      </c>
      <c r="AC199" s="74">
        <v>0</v>
      </c>
      <c r="AD199" s="74">
        <v>0</v>
      </c>
      <c r="AE199" s="74">
        <v>0</v>
      </c>
      <c r="AF199" s="74">
        <v>0</v>
      </c>
      <c r="AG199" s="90">
        <f t="shared" si="14"/>
        <v>6</v>
      </c>
      <c r="AH199" s="90">
        <f t="shared" si="16"/>
        <v>6</v>
      </c>
      <c r="AI199" s="90">
        <f t="shared" si="15"/>
        <v>0</v>
      </c>
    </row>
    <row r="200" spans="1:35" s="104" customFormat="1" x14ac:dyDescent="0.35">
      <c r="A200" s="93"/>
      <c r="B200" s="95"/>
      <c r="C200" s="96">
        <v>45964</v>
      </c>
      <c r="D200" s="97">
        <v>7</v>
      </c>
      <c r="E200" s="97" t="s">
        <v>55</v>
      </c>
      <c r="F200" s="10">
        <v>0</v>
      </c>
      <c r="G200" s="10">
        <v>0</v>
      </c>
      <c r="H200" s="10">
        <v>0</v>
      </c>
      <c r="I200" s="10">
        <v>0</v>
      </c>
      <c r="J200" s="74">
        <v>0</v>
      </c>
      <c r="K200" s="74">
        <v>0</v>
      </c>
      <c r="L200" s="74">
        <v>0</v>
      </c>
      <c r="M200" s="74">
        <v>0</v>
      </c>
      <c r="N200" s="74">
        <v>0</v>
      </c>
      <c r="O200" s="74">
        <v>0</v>
      </c>
      <c r="P200" s="74">
        <v>0</v>
      </c>
      <c r="Q200" s="74">
        <v>0</v>
      </c>
      <c r="R200" s="74">
        <v>0</v>
      </c>
      <c r="S200" s="97" t="s">
        <v>405</v>
      </c>
      <c r="T200" s="10">
        <v>3</v>
      </c>
      <c r="U200" s="10">
        <v>0</v>
      </c>
      <c r="V200" s="10">
        <v>2</v>
      </c>
      <c r="W200" s="10">
        <v>0</v>
      </c>
      <c r="X200" s="74">
        <v>0</v>
      </c>
      <c r="Y200" s="74">
        <v>0</v>
      </c>
      <c r="Z200" s="74">
        <v>0</v>
      </c>
      <c r="AA200" s="74">
        <v>0</v>
      </c>
      <c r="AB200" s="74">
        <v>0</v>
      </c>
      <c r="AC200" s="74">
        <v>0</v>
      </c>
      <c r="AD200" s="74">
        <v>0</v>
      </c>
      <c r="AE200" s="74">
        <v>0</v>
      </c>
      <c r="AF200" s="74">
        <v>0</v>
      </c>
      <c r="AG200" s="90">
        <f t="shared" si="14"/>
        <v>5</v>
      </c>
      <c r="AH200" s="90">
        <f t="shared" si="16"/>
        <v>5</v>
      </c>
      <c r="AI200" s="90">
        <f t="shared" si="15"/>
        <v>0</v>
      </c>
    </row>
    <row r="201" spans="1:35" s="104" customFormat="1" x14ac:dyDescent="0.35">
      <c r="A201" s="93"/>
      <c r="B201" s="95"/>
      <c r="C201" s="96">
        <v>45968</v>
      </c>
      <c r="D201" s="97">
        <v>7</v>
      </c>
      <c r="E201" s="97" t="s">
        <v>129</v>
      </c>
      <c r="F201" s="10">
        <v>1</v>
      </c>
      <c r="G201" s="10">
        <v>1</v>
      </c>
      <c r="H201" s="10">
        <v>0</v>
      </c>
      <c r="I201" s="10">
        <v>1</v>
      </c>
      <c r="J201" s="74">
        <v>0</v>
      </c>
      <c r="K201" s="74">
        <v>0</v>
      </c>
      <c r="L201" s="74">
        <v>0</v>
      </c>
      <c r="M201" s="74">
        <v>0</v>
      </c>
      <c r="N201" s="74">
        <v>0</v>
      </c>
      <c r="O201" s="74">
        <v>0</v>
      </c>
      <c r="P201" s="74">
        <v>0</v>
      </c>
      <c r="Q201" s="74">
        <v>0</v>
      </c>
      <c r="R201" s="74">
        <v>0</v>
      </c>
      <c r="S201" s="97" t="s">
        <v>586</v>
      </c>
      <c r="T201" s="10">
        <v>0</v>
      </c>
      <c r="U201" s="10">
        <v>1</v>
      </c>
      <c r="V201" s="10">
        <v>0</v>
      </c>
      <c r="W201" s="10">
        <v>0</v>
      </c>
      <c r="X201" s="74">
        <v>0</v>
      </c>
      <c r="Y201" s="74">
        <v>0</v>
      </c>
      <c r="Z201" s="74">
        <v>0</v>
      </c>
      <c r="AA201" s="74">
        <v>0</v>
      </c>
      <c r="AB201" s="74">
        <v>0</v>
      </c>
      <c r="AC201" s="74">
        <v>0</v>
      </c>
      <c r="AD201" s="74">
        <v>0</v>
      </c>
      <c r="AE201" s="74">
        <v>0</v>
      </c>
      <c r="AF201" s="74">
        <v>0</v>
      </c>
      <c r="AG201" s="90">
        <f t="shared" si="14"/>
        <v>4</v>
      </c>
      <c r="AH201" s="90">
        <f t="shared" si="16"/>
        <v>4</v>
      </c>
      <c r="AI201" s="90">
        <f t="shared" si="15"/>
        <v>0</v>
      </c>
    </row>
    <row r="202" spans="1:35" x14ac:dyDescent="0.5">
      <c r="C202" s="102"/>
      <c r="AG202" s="90"/>
      <c r="AH202" s="90"/>
      <c r="AI202" s="90"/>
    </row>
    <row r="203" spans="1:35" x14ac:dyDescent="0.35">
      <c r="A203" s="93">
        <v>15</v>
      </c>
      <c r="B203" s="95" t="s">
        <v>193</v>
      </c>
      <c r="C203" s="96">
        <v>45925</v>
      </c>
      <c r="D203" s="97">
        <v>6</v>
      </c>
      <c r="E203" s="97" t="s">
        <v>55</v>
      </c>
      <c r="F203" s="10">
        <v>0</v>
      </c>
      <c r="G203" s="10">
        <v>0</v>
      </c>
      <c r="H203" s="10">
        <v>0</v>
      </c>
      <c r="I203" s="10">
        <v>0</v>
      </c>
      <c r="J203" s="74">
        <v>0</v>
      </c>
      <c r="K203" s="74">
        <v>0</v>
      </c>
      <c r="L203" s="74">
        <v>0</v>
      </c>
      <c r="M203" s="74">
        <v>0</v>
      </c>
      <c r="N203" s="74">
        <v>0</v>
      </c>
      <c r="O203" s="74">
        <v>0</v>
      </c>
      <c r="P203" s="74">
        <v>0</v>
      </c>
      <c r="Q203" s="74">
        <v>0</v>
      </c>
      <c r="R203" s="74">
        <v>0</v>
      </c>
      <c r="S203" s="97" t="s">
        <v>227</v>
      </c>
      <c r="T203" s="10">
        <v>9</v>
      </c>
      <c r="U203" s="10">
        <v>0</v>
      </c>
      <c r="V203" s="10">
        <v>0</v>
      </c>
      <c r="W203" s="10">
        <v>0</v>
      </c>
      <c r="X203" s="74">
        <v>0</v>
      </c>
      <c r="Y203" s="74">
        <v>0</v>
      </c>
      <c r="Z203" s="74">
        <v>0</v>
      </c>
      <c r="AA203" s="74">
        <v>0</v>
      </c>
      <c r="AB203" s="74">
        <v>0</v>
      </c>
      <c r="AC203" s="74">
        <v>0</v>
      </c>
      <c r="AD203" s="74">
        <v>0</v>
      </c>
      <c r="AE203" s="74">
        <v>0</v>
      </c>
      <c r="AF203" s="74">
        <v>0</v>
      </c>
      <c r="AG203" s="90">
        <f t="shared" si="14"/>
        <v>9</v>
      </c>
      <c r="AH203" s="90">
        <f t="shared" si="16"/>
        <v>9</v>
      </c>
      <c r="AI203" s="90">
        <f t="shared" si="15"/>
        <v>0</v>
      </c>
    </row>
    <row r="204" spans="1:35" x14ac:dyDescent="0.5">
      <c r="C204" s="96">
        <v>45930</v>
      </c>
      <c r="D204" s="97">
        <v>6</v>
      </c>
      <c r="E204" s="97" t="s">
        <v>255</v>
      </c>
      <c r="F204" s="10">
        <v>0</v>
      </c>
      <c r="G204" s="10">
        <v>1</v>
      </c>
      <c r="H204" s="10">
        <v>0</v>
      </c>
      <c r="I204" s="10">
        <v>0</v>
      </c>
      <c r="J204" s="74">
        <v>0</v>
      </c>
      <c r="K204" s="74">
        <v>1</v>
      </c>
      <c r="L204" s="74">
        <v>0</v>
      </c>
      <c r="M204" s="74">
        <v>0</v>
      </c>
      <c r="N204" s="74">
        <v>0</v>
      </c>
      <c r="O204" s="74">
        <v>0</v>
      </c>
      <c r="P204" s="74">
        <v>0</v>
      </c>
      <c r="Q204" s="74">
        <v>0</v>
      </c>
      <c r="R204" s="74">
        <v>0</v>
      </c>
      <c r="S204" s="97" t="s">
        <v>254</v>
      </c>
      <c r="T204" s="10">
        <v>3</v>
      </c>
      <c r="U204" s="10">
        <v>0</v>
      </c>
      <c r="V204" s="10">
        <v>0</v>
      </c>
      <c r="W204" s="10">
        <v>0</v>
      </c>
      <c r="X204" s="74">
        <v>0</v>
      </c>
      <c r="Y204" s="74">
        <v>1</v>
      </c>
      <c r="Z204" s="74">
        <v>0</v>
      </c>
      <c r="AA204" s="74">
        <v>0</v>
      </c>
      <c r="AB204" s="74">
        <v>0</v>
      </c>
      <c r="AC204" s="74">
        <v>0</v>
      </c>
      <c r="AD204" s="74">
        <v>0</v>
      </c>
      <c r="AE204" s="74">
        <v>0</v>
      </c>
      <c r="AF204" s="74">
        <v>0</v>
      </c>
      <c r="AG204" s="90">
        <f t="shared" si="14"/>
        <v>6</v>
      </c>
      <c r="AH204" s="90">
        <f t="shared" si="16"/>
        <v>4</v>
      </c>
      <c r="AI204" s="90">
        <f t="shared" si="15"/>
        <v>2</v>
      </c>
    </row>
    <row r="205" spans="1:35" x14ac:dyDescent="0.5">
      <c r="C205" s="96">
        <v>45936</v>
      </c>
      <c r="D205" s="97">
        <v>6</v>
      </c>
      <c r="E205" s="97" t="s">
        <v>280</v>
      </c>
      <c r="F205" s="10">
        <v>0</v>
      </c>
      <c r="G205" s="10">
        <v>0</v>
      </c>
      <c r="H205" s="10">
        <v>0</v>
      </c>
      <c r="I205" s="10">
        <v>0</v>
      </c>
      <c r="J205" s="74">
        <v>0</v>
      </c>
      <c r="K205" s="74">
        <v>0</v>
      </c>
      <c r="L205" s="74">
        <v>0</v>
      </c>
      <c r="M205" s="74">
        <v>0</v>
      </c>
      <c r="N205" s="74">
        <v>0</v>
      </c>
      <c r="O205" s="74">
        <v>2</v>
      </c>
      <c r="P205" s="74">
        <v>0</v>
      </c>
      <c r="Q205" s="74">
        <v>0</v>
      </c>
      <c r="R205" s="74">
        <v>0</v>
      </c>
      <c r="S205" s="97" t="s">
        <v>279</v>
      </c>
      <c r="T205" s="10">
        <v>3</v>
      </c>
      <c r="U205" s="10">
        <v>2</v>
      </c>
      <c r="V205" s="10">
        <v>0</v>
      </c>
      <c r="W205" s="10">
        <v>1</v>
      </c>
      <c r="X205" s="74">
        <v>0</v>
      </c>
      <c r="Y205" s="74">
        <v>1</v>
      </c>
      <c r="Z205" s="74">
        <v>0</v>
      </c>
      <c r="AA205" s="74">
        <v>0</v>
      </c>
      <c r="AB205" s="74">
        <v>0</v>
      </c>
      <c r="AC205" s="74">
        <v>0</v>
      </c>
      <c r="AD205" s="74">
        <v>0</v>
      </c>
      <c r="AE205" s="74">
        <v>0</v>
      </c>
      <c r="AF205" s="74">
        <v>0</v>
      </c>
      <c r="AG205" s="90">
        <f t="shared" si="14"/>
        <v>9</v>
      </c>
      <c r="AH205" s="90">
        <f t="shared" si="16"/>
        <v>6</v>
      </c>
      <c r="AI205" s="90">
        <f t="shared" si="15"/>
        <v>3</v>
      </c>
    </row>
    <row r="206" spans="1:35" x14ac:dyDescent="0.5">
      <c r="C206" s="96">
        <v>45939</v>
      </c>
      <c r="D206" s="97">
        <v>6</v>
      </c>
      <c r="E206" s="97" t="s">
        <v>317</v>
      </c>
      <c r="F206" s="10">
        <v>4</v>
      </c>
      <c r="G206" s="10">
        <v>0</v>
      </c>
      <c r="H206" s="10">
        <v>0</v>
      </c>
      <c r="I206" s="10">
        <v>1</v>
      </c>
      <c r="J206" s="74">
        <v>0</v>
      </c>
      <c r="K206" s="74">
        <v>0</v>
      </c>
      <c r="L206" s="74">
        <v>0</v>
      </c>
      <c r="M206" s="74">
        <v>0</v>
      </c>
      <c r="N206" s="74">
        <v>0</v>
      </c>
      <c r="O206" s="74">
        <v>0</v>
      </c>
      <c r="P206" s="74">
        <v>0</v>
      </c>
      <c r="Q206" s="74">
        <v>0</v>
      </c>
      <c r="R206" s="74">
        <v>0</v>
      </c>
      <c r="S206" s="97" t="s">
        <v>316</v>
      </c>
      <c r="T206" s="10">
        <v>4</v>
      </c>
      <c r="U206" s="10">
        <v>3</v>
      </c>
      <c r="V206" s="10">
        <v>0</v>
      </c>
      <c r="W206" s="10">
        <v>0</v>
      </c>
      <c r="X206" s="74">
        <v>0</v>
      </c>
      <c r="Y206" s="74">
        <v>0</v>
      </c>
      <c r="Z206" s="74">
        <v>0</v>
      </c>
      <c r="AA206" s="74">
        <v>0</v>
      </c>
      <c r="AB206" s="74">
        <v>0</v>
      </c>
      <c r="AC206" s="74">
        <v>2</v>
      </c>
      <c r="AD206" s="74">
        <v>0</v>
      </c>
      <c r="AE206" s="74">
        <v>0</v>
      </c>
      <c r="AF206" s="74">
        <v>0</v>
      </c>
      <c r="AG206" s="90">
        <f t="shared" si="14"/>
        <v>14</v>
      </c>
      <c r="AH206" s="90">
        <f t="shared" si="16"/>
        <v>12</v>
      </c>
      <c r="AI206" s="90">
        <f t="shared" si="15"/>
        <v>2</v>
      </c>
    </row>
    <row r="207" spans="1:35" x14ac:dyDescent="0.5">
      <c r="C207" s="96">
        <v>45944</v>
      </c>
      <c r="D207" s="97">
        <v>6</v>
      </c>
      <c r="E207" s="97" t="s">
        <v>343</v>
      </c>
      <c r="F207" s="10">
        <v>2</v>
      </c>
      <c r="G207" s="10">
        <v>2</v>
      </c>
      <c r="H207" s="10">
        <v>0</v>
      </c>
      <c r="I207" s="10">
        <v>0</v>
      </c>
      <c r="J207" s="74">
        <v>0</v>
      </c>
      <c r="K207" s="74">
        <v>1</v>
      </c>
      <c r="L207" s="74">
        <v>0</v>
      </c>
      <c r="M207" s="74">
        <v>0</v>
      </c>
      <c r="N207" s="74">
        <v>0</v>
      </c>
      <c r="O207" s="74">
        <v>0</v>
      </c>
      <c r="P207" s="74">
        <v>0</v>
      </c>
      <c r="Q207" s="74">
        <v>0</v>
      </c>
      <c r="R207" s="74">
        <v>0</v>
      </c>
      <c r="S207" s="99" t="s">
        <v>342</v>
      </c>
      <c r="T207" s="10">
        <v>1</v>
      </c>
      <c r="U207" s="10">
        <v>0</v>
      </c>
      <c r="V207" s="10">
        <v>0</v>
      </c>
      <c r="W207" s="10">
        <v>0</v>
      </c>
      <c r="X207" s="74">
        <v>0</v>
      </c>
      <c r="Y207" s="74">
        <v>1</v>
      </c>
      <c r="Z207" s="74">
        <v>0</v>
      </c>
      <c r="AA207" s="74">
        <v>0</v>
      </c>
      <c r="AB207" s="74">
        <v>0</v>
      </c>
      <c r="AC207" s="74">
        <v>0</v>
      </c>
      <c r="AD207" s="74">
        <v>0</v>
      </c>
      <c r="AE207" s="74">
        <v>0</v>
      </c>
      <c r="AF207" s="74">
        <v>0</v>
      </c>
      <c r="AG207" s="90">
        <f t="shared" si="14"/>
        <v>7</v>
      </c>
      <c r="AH207" s="90">
        <f t="shared" si="16"/>
        <v>5</v>
      </c>
      <c r="AI207" s="90">
        <f t="shared" si="15"/>
        <v>2</v>
      </c>
    </row>
    <row r="208" spans="1:35" ht="29" x14ac:dyDescent="0.5">
      <c r="C208" s="96">
        <v>45947</v>
      </c>
      <c r="D208" s="97">
        <v>6</v>
      </c>
      <c r="E208" s="97" t="s">
        <v>233</v>
      </c>
      <c r="F208" s="10">
        <v>0</v>
      </c>
      <c r="G208" s="10">
        <v>0</v>
      </c>
      <c r="H208" s="10">
        <v>0</v>
      </c>
      <c r="I208" s="10">
        <v>0</v>
      </c>
      <c r="J208" s="74">
        <v>0</v>
      </c>
      <c r="K208" s="74">
        <v>0</v>
      </c>
      <c r="L208" s="74">
        <v>0</v>
      </c>
      <c r="M208" s="74">
        <v>0</v>
      </c>
      <c r="N208" s="74">
        <v>0</v>
      </c>
      <c r="O208" s="74">
        <v>1</v>
      </c>
      <c r="P208" s="74">
        <v>0</v>
      </c>
      <c r="Q208" s="74">
        <v>0</v>
      </c>
      <c r="R208" s="74">
        <v>0</v>
      </c>
      <c r="S208" s="99" t="s">
        <v>432</v>
      </c>
      <c r="T208" s="10">
        <v>0</v>
      </c>
      <c r="U208" s="10">
        <v>0</v>
      </c>
      <c r="V208" s="10">
        <v>0</v>
      </c>
      <c r="W208" s="10">
        <v>0</v>
      </c>
      <c r="X208" s="74">
        <v>0</v>
      </c>
      <c r="Y208" s="74">
        <v>0</v>
      </c>
      <c r="Z208" s="74">
        <v>0</v>
      </c>
      <c r="AA208" s="74">
        <v>0</v>
      </c>
      <c r="AB208" s="74">
        <v>0</v>
      </c>
      <c r="AC208" s="74">
        <v>0</v>
      </c>
      <c r="AD208" s="74">
        <v>1</v>
      </c>
      <c r="AE208" s="74">
        <v>0</v>
      </c>
      <c r="AF208" s="74">
        <v>0</v>
      </c>
      <c r="AG208" s="90">
        <f t="shared" si="14"/>
        <v>2</v>
      </c>
      <c r="AH208" s="90">
        <f t="shared" si="16"/>
        <v>0</v>
      </c>
      <c r="AI208" s="90">
        <f t="shared" si="15"/>
        <v>2</v>
      </c>
    </row>
    <row r="209" spans="1:35" x14ac:dyDescent="0.5">
      <c r="C209" s="96">
        <v>45951</v>
      </c>
      <c r="D209" s="97">
        <v>6</v>
      </c>
      <c r="E209" s="97" t="s">
        <v>426</v>
      </c>
      <c r="F209" s="10">
        <v>5</v>
      </c>
      <c r="G209" s="10">
        <v>2</v>
      </c>
      <c r="H209" s="10">
        <v>0</v>
      </c>
      <c r="I209" s="10">
        <v>0</v>
      </c>
      <c r="J209" s="74">
        <v>0</v>
      </c>
      <c r="K209" s="74">
        <v>0</v>
      </c>
      <c r="L209" s="74">
        <v>0</v>
      </c>
      <c r="M209" s="74">
        <v>0</v>
      </c>
      <c r="N209" s="74">
        <v>0</v>
      </c>
      <c r="O209" s="74">
        <v>0</v>
      </c>
      <c r="P209" s="74">
        <v>0</v>
      </c>
      <c r="Q209" s="74">
        <v>0</v>
      </c>
      <c r="R209" s="74">
        <v>0</v>
      </c>
      <c r="S209" s="97" t="s">
        <v>425</v>
      </c>
      <c r="T209" s="10">
        <v>4</v>
      </c>
      <c r="U209" s="10">
        <v>1</v>
      </c>
      <c r="V209" s="10">
        <v>0</v>
      </c>
      <c r="W209" s="10">
        <v>0</v>
      </c>
      <c r="X209" s="74">
        <v>0</v>
      </c>
      <c r="Y209" s="74">
        <v>1</v>
      </c>
      <c r="Z209" s="74">
        <v>0</v>
      </c>
      <c r="AA209" s="74">
        <v>0</v>
      </c>
      <c r="AB209" s="74">
        <v>0</v>
      </c>
      <c r="AC209" s="74">
        <v>0</v>
      </c>
      <c r="AD209" s="74">
        <v>0</v>
      </c>
      <c r="AE209" s="74">
        <v>0</v>
      </c>
      <c r="AF209" s="74">
        <v>0</v>
      </c>
      <c r="AG209" s="90">
        <f t="shared" si="14"/>
        <v>13</v>
      </c>
      <c r="AH209" s="90">
        <f t="shared" si="16"/>
        <v>12</v>
      </c>
      <c r="AI209" s="90">
        <f t="shared" si="15"/>
        <v>1</v>
      </c>
    </row>
    <row r="210" spans="1:35" x14ac:dyDescent="0.5">
      <c r="C210" s="96">
        <v>45954</v>
      </c>
      <c r="D210" s="97">
        <v>6</v>
      </c>
      <c r="E210" s="97" t="s">
        <v>332</v>
      </c>
      <c r="F210" s="10">
        <v>0</v>
      </c>
      <c r="G210" s="10">
        <v>0</v>
      </c>
      <c r="H210" s="10">
        <v>0</v>
      </c>
      <c r="I210" s="10">
        <v>0</v>
      </c>
      <c r="J210" s="74">
        <v>0</v>
      </c>
      <c r="K210" s="74">
        <v>0</v>
      </c>
      <c r="L210" s="74">
        <v>0</v>
      </c>
      <c r="M210" s="74">
        <v>0</v>
      </c>
      <c r="N210" s="74">
        <v>0</v>
      </c>
      <c r="O210" s="74">
        <v>0</v>
      </c>
      <c r="P210" s="74">
        <v>0</v>
      </c>
      <c r="Q210" s="74">
        <v>0</v>
      </c>
      <c r="R210" s="74">
        <v>0</v>
      </c>
      <c r="S210" s="97" t="s">
        <v>272</v>
      </c>
      <c r="T210" s="10">
        <v>0</v>
      </c>
      <c r="U210" s="10">
        <v>0</v>
      </c>
      <c r="V210" s="10">
        <v>0</v>
      </c>
      <c r="W210" s="10">
        <v>0</v>
      </c>
      <c r="X210" s="74">
        <v>0</v>
      </c>
      <c r="Y210" s="74">
        <v>0</v>
      </c>
      <c r="Z210" s="74">
        <v>0</v>
      </c>
      <c r="AA210" s="74">
        <v>0</v>
      </c>
      <c r="AB210" s="74">
        <v>0</v>
      </c>
      <c r="AC210" s="74">
        <v>0</v>
      </c>
      <c r="AD210" s="74">
        <v>0</v>
      </c>
      <c r="AE210" s="74">
        <v>0</v>
      </c>
      <c r="AF210" s="74">
        <v>0</v>
      </c>
      <c r="AG210" s="90">
        <f t="shared" si="14"/>
        <v>0</v>
      </c>
      <c r="AH210" s="90">
        <f t="shared" si="16"/>
        <v>0</v>
      </c>
      <c r="AI210" s="90">
        <f t="shared" si="15"/>
        <v>0</v>
      </c>
    </row>
    <row r="211" spans="1:35" x14ac:dyDescent="0.5">
      <c r="AG211" s="90"/>
      <c r="AH211" s="90"/>
      <c r="AI211" s="90"/>
    </row>
    <row r="212" spans="1:35" x14ac:dyDescent="0.35">
      <c r="A212" s="93">
        <v>16</v>
      </c>
      <c r="B212" s="95" t="s">
        <v>194</v>
      </c>
      <c r="C212" s="96">
        <v>45925</v>
      </c>
      <c r="D212" s="97" t="s">
        <v>55</v>
      </c>
      <c r="E212" s="97" t="s">
        <v>55</v>
      </c>
      <c r="F212" s="10">
        <v>0</v>
      </c>
      <c r="G212" s="10">
        <v>0</v>
      </c>
      <c r="H212" s="10">
        <v>0</v>
      </c>
      <c r="I212" s="10">
        <v>0</v>
      </c>
      <c r="J212" s="74">
        <v>0</v>
      </c>
      <c r="K212" s="74">
        <v>0</v>
      </c>
      <c r="L212" s="74">
        <v>0</v>
      </c>
      <c r="M212" s="74">
        <v>0</v>
      </c>
      <c r="N212" s="74">
        <v>0</v>
      </c>
      <c r="O212" s="74">
        <v>0</v>
      </c>
      <c r="P212" s="74">
        <v>0</v>
      </c>
      <c r="Q212" s="74">
        <v>0</v>
      </c>
      <c r="R212" s="74">
        <v>0</v>
      </c>
      <c r="S212" s="97" t="s">
        <v>55</v>
      </c>
      <c r="T212" s="10">
        <v>0</v>
      </c>
      <c r="U212" s="10">
        <v>0</v>
      </c>
      <c r="V212" s="10">
        <v>0</v>
      </c>
      <c r="W212" s="10">
        <v>0</v>
      </c>
      <c r="X212" s="74">
        <v>0</v>
      </c>
      <c r="Y212" s="74">
        <v>0</v>
      </c>
      <c r="Z212" s="74">
        <v>0</v>
      </c>
      <c r="AA212" s="74">
        <v>0</v>
      </c>
      <c r="AB212" s="74">
        <v>0</v>
      </c>
      <c r="AC212" s="74">
        <v>0</v>
      </c>
      <c r="AD212" s="74">
        <v>0</v>
      </c>
      <c r="AE212" s="74">
        <v>0</v>
      </c>
      <c r="AF212" s="74">
        <v>0</v>
      </c>
      <c r="AG212" s="90">
        <f t="shared" si="14"/>
        <v>0</v>
      </c>
      <c r="AH212" s="90">
        <f t="shared" si="16"/>
        <v>0</v>
      </c>
      <c r="AI212" s="90">
        <f t="shared" si="15"/>
        <v>0</v>
      </c>
    </row>
    <row r="213" spans="1:35" x14ac:dyDescent="0.5">
      <c r="C213" s="96">
        <v>45930</v>
      </c>
      <c r="D213" s="97" t="s">
        <v>55</v>
      </c>
      <c r="E213" s="97" t="s">
        <v>55</v>
      </c>
      <c r="F213" s="10">
        <v>0</v>
      </c>
      <c r="G213" s="10">
        <v>0</v>
      </c>
      <c r="H213" s="10">
        <v>0</v>
      </c>
      <c r="I213" s="10">
        <v>0</v>
      </c>
      <c r="J213" s="74">
        <v>0</v>
      </c>
      <c r="K213" s="74">
        <v>0</v>
      </c>
      <c r="L213" s="74">
        <v>0</v>
      </c>
      <c r="M213" s="74">
        <v>0</v>
      </c>
      <c r="N213" s="74">
        <v>0</v>
      </c>
      <c r="O213" s="74">
        <v>0</v>
      </c>
      <c r="P213" s="74">
        <v>0</v>
      </c>
      <c r="Q213" s="74">
        <v>0</v>
      </c>
      <c r="R213" s="74">
        <v>0</v>
      </c>
      <c r="S213" s="97" t="s">
        <v>55</v>
      </c>
      <c r="T213" s="10">
        <v>0</v>
      </c>
      <c r="U213" s="10">
        <v>0</v>
      </c>
      <c r="V213" s="10">
        <v>0</v>
      </c>
      <c r="W213" s="10">
        <v>0</v>
      </c>
      <c r="X213" s="74">
        <v>0</v>
      </c>
      <c r="Y213" s="74">
        <v>0</v>
      </c>
      <c r="Z213" s="74">
        <v>0</v>
      </c>
      <c r="AA213" s="74">
        <v>0</v>
      </c>
      <c r="AB213" s="74">
        <v>0</v>
      </c>
      <c r="AC213" s="74">
        <v>0</v>
      </c>
      <c r="AD213" s="74">
        <v>0</v>
      </c>
      <c r="AE213" s="74">
        <v>0</v>
      </c>
      <c r="AF213" s="74">
        <v>0</v>
      </c>
      <c r="AG213" s="90">
        <f t="shared" si="14"/>
        <v>0</v>
      </c>
      <c r="AH213" s="90">
        <f t="shared" si="16"/>
        <v>0</v>
      </c>
      <c r="AI213" s="90">
        <f t="shared" si="15"/>
        <v>0</v>
      </c>
    </row>
    <row r="214" spans="1:35" x14ac:dyDescent="0.5">
      <c r="C214" s="96">
        <v>45936</v>
      </c>
      <c r="D214" s="97">
        <v>18</v>
      </c>
      <c r="E214" s="97" t="s">
        <v>544</v>
      </c>
      <c r="F214" s="10">
        <v>1</v>
      </c>
      <c r="G214" s="10">
        <v>2</v>
      </c>
      <c r="H214" s="10">
        <v>0</v>
      </c>
      <c r="I214" s="10">
        <v>0</v>
      </c>
      <c r="J214" s="74">
        <v>0</v>
      </c>
      <c r="K214" s="74">
        <v>1</v>
      </c>
      <c r="L214" s="74">
        <v>0</v>
      </c>
      <c r="M214" s="74">
        <v>1</v>
      </c>
      <c r="N214" s="74">
        <v>0</v>
      </c>
      <c r="O214" s="74">
        <v>0</v>
      </c>
      <c r="P214" s="74">
        <v>0</v>
      </c>
      <c r="Q214" s="74">
        <v>0</v>
      </c>
      <c r="R214" s="74">
        <v>0</v>
      </c>
      <c r="S214" s="97" t="s">
        <v>88</v>
      </c>
      <c r="T214" s="10">
        <v>4</v>
      </c>
      <c r="U214" s="10">
        <v>2</v>
      </c>
      <c r="V214" s="10">
        <v>0</v>
      </c>
      <c r="W214" s="10">
        <v>0</v>
      </c>
      <c r="X214" s="74">
        <v>0</v>
      </c>
      <c r="Y214" s="74">
        <v>0</v>
      </c>
      <c r="Z214" s="74">
        <v>0</v>
      </c>
      <c r="AA214" s="74">
        <v>0</v>
      </c>
      <c r="AB214" s="74">
        <v>0</v>
      </c>
      <c r="AC214" s="74">
        <v>0</v>
      </c>
      <c r="AD214" s="74">
        <v>0</v>
      </c>
      <c r="AE214" s="74">
        <v>0</v>
      </c>
      <c r="AF214" s="74">
        <v>0</v>
      </c>
      <c r="AG214" s="90">
        <f t="shared" si="14"/>
        <v>11</v>
      </c>
      <c r="AH214" s="90">
        <f t="shared" si="16"/>
        <v>9</v>
      </c>
      <c r="AI214" s="90">
        <f t="shared" si="15"/>
        <v>2</v>
      </c>
    </row>
    <row r="215" spans="1:35" x14ac:dyDescent="0.5">
      <c r="C215" s="96">
        <v>45939</v>
      </c>
      <c r="D215" s="97">
        <v>18</v>
      </c>
      <c r="E215" s="97" t="s">
        <v>300</v>
      </c>
      <c r="F215" s="10">
        <v>5</v>
      </c>
      <c r="G215" s="10">
        <v>1</v>
      </c>
      <c r="H215" s="10">
        <v>0</v>
      </c>
      <c r="I215" s="10">
        <v>0</v>
      </c>
      <c r="J215" s="74">
        <v>0</v>
      </c>
      <c r="K215" s="74">
        <v>1</v>
      </c>
      <c r="L215" s="74">
        <v>0</v>
      </c>
      <c r="M215" s="74">
        <v>0</v>
      </c>
      <c r="N215" s="74">
        <v>0</v>
      </c>
      <c r="O215" s="74">
        <v>0</v>
      </c>
      <c r="P215" s="74">
        <v>0</v>
      </c>
      <c r="Q215" s="74">
        <v>0</v>
      </c>
      <c r="R215" s="74">
        <v>0</v>
      </c>
      <c r="S215" s="97" t="s">
        <v>184</v>
      </c>
      <c r="T215" s="10">
        <v>3</v>
      </c>
      <c r="U215" s="10">
        <v>2</v>
      </c>
      <c r="V215" s="10">
        <v>0</v>
      </c>
      <c r="W215" s="10">
        <v>0</v>
      </c>
      <c r="X215" s="74">
        <v>0</v>
      </c>
      <c r="Y215" s="74">
        <v>0</v>
      </c>
      <c r="Z215" s="74">
        <v>0</v>
      </c>
      <c r="AA215" s="74">
        <v>0</v>
      </c>
      <c r="AB215" s="74">
        <v>0</v>
      </c>
      <c r="AC215" s="74">
        <v>0</v>
      </c>
      <c r="AD215" s="74">
        <v>0</v>
      </c>
      <c r="AE215" s="74">
        <v>0</v>
      </c>
      <c r="AF215" s="74">
        <v>0</v>
      </c>
      <c r="AG215" s="90">
        <f t="shared" si="14"/>
        <v>12</v>
      </c>
      <c r="AH215" s="90">
        <f t="shared" si="16"/>
        <v>11</v>
      </c>
      <c r="AI215" s="90">
        <f t="shared" si="15"/>
        <v>1</v>
      </c>
    </row>
    <row r="216" spans="1:35" x14ac:dyDescent="0.5">
      <c r="C216" s="96">
        <v>45944</v>
      </c>
      <c r="D216" s="97">
        <v>18</v>
      </c>
      <c r="E216" s="97" t="s">
        <v>124</v>
      </c>
      <c r="F216" s="10">
        <v>4</v>
      </c>
      <c r="G216" s="10">
        <v>1</v>
      </c>
      <c r="H216" s="10">
        <v>0</v>
      </c>
      <c r="I216" s="10">
        <v>0</v>
      </c>
      <c r="J216" s="74">
        <v>0</v>
      </c>
      <c r="K216" s="74">
        <v>0</v>
      </c>
      <c r="L216" s="74">
        <v>0</v>
      </c>
      <c r="M216" s="74">
        <v>0</v>
      </c>
      <c r="N216" s="74">
        <v>0</v>
      </c>
      <c r="O216" s="74">
        <v>0</v>
      </c>
      <c r="P216" s="74">
        <v>0</v>
      </c>
      <c r="Q216" s="74">
        <v>0</v>
      </c>
      <c r="R216" s="74">
        <v>0</v>
      </c>
      <c r="S216" s="97" t="s">
        <v>344</v>
      </c>
      <c r="T216" s="10">
        <v>0</v>
      </c>
      <c r="U216" s="10">
        <v>4</v>
      </c>
      <c r="V216" s="10">
        <v>0</v>
      </c>
      <c r="W216" s="10">
        <v>1</v>
      </c>
      <c r="X216" s="74">
        <v>0</v>
      </c>
      <c r="Y216" s="74">
        <v>0</v>
      </c>
      <c r="Z216" s="74">
        <v>0</v>
      </c>
      <c r="AA216" s="74">
        <v>1</v>
      </c>
      <c r="AB216" s="74">
        <v>0</v>
      </c>
      <c r="AC216" s="74">
        <v>0</v>
      </c>
      <c r="AD216" s="74">
        <v>0</v>
      </c>
      <c r="AE216" s="74">
        <v>0</v>
      </c>
      <c r="AF216" s="74">
        <v>0</v>
      </c>
      <c r="AG216" s="90">
        <f t="shared" si="14"/>
        <v>11</v>
      </c>
      <c r="AH216" s="90">
        <f t="shared" si="16"/>
        <v>10</v>
      </c>
      <c r="AI216" s="90">
        <f t="shared" si="15"/>
        <v>1</v>
      </c>
    </row>
    <row r="217" spans="1:35" x14ac:dyDescent="0.5">
      <c r="C217" s="96">
        <v>45947</v>
      </c>
      <c r="D217" s="97">
        <v>18</v>
      </c>
      <c r="E217" s="97" t="s">
        <v>241</v>
      </c>
      <c r="F217" s="10">
        <v>1</v>
      </c>
      <c r="G217" s="10">
        <v>0</v>
      </c>
      <c r="H217" s="10">
        <v>0</v>
      </c>
      <c r="I217" s="10">
        <v>0</v>
      </c>
      <c r="J217" s="74">
        <v>0</v>
      </c>
      <c r="K217" s="74">
        <v>0</v>
      </c>
      <c r="L217" s="74">
        <v>0</v>
      </c>
      <c r="M217" s="74">
        <v>0</v>
      </c>
      <c r="N217" s="74">
        <v>0</v>
      </c>
      <c r="O217" s="74">
        <v>1</v>
      </c>
      <c r="P217" s="74">
        <v>0</v>
      </c>
      <c r="Q217" s="74">
        <v>0</v>
      </c>
      <c r="R217" s="74">
        <v>0</v>
      </c>
      <c r="S217" s="97" t="s">
        <v>388</v>
      </c>
      <c r="T217" s="10">
        <v>1</v>
      </c>
      <c r="U217" s="10">
        <v>5</v>
      </c>
      <c r="V217" s="10">
        <v>0</v>
      </c>
      <c r="W217" s="10">
        <v>1</v>
      </c>
      <c r="X217" s="74">
        <v>0</v>
      </c>
      <c r="Y217" s="74">
        <v>0</v>
      </c>
      <c r="Z217" s="74">
        <v>0</v>
      </c>
      <c r="AA217" s="74">
        <v>0</v>
      </c>
      <c r="AB217" s="74">
        <v>0</v>
      </c>
      <c r="AC217" s="74">
        <v>0</v>
      </c>
      <c r="AD217" s="74">
        <v>0</v>
      </c>
      <c r="AE217" s="74">
        <v>0</v>
      </c>
      <c r="AF217" s="74">
        <v>0</v>
      </c>
      <c r="AG217" s="90">
        <f t="shared" si="14"/>
        <v>9</v>
      </c>
      <c r="AH217" s="90">
        <f t="shared" si="16"/>
        <v>8</v>
      </c>
      <c r="AI217" s="90">
        <f t="shared" si="15"/>
        <v>1</v>
      </c>
    </row>
    <row r="218" spans="1:35" x14ac:dyDescent="0.5">
      <c r="C218" s="96">
        <v>45951</v>
      </c>
      <c r="D218" s="97">
        <v>18</v>
      </c>
      <c r="E218" s="97" t="s">
        <v>406</v>
      </c>
      <c r="F218" s="10">
        <v>0</v>
      </c>
      <c r="G218" s="10">
        <v>0</v>
      </c>
      <c r="H218" s="10">
        <v>0</v>
      </c>
      <c r="I218" s="10">
        <v>0</v>
      </c>
      <c r="J218" s="74">
        <v>0</v>
      </c>
      <c r="K218" s="74">
        <v>1</v>
      </c>
      <c r="L218" s="74">
        <v>0</v>
      </c>
      <c r="M218" s="74">
        <v>1</v>
      </c>
      <c r="N218" s="74">
        <v>0</v>
      </c>
      <c r="O218" s="74">
        <v>1</v>
      </c>
      <c r="P218" s="74">
        <v>0</v>
      </c>
      <c r="Q218" s="74">
        <v>0</v>
      </c>
      <c r="R218" s="74">
        <v>0</v>
      </c>
      <c r="S218" s="97" t="s">
        <v>407</v>
      </c>
      <c r="T218" s="10">
        <v>2</v>
      </c>
      <c r="U218" s="10">
        <v>0</v>
      </c>
      <c r="V218" s="10">
        <v>0</v>
      </c>
      <c r="W218" s="10">
        <v>0</v>
      </c>
      <c r="X218" s="74">
        <v>0</v>
      </c>
      <c r="Y218" s="74">
        <v>0</v>
      </c>
      <c r="Z218" s="74">
        <v>0</v>
      </c>
      <c r="AA218" s="74">
        <v>0</v>
      </c>
      <c r="AB218" s="74">
        <v>0</v>
      </c>
      <c r="AC218" s="74">
        <v>0</v>
      </c>
      <c r="AD218" s="74">
        <v>0</v>
      </c>
      <c r="AE218" s="74">
        <v>0</v>
      </c>
      <c r="AF218" s="74">
        <v>0</v>
      </c>
      <c r="AG218" s="90">
        <f t="shared" si="14"/>
        <v>5</v>
      </c>
      <c r="AH218" s="90">
        <f t="shared" si="16"/>
        <v>2</v>
      </c>
      <c r="AI218" s="90">
        <f t="shared" si="15"/>
        <v>3</v>
      </c>
    </row>
    <row r="219" spans="1:35" x14ac:dyDescent="0.5">
      <c r="C219" s="96">
        <v>45954</v>
      </c>
      <c r="D219" s="97">
        <v>18</v>
      </c>
      <c r="E219" s="97" t="s">
        <v>452</v>
      </c>
      <c r="F219" s="10">
        <v>0</v>
      </c>
      <c r="G219" s="10">
        <v>0</v>
      </c>
      <c r="H219" s="10">
        <v>0</v>
      </c>
      <c r="I219" s="10">
        <v>0</v>
      </c>
      <c r="J219" s="74">
        <v>0</v>
      </c>
      <c r="K219" s="74">
        <v>0</v>
      </c>
      <c r="L219" s="74">
        <v>0</v>
      </c>
      <c r="M219" s="74">
        <v>0</v>
      </c>
      <c r="N219" s="74">
        <v>0</v>
      </c>
      <c r="O219" s="74">
        <v>0</v>
      </c>
      <c r="P219" s="74">
        <v>0</v>
      </c>
      <c r="Q219" s="74">
        <v>0</v>
      </c>
      <c r="R219" s="74">
        <v>0</v>
      </c>
      <c r="S219" s="97" t="s">
        <v>453</v>
      </c>
      <c r="T219" s="10">
        <v>1</v>
      </c>
      <c r="U219" s="10">
        <v>1</v>
      </c>
      <c r="V219" s="10">
        <v>0</v>
      </c>
      <c r="W219" s="10">
        <v>1</v>
      </c>
      <c r="X219" s="74">
        <v>0</v>
      </c>
      <c r="Y219" s="74">
        <v>0</v>
      </c>
      <c r="Z219" s="74">
        <v>0</v>
      </c>
      <c r="AA219" s="74">
        <v>0</v>
      </c>
      <c r="AB219" s="74">
        <v>0</v>
      </c>
      <c r="AC219" s="74">
        <v>0</v>
      </c>
      <c r="AD219" s="74">
        <v>0</v>
      </c>
      <c r="AE219" s="74">
        <v>0</v>
      </c>
      <c r="AF219" s="74">
        <v>0</v>
      </c>
      <c r="AG219" s="90">
        <f t="shared" si="14"/>
        <v>3</v>
      </c>
      <c r="AH219" s="90">
        <f t="shared" si="16"/>
        <v>3</v>
      </c>
      <c r="AI219" s="90">
        <f t="shared" si="15"/>
        <v>0</v>
      </c>
    </row>
    <row r="220" spans="1:35" s="104" customFormat="1" x14ac:dyDescent="0.35">
      <c r="A220" s="93"/>
      <c r="B220" s="95"/>
      <c r="C220" s="96">
        <v>45958</v>
      </c>
      <c r="D220" s="97">
        <v>18</v>
      </c>
      <c r="E220" s="97" t="s">
        <v>461</v>
      </c>
      <c r="F220" s="10">
        <v>0</v>
      </c>
      <c r="G220" s="10">
        <v>0</v>
      </c>
      <c r="H220" s="10">
        <v>0</v>
      </c>
      <c r="I220" s="10">
        <v>0</v>
      </c>
      <c r="J220" s="74">
        <v>0</v>
      </c>
      <c r="K220" s="74">
        <v>1</v>
      </c>
      <c r="L220" s="74">
        <v>0</v>
      </c>
      <c r="M220" s="74">
        <v>1</v>
      </c>
      <c r="N220" s="74">
        <v>0</v>
      </c>
      <c r="O220" s="74">
        <v>0</v>
      </c>
      <c r="P220" s="74">
        <v>0</v>
      </c>
      <c r="Q220" s="74">
        <v>0</v>
      </c>
      <c r="R220" s="74">
        <v>0</v>
      </c>
      <c r="S220" s="97" t="s">
        <v>631</v>
      </c>
      <c r="T220" s="10">
        <v>0</v>
      </c>
      <c r="U220" s="10">
        <v>0</v>
      </c>
      <c r="V220" s="10">
        <v>0</v>
      </c>
      <c r="W220" s="10">
        <v>0</v>
      </c>
      <c r="X220" s="74">
        <v>0</v>
      </c>
      <c r="Y220" s="74">
        <v>0</v>
      </c>
      <c r="Z220" s="74">
        <v>0</v>
      </c>
      <c r="AA220" s="74">
        <v>0</v>
      </c>
      <c r="AB220" s="74">
        <v>0</v>
      </c>
      <c r="AC220" s="74">
        <v>0</v>
      </c>
      <c r="AD220" s="74">
        <v>0</v>
      </c>
      <c r="AE220" s="74">
        <v>0</v>
      </c>
      <c r="AF220" s="74">
        <v>0</v>
      </c>
      <c r="AG220" s="90">
        <f t="shared" si="14"/>
        <v>2</v>
      </c>
      <c r="AH220" s="90">
        <f t="shared" si="16"/>
        <v>0</v>
      </c>
      <c r="AI220" s="90">
        <f t="shared" si="15"/>
        <v>2</v>
      </c>
    </row>
    <row r="221" spans="1:35" s="104" customFormat="1" x14ac:dyDescent="0.35">
      <c r="A221" s="93"/>
      <c r="B221" s="95"/>
      <c r="C221" s="96">
        <v>45961</v>
      </c>
      <c r="D221" s="97">
        <v>18</v>
      </c>
      <c r="E221" s="97" t="s">
        <v>528</v>
      </c>
      <c r="F221" s="10">
        <v>0</v>
      </c>
      <c r="G221" s="10">
        <v>1</v>
      </c>
      <c r="H221" s="10">
        <v>0</v>
      </c>
      <c r="I221" s="10">
        <v>0</v>
      </c>
      <c r="J221" s="74">
        <v>0</v>
      </c>
      <c r="K221" s="74">
        <v>0</v>
      </c>
      <c r="L221" s="74">
        <v>0</v>
      </c>
      <c r="M221" s="74">
        <v>0</v>
      </c>
      <c r="N221" s="74">
        <v>0</v>
      </c>
      <c r="O221" s="74">
        <v>0</v>
      </c>
      <c r="P221" s="74">
        <v>0</v>
      </c>
      <c r="Q221" s="74">
        <v>0</v>
      </c>
      <c r="R221" s="74">
        <v>0</v>
      </c>
      <c r="S221" s="97" t="s">
        <v>319</v>
      </c>
      <c r="T221" s="10">
        <v>0</v>
      </c>
      <c r="U221" s="10">
        <v>0</v>
      </c>
      <c r="V221" s="10">
        <v>0</v>
      </c>
      <c r="W221" s="10">
        <v>0</v>
      </c>
      <c r="X221" s="74">
        <v>0</v>
      </c>
      <c r="Y221" s="74">
        <v>0</v>
      </c>
      <c r="Z221" s="74">
        <v>0</v>
      </c>
      <c r="AA221" s="74">
        <v>0</v>
      </c>
      <c r="AB221" s="74">
        <v>0</v>
      </c>
      <c r="AC221" s="74">
        <v>0</v>
      </c>
      <c r="AD221" s="74">
        <v>0</v>
      </c>
      <c r="AE221" s="74">
        <v>0</v>
      </c>
      <c r="AF221" s="74">
        <v>0</v>
      </c>
      <c r="AG221" s="90">
        <f t="shared" si="14"/>
        <v>1</v>
      </c>
      <c r="AH221" s="90">
        <f t="shared" si="16"/>
        <v>1</v>
      </c>
      <c r="AI221" s="90">
        <f t="shared" si="15"/>
        <v>0</v>
      </c>
    </row>
    <row r="222" spans="1:35" s="104" customFormat="1" x14ac:dyDescent="0.35">
      <c r="A222" s="93"/>
      <c r="B222" s="95"/>
      <c r="C222" s="96">
        <v>45964</v>
      </c>
      <c r="D222" s="97">
        <v>18</v>
      </c>
      <c r="E222" s="97" t="s">
        <v>562</v>
      </c>
      <c r="F222" s="10">
        <v>0</v>
      </c>
      <c r="G222" s="10">
        <v>1</v>
      </c>
      <c r="H222" s="10">
        <v>0</v>
      </c>
      <c r="I222" s="10">
        <v>0</v>
      </c>
      <c r="J222" s="74">
        <v>0</v>
      </c>
      <c r="K222" s="74">
        <v>0</v>
      </c>
      <c r="L222" s="74">
        <v>0</v>
      </c>
      <c r="M222" s="74">
        <v>0</v>
      </c>
      <c r="N222" s="74">
        <v>0</v>
      </c>
      <c r="O222" s="74">
        <v>0</v>
      </c>
      <c r="P222" s="74">
        <v>0</v>
      </c>
      <c r="Q222" s="74">
        <v>0</v>
      </c>
      <c r="R222" s="74">
        <v>0</v>
      </c>
      <c r="S222" s="97" t="s">
        <v>563</v>
      </c>
      <c r="T222" s="10">
        <v>0</v>
      </c>
      <c r="U222" s="10">
        <v>0</v>
      </c>
      <c r="V222" s="10">
        <v>0</v>
      </c>
      <c r="W222" s="10">
        <v>0</v>
      </c>
      <c r="X222" s="74">
        <v>0</v>
      </c>
      <c r="Y222" s="74">
        <v>0</v>
      </c>
      <c r="Z222" s="74">
        <v>0</v>
      </c>
      <c r="AA222" s="74">
        <v>0</v>
      </c>
      <c r="AB222" s="74">
        <v>0</v>
      </c>
      <c r="AC222" s="74">
        <v>0</v>
      </c>
      <c r="AD222" s="74">
        <v>0</v>
      </c>
      <c r="AE222" s="74">
        <v>0</v>
      </c>
      <c r="AF222" s="74">
        <v>0</v>
      </c>
      <c r="AG222" s="90">
        <f t="shared" si="14"/>
        <v>1</v>
      </c>
      <c r="AH222" s="90">
        <f t="shared" si="16"/>
        <v>1</v>
      </c>
      <c r="AI222" s="90">
        <f t="shared" si="15"/>
        <v>0</v>
      </c>
    </row>
    <row r="223" spans="1:35" s="104" customFormat="1" x14ac:dyDescent="0.35">
      <c r="A223" s="93"/>
      <c r="B223" s="95"/>
      <c r="C223" s="96">
        <v>45968</v>
      </c>
      <c r="D223" s="97">
        <v>18</v>
      </c>
      <c r="E223" s="97" t="s">
        <v>319</v>
      </c>
      <c r="F223" s="10">
        <v>0</v>
      </c>
      <c r="G223" s="10">
        <v>0</v>
      </c>
      <c r="H223" s="10">
        <v>0</v>
      </c>
      <c r="I223" s="10">
        <v>0</v>
      </c>
      <c r="J223" s="74">
        <v>0</v>
      </c>
      <c r="K223" s="74">
        <v>0</v>
      </c>
      <c r="L223" s="74">
        <v>0</v>
      </c>
      <c r="M223" s="74">
        <v>0</v>
      </c>
      <c r="N223" s="74">
        <v>0</v>
      </c>
      <c r="O223" s="74">
        <v>0</v>
      </c>
      <c r="P223" s="74">
        <v>0</v>
      </c>
      <c r="Q223" s="74">
        <v>0</v>
      </c>
      <c r="R223" s="74">
        <v>0</v>
      </c>
      <c r="S223" s="97" t="s">
        <v>582</v>
      </c>
      <c r="T223" s="10">
        <v>0</v>
      </c>
      <c r="U223" s="10">
        <v>0</v>
      </c>
      <c r="V223" s="10">
        <v>0</v>
      </c>
      <c r="W223" s="10">
        <v>0</v>
      </c>
      <c r="X223" s="74">
        <v>0</v>
      </c>
      <c r="Y223" s="74">
        <v>0</v>
      </c>
      <c r="Z223" s="74">
        <v>0</v>
      </c>
      <c r="AA223" s="74">
        <v>0</v>
      </c>
      <c r="AB223" s="74">
        <v>0</v>
      </c>
      <c r="AC223" s="74">
        <v>0</v>
      </c>
      <c r="AD223" s="74">
        <v>0</v>
      </c>
      <c r="AE223" s="74">
        <v>0</v>
      </c>
      <c r="AF223" s="74">
        <v>0</v>
      </c>
      <c r="AG223" s="90">
        <f t="shared" si="14"/>
        <v>0</v>
      </c>
      <c r="AH223" s="90">
        <f t="shared" si="16"/>
        <v>0</v>
      </c>
      <c r="AI223" s="90">
        <f t="shared" si="15"/>
        <v>0</v>
      </c>
    </row>
    <row r="224" spans="1:35" x14ac:dyDescent="0.5">
      <c r="AG224" s="90"/>
      <c r="AH224" s="90"/>
      <c r="AI224" s="90"/>
    </row>
    <row r="225" spans="1:35" x14ac:dyDescent="0.35">
      <c r="A225" s="93">
        <v>17</v>
      </c>
      <c r="B225" s="95" t="s">
        <v>257</v>
      </c>
      <c r="C225" s="96">
        <v>45930</v>
      </c>
      <c r="D225" s="97" t="s">
        <v>55</v>
      </c>
      <c r="E225" s="97" t="s">
        <v>55</v>
      </c>
      <c r="F225" s="10">
        <v>0</v>
      </c>
      <c r="G225" s="10">
        <v>0</v>
      </c>
      <c r="H225" s="10">
        <v>0</v>
      </c>
      <c r="I225" s="10">
        <v>0</v>
      </c>
      <c r="J225" s="74">
        <v>0</v>
      </c>
      <c r="K225" s="74">
        <v>0</v>
      </c>
      <c r="L225" s="74">
        <v>0</v>
      </c>
      <c r="M225" s="74">
        <v>0</v>
      </c>
      <c r="N225" s="74">
        <v>0</v>
      </c>
      <c r="O225" s="74">
        <v>0</v>
      </c>
      <c r="P225" s="74">
        <v>0</v>
      </c>
      <c r="Q225" s="74">
        <v>0</v>
      </c>
      <c r="R225" s="74">
        <v>0</v>
      </c>
      <c r="S225" s="97" t="s">
        <v>55</v>
      </c>
      <c r="T225" s="10">
        <v>0</v>
      </c>
      <c r="U225" s="10">
        <v>0</v>
      </c>
      <c r="V225" s="10">
        <v>0</v>
      </c>
      <c r="W225" s="10">
        <v>0</v>
      </c>
      <c r="X225" s="74">
        <v>0</v>
      </c>
      <c r="Y225" s="74">
        <v>0</v>
      </c>
      <c r="Z225" s="74">
        <v>0</v>
      </c>
      <c r="AA225" s="74">
        <v>0</v>
      </c>
      <c r="AB225" s="74">
        <v>0</v>
      </c>
      <c r="AC225" s="74">
        <v>0</v>
      </c>
      <c r="AD225" s="74">
        <v>0</v>
      </c>
      <c r="AE225" s="74">
        <v>0</v>
      </c>
      <c r="AF225" s="74">
        <v>0</v>
      </c>
      <c r="AG225" s="90">
        <f t="shared" si="14"/>
        <v>0</v>
      </c>
      <c r="AH225" s="90">
        <f t="shared" si="16"/>
        <v>0</v>
      </c>
      <c r="AI225" s="90">
        <f t="shared" si="15"/>
        <v>0</v>
      </c>
    </row>
    <row r="226" spans="1:35" x14ac:dyDescent="0.5">
      <c r="C226" s="96">
        <v>45936</v>
      </c>
      <c r="D226" s="97" t="s">
        <v>55</v>
      </c>
      <c r="E226" s="97" t="s">
        <v>55</v>
      </c>
      <c r="F226" s="10">
        <v>0</v>
      </c>
      <c r="G226" s="10">
        <v>0</v>
      </c>
      <c r="H226" s="10">
        <v>0</v>
      </c>
      <c r="I226" s="10">
        <v>0</v>
      </c>
      <c r="J226" s="74">
        <v>0</v>
      </c>
      <c r="K226" s="74">
        <v>0</v>
      </c>
      <c r="L226" s="74">
        <v>0</v>
      </c>
      <c r="M226" s="74">
        <v>0</v>
      </c>
      <c r="N226" s="74">
        <v>0</v>
      </c>
      <c r="O226" s="74">
        <v>0</v>
      </c>
      <c r="P226" s="74">
        <v>0</v>
      </c>
      <c r="Q226" s="74">
        <v>0</v>
      </c>
      <c r="R226" s="74">
        <v>0</v>
      </c>
      <c r="S226" s="97" t="s">
        <v>55</v>
      </c>
      <c r="T226" s="10">
        <v>0</v>
      </c>
      <c r="U226" s="10">
        <v>0</v>
      </c>
      <c r="V226" s="10">
        <v>0</v>
      </c>
      <c r="W226" s="10">
        <v>0</v>
      </c>
      <c r="X226" s="74">
        <v>0</v>
      </c>
      <c r="Y226" s="74">
        <v>0</v>
      </c>
      <c r="Z226" s="74">
        <v>0</v>
      </c>
      <c r="AA226" s="74">
        <v>0</v>
      </c>
      <c r="AB226" s="74">
        <v>0</v>
      </c>
      <c r="AC226" s="74">
        <v>0</v>
      </c>
      <c r="AD226" s="74">
        <v>0</v>
      </c>
      <c r="AE226" s="74">
        <v>0</v>
      </c>
      <c r="AF226" s="74">
        <v>0</v>
      </c>
      <c r="AG226" s="90">
        <f t="shared" si="14"/>
        <v>0</v>
      </c>
      <c r="AH226" s="90">
        <f t="shared" si="16"/>
        <v>0</v>
      </c>
      <c r="AI226" s="90">
        <f t="shared" si="15"/>
        <v>0</v>
      </c>
    </row>
    <row r="227" spans="1:35" x14ac:dyDescent="0.5">
      <c r="C227" s="96">
        <v>45939</v>
      </c>
      <c r="D227" s="97">
        <v>10</v>
      </c>
      <c r="E227" s="97" t="s">
        <v>308</v>
      </c>
      <c r="F227" s="10">
        <v>2</v>
      </c>
      <c r="G227" s="10">
        <v>3</v>
      </c>
      <c r="H227" s="10">
        <v>0</v>
      </c>
      <c r="I227" s="10">
        <v>1</v>
      </c>
      <c r="J227" s="74">
        <v>0</v>
      </c>
      <c r="K227" s="74">
        <v>0</v>
      </c>
      <c r="L227" s="74">
        <v>0</v>
      </c>
      <c r="M227" s="74">
        <v>0</v>
      </c>
      <c r="N227" s="74">
        <v>0</v>
      </c>
      <c r="O227" s="74">
        <v>0</v>
      </c>
      <c r="P227" s="74">
        <v>0</v>
      </c>
      <c r="Q227" s="74">
        <v>0</v>
      </c>
      <c r="R227" s="74">
        <v>0</v>
      </c>
      <c r="S227" s="97" t="s">
        <v>285</v>
      </c>
      <c r="T227" s="10">
        <v>1</v>
      </c>
      <c r="U227" s="10">
        <v>1</v>
      </c>
      <c r="V227" s="10">
        <v>0</v>
      </c>
      <c r="W227" s="10">
        <v>0</v>
      </c>
      <c r="X227" s="74">
        <v>0</v>
      </c>
      <c r="Y227" s="74">
        <v>1</v>
      </c>
      <c r="Z227" s="74">
        <v>0</v>
      </c>
      <c r="AA227" s="74">
        <v>0</v>
      </c>
      <c r="AB227" s="74">
        <v>0</v>
      </c>
      <c r="AC227" s="74">
        <v>0</v>
      </c>
      <c r="AD227" s="74">
        <v>0</v>
      </c>
      <c r="AE227" s="74">
        <v>0</v>
      </c>
      <c r="AF227" s="74">
        <v>0</v>
      </c>
      <c r="AG227" s="90">
        <f t="shared" si="14"/>
        <v>9</v>
      </c>
      <c r="AH227" s="90">
        <f t="shared" si="16"/>
        <v>8</v>
      </c>
      <c r="AI227" s="90">
        <f t="shared" si="15"/>
        <v>1</v>
      </c>
    </row>
    <row r="228" spans="1:35" x14ac:dyDescent="0.5">
      <c r="C228" s="96">
        <v>45944</v>
      </c>
      <c r="D228" s="97">
        <v>10</v>
      </c>
      <c r="E228" s="97" t="s">
        <v>135</v>
      </c>
      <c r="F228" s="10">
        <v>0</v>
      </c>
      <c r="G228" s="10">
        <v>4</v>
      </c>
      <c r="H228" s="10">
        <v>0</v>
      </c>
      <c r="I228" s="10">
        <v>0</v>
      </c>
      <c r="J228" s="74">
        <v>0</v>
      </c>
      <c r="K228" s="74">
        <v>0</v>
      </c>
      <c r="L228" s="74">
        <v>0</v>
      </c>
      <c r="M228" s="74">
        <v>0</v>
      </c>
      <c r="N228" s="74">
        <v>0</v>
      </c>
      <c r="O228" s="74">
        <v>0</v>
      </c>
      <c r="P228" s="74">
        <v>0</v>
      </c>
      <c r="Q228" s="74">
        <v>0</v>
      </c>
      <c r="R228" s="74">
        <v>0</v>
      </c>
      <c r="S228" s="97" t="s">
        <v>336</v>
      </c>
      <c r="T228" s="10">
        <v>0</v>
      </c>
      <c r="U228" s="10">
        <v>2</v>
      </c>
      <c r="V228" s="10">
        <v>0</v>
      </c>
      <c r="W228" s="10">
        <v>2</v>
      </c>
      <c r="X228" s="74">
        <v>0</v>
      </c>
      <c r="Y228" s="74">
        <v>0</v>
      </c>
      <c r="Z228" s="74">
        <v>0</v>
      </c>
      <c r="AA228" s="74">
        <v>0</v>
      </c>
      <c r="AB228" s="74">
        <v>0</v>
      </c>
      <c r="AC228" s="74">
        <v>2</v>
      </c>
      <c r="AD228" s="74">
        <v>0</v>
      </c>
      <c r="AE228" s="74">
        <v>0</v>
      </c>
      <c r="AF228" s="74">
        <v>0</v>
      </c>
      <c r="AG228" s="90">
        <f t="shared" si="14"/>
        <v>10</v>
      </c>
      <c r="AH228" s="90">
        <f t="shared" si="16"/>
        <v>8</v>
      </c>
      <c r="AI228" s="90">
        <f t="shared" si="15"/>
        <v>2</v>
      </c>
    </row>
    <row r="229" spans="1:35" x14ac:dyDescent="0.5">
      <c r="C229" s="96">
        <v>45947</v>
      </c>
      <c r="D229" s="97">
        <v>10</v>
      </c>
      <c r="E229" s="97" t="s">
        <v>393</v>
      </c>
      <c r="F229" s="10">
        <v>2</v>
      </c>
      <c r="G229" s="10">
        <v>0</v>
      </c>
      <c r="H229" s="10">
        <v>0</v>
      </c>
      <c r="I229" s="10">
        <v>0</v>
      </c>
      <c r="J229" s="74">
        <v>0</v>
      </c>
      <c r="K229" s="74">
        <v>1</v>
      </c>
      <c r="L229" s="74">
        <v>0</v>
      </c>
      <c r="M229" s="74">
        <v>1</v>
      </c>
      <c r="N229" s="74">
        <v>0</v>
      </c>
      <c r="O229" s="74">
        <v>0</v>
      </c>
      <c r="P229" s="74">
        <v>0</v>
      </c>
      <c r="Q229" s="74">
        <v>0</v>
      </c>
      <c r="R229" s="74">
        <v>0</v>
      </c>
      <c r="S229" s="97" t="s">
        <v>86</v>
      </c>
      <c r="T229" s="10">
        <v>0</v>
      </c>
      <c r="U229" s="10">
        <v>2</v>
      </c>
      <c r="V229" s="10">
        <v>0</v>
      </c>
      <c r="W229" s="10">
        <v>0</v>
      </c>
      <c r="X229" s="74">
        <v>0</v>
      </c>
      <c r="Y229" s="74">
        <v>1</v>
      </c>
      <c r="Z229" s="74">
        <v>0</v>
      </c>
      <c r="AA229" s="74">
        <v>0</v>
      </c>
      <c r="AB229" s="74">
        <v>0</v>
      </c>
      <c r="AC229" s="74">
        <v>0</v>
      </c>
      <c r="AD229" s="74">
        <v>0</v>
      </c>
      <c r="AE229" s="74">
        <v>0</v>
      </c>
      <c r="AF229" s="74">
        <v>0</v>
      </c>
      <c r="AG229" s="90">
        <f t="shared" si="14"/>
        <v>7</v>
      </c>
      <c r="AH229" s="90">
        <f t="shared" si="16"/>
        <v>4</v>
      </c>
      <c r="AI229" s="90">
        <f t="shared" si="15"/>
        <v>3</v>
      </c>
    </row>
    <row r="230" spans="1:35" x14ac:dyDescent="0.5">
      <c r="C230" s="96">
        <v>45951</v>
      </c>
      <c r="D230" s="97">
        <v>10</v>
      </c>
      <c r="E230" s="97" t="s">
        <v>405</v>
      </c>
      <c r="F230" s="10">
        <v>3</v>
      </c>
      <c r="G230" s="10">
        <v>0</v>
      </c>
      <c r="H230" s="10">
        <v>2</v>
      </c>
      <c r="I230" s="10">
        <v>0</v>
      </c>
      <c r="J230" s="74">
        <v>0</v>
      </c>
      <c r="K230" s="74">
        <v>0</v>
      </c>
      <c r="L230" s="74">
        <v>0</v>
      </c>
      <c r="M230" s="74">
        <v>0</v>
      </c>
      <c r="N230" s="74">
        <v>0</v>
      </c>
      <c r="O230" s="74">
        <v>0</v>
      </c>
      <c r="P230" s="74">
        <v>0</v>
      </c>
      <c r="Q230" s="74">
        <v>0</v>
      </c>
      <c r="R230" s="74">
        <v>0</v>
      </c>
      <c r="S230" s="97" t="s">
        <v>404</v>
      </c>
      <c r="T230" s="10">
        <v>6</v>
      </c>
      <c r="U230" s="10">
        <v>2</v>
      </c>
      <c r="V230" s="10">
        <v>0</v>
      </c>
      <c r="W230" s="10">
        <v>0</v>
      </c>
      <c r="X230" s="74">
        <v>0</v>
      </c>
      <c r="Y230" s="74">
        <v>0</v>
      </c>
      <c r="Z230" s="74">
        <v>0</v>
      </c>
      <c r="AA230" s="74">
        <v>1</v>
      </c>
      <c r="AB230" s="74">
        <v>0</v>
      </c>
      <c r="AC230" s="74">
        <v>1</v>
      </c>
      <c r="AD230" s="74">
        <v>0</v>
      </c>
      <c r="AE230" s="74">
        <v>0</v>
      </c>
      <c r="AF230" s="74">
        <v>0</v>
      </c>
      <c r="AG230" s="90">
        <f t="shared" si="14"/>
        <v>15</v>
      </c>
      <c r="AH230" s="90">
        <f t="shared" si="16"/>
        <v>13</v>
      </c>
      <c r="AI230" s="90">
        <f t="shared" si="15"/>
        <v>2</v>
      </c>
    </row>
    <row r="231" spans="1:35" x14ac:dyDescent="0.5">
      <c r="C231" s="96">
        <v>45954</v>
      </c>
      <c r="D231" s="97">
        <v>10</v>
      </c>
      <c r="E231" s="97" t="s">
        <v>98</v>
      </c>
      <c r="F231" s="10">
        <v>4</v>
      </c>
      <c r="G231" s="10">
        <v>0</v>
      </c>
      <c r="H231" s="10">
        <v>0</v>
      </c>
      <c r="I231" s="10">
        <v>0</v>
      </c>
      <c r="J231" s="74">
        <v>0</v>
      </c>
      <c r="K231" s="74">
        <v>0</v>
      </c>
      <c r="L231" s="74">
        <v>0</v>
      </c>
      <c r="M231" s="74">
        <v>0</v>
      </c>
      <c r="N231" s="74">
        <v>0</v>
      </c>
      <c r="O231" s="74">
        <v>0</v>
      </c>
      <c r="P231" s="74">
        <v>0</v>
      </c>
      <c r="Q231" s="74">
        <v>0</v>
      </c>
      <c r="R231" s="74">
        <v>0</v>
      </c>
      <c r="S231" s="97" t="s">
        <v>443</v>
      </c>
      <c r="T231" s="10">
        <v>10</v>
      </c>
      <c r="U231" s="10">
        <v>0</v>
      </c>
      <c r="V231" s="10">
        <v>0</v>
      </c>
      <c r="W231" s="10">
        <v>0</v>
      </c>
      <c r="X231" s="74">
        <v>0</v>
      </c>
      <c r="Y231" s="74">
        <v>0</v>
      </c>
      <c r="Z231" s="74">
        <v>0</v>
      </c>
      <c r="AA231" s="74">
        <v>0</v>
      </c>
      <c r="AB231" s="74">
        <v>0</v>
      </c>
      <c r="AC231" s="74">
        <v>0</v>
      </c>
      <c r="AD231" s="74">
        <v>0</v>
      </c>
      <c r="AE231" s="74">
        <v>1</v>
      </c>
      <c r="AF231" s="74">
        <v>1</v>
      </c>
      <c r="AG231" s="90">
        <f t="shared" si="14"/>
        <v>16</v>
      </c>
      <c r="AH231" s="90">
        <f t="shared" si="16"/>
        <v>14</v>
      </c>
      <c r="AI231" s="90">
        <f t="shared" si="15"/>
        <v>2</v>
      </c>
    </row>
    <row r="232" spans="1:35" s="104" customFormat="1" ht="29" x14ac:dyDescent="0.35">
      <c r="A232" s="93"/>
      <c r="B232" s="95"/>
      <c r="C232" s="96">
        <v>45958</v>
      </c>
      <c r="D232" s="97">
        <v>10</v>
      </c>
      <c r="E232" s="97" t="s">
        <v>87</v>
      </c>
      <c r="F232" s="10">
        <v>3</v>
      </c>
      <c r="G232" s="10">
        <v>0</v>
      </c>
      <c r="H232" s="10">
        <v>0</v>
      </c>
      <c r="I232" s="10">
        <v>1</v>
      </c>
      <c r="J232" s="74">
        <v>0</v>
      </c>
      <c r="K232" s="74">
        <v>0</v>
      </c>
      <c r="L232" s="74">
        <v>0</v>
      </c>
      <c r="M232" s="74">
        <v>0</v>
      </c>
      <c r="N232" s="74">
        <v>0</v>
      </c>
      <c r="O232" s="74">
        <v>0</v>
      </c>
      <c r="P232" s="74">
        <v>0</v>
      </c>
      <c r="Q232" s="74">
        <v>0</v>
      </c>
      <c r="R232" s="74">
        <v>0</v>
      </c>
      <c r="S232" s="99" t="s">
        <v>466</v>
      </c>
      <c r="T232" s="10">
        <v>3</v>
      </c>
      <c r="U232" s="10">
        <v>0</v>
      </c>
      <c r="V232" s="10">
        <v>0</v>
      </c>
      <c r="W232" s="10">
        <v>0</v>
      </c>
      <c r="X232" s="74">
        <v>1</v>
      </c>
      <c r="Y232" s="74">
        <v>0</v>
      </c>
      <c r="Z232" s="74">
        <v>0</v>
      </c>
      <c r="AA232" s="74">
        <v>1</v>
      </c>
      <c r="AB232" s="74">
        <v>0</v>
      </c>
      <c r="AC232" s="74">
        <v>0</v>
      </c>
      <c r="AD232" s="74">
        <v>0</v>
      </c>
      <c r="AE232" s="74">
        <v>0</v>
      </c>
      <c r="AF232" s="74">
        <v>0</v>
      </c>
      <c r="AG232" s="90">
        <f t="shared" si="14"/>
        <v>9</v>
      </c>
      <c r="AH232" s="90">
        <f t="shared" si="16"/>
        <v>7</v>
      </c>
      <c r="AI232" s="90">
        <f t="shared" si="15"/>
        <v>2</v>
      </c>
    </row>
    <row r="233" spans="1:35" s="104" customFormat="1" ht="29" x14ac:dyDescent="0.35">
      <c r="A233" s="93"/>
      <c r="B233" s="95"/>
      <c r="C233" s="96">
        <v>45961</v>
      </c>
      <c r="D233" s="97">
        <v>10</v>
      </c>
      <c r="E233" s="97" t="s">
        <v>521</v>
      </c>
      <c r="F233" s="10">
        <v>1</v>
      </c>
      <c r="G233" s="10">
        <v>3</v>
      </c>
      <c r="H233" s="10">
        <v>0</v>
      </c>
      <c r="I233" s="10">
        <v>0</v>
      </c>
      <c r="J233" s="74">
        <v>0</v>
      </c>
      <c r="K233" s="74">
        <v>0</v>
      </c>
      <c r="L233" s="74">
        <v>0</v>
      </c>
      <c r="M233" s="74">
        <v>0</v>
      </c>
      <c r="N233" s="74">
        <v>0</v>
      </c>
      <c r="O233" s="74">
        <v>0</v>
      </c>
      <c r="P233" s="74">
        <v>0</v>
      </c>
      <c r="Q233" s="74">
        <v>0</v>
      </c>
      <c r="R233" s="74">
        <v>0</v>
      </c>
      <c r="S233" s="99" t="s">
        <v>545</v>
      </c>
      <c r="T233" s="10">
        <v>2</v>
      </c>
      <c r="U233" s="10">
        <v>0</v>
      </c>
      <c r="V233" s="10">
        <v>0</v>
      </c>
      <c r="W233" s="10">
        <v>1</v>
      </c>
      <c r="X233" s="74">
        <v>0</v>
      </c>
      <c r="Y233" s="74">
        <v>1</v>
      </c>
      <c r="Z233" s="74">
        <v>0</v>
      </c>
      <c r="AA233" s="74">
        <v>1</v>
      </c>
      <c r="AB233" s="74">
        <v>0</v>
      </c>
      <c r="AC233" s="74">
        <v>0</v>
      </c>
      <c r="AD233" s="74">
        <v>0</v>
      </c>
      <c r="AE233" s="74">
        <v>0</v>
      </c>
      <c r="AF233" s="74">
        <v>0</v>
      </c>
      <c r="AG233" s="90">
        <f t="shared" si="14"/>
        <v>9</v>
      </c>
      <c r="AH233" s="90">
        <f t="shared" si="16"/>
        <v>7</v>
      </c>
      <c r="AI233" s="90">
        <f t="shared" si="15"/>
        <v>2</v>
      </c>
    </row>
    <row r="234" spans="1:35" x14ac:dyDescent="0.5">
      <c r="AG234" s="90"/>
      <c r="AH234" s="90"/>
      <c r="AI234" s="90"/>
    </row>
    <row r="235" spans="1:35" x14ac:dyDescent="0.35">
      <c r="A235" s="93">
        <v>18</v>
      </c>
      <c r="B235" s="95" t="s">
        <v>256</v>
      </c>
      <c r="C235" s="96">
        <v>45936</v>
      </c>
      <c r="D235" s="97" t="s">
        <v>55</v>
      </c>
      <c r="E235" s="97" t="s">
        <v>55</v>
      </c>
      <c r="F235" s="10">
        <v>0</v>
      </c>
      <c r="G235" s="10">
        <v>0</v>
      </c>
      <c r="H235" s="10">
        <v>0</v>
      </c>
      <c r="I235" s="10">
        <v>0</v>
      </c>
      <c r="J235" s="74">
        <v>0</v>
      </c>
      <c r="K235" s="74">
        <v>0</v>
      </c>
      <c r="L235" s="74">
        <v>0</v>
      </c>
      <c r="M235" s="74">
        <v>0</v>
      </c>
      <c r="N235" s="74">
        <v>0</v>
      </c>
      <c r="O235" s="74">
        <v>0</v>
      </c>
      <c r="P235" s="74">
        <v>0</v>
      </c>
      <c r="Q235" s="74">
        <v>0</v>
      </c>
      <c r="R235" s="74">
        <v>0</v>
      </c>
      <c r="S235" s="97" t="s">
        <v>55</v>
      </c>
      <c r="T235" s="10">
        <v>0</v>
      </c>
      <c r="U235" s="10">
        <v>0</v>
      </c>
      <c r="V235" s="10">
        <v>0</v>
      </c>
      <c r="W235" s="10">
        <v>0</v>
      </c>
      <c r="X235" s="74">
        <v>0</v>
      </c>
      <c r="Y235" s="74">
        <v>0</v>
      </c>
      <c r="Z235" s="74">
        <v>0</v>
      </c>
      <c r="AA235" s="74">
        <v>0</v>
      </c>
      <c r="AB235" s="74">
        <v>0</v>
      </c>
      <c r="AC235" s="74">
        <v>0</v>
      </c>
      <c r="AD235" s="74">
        <v>0</v>
      </c>
      <c r="AE235" s="74">
        <v>0</v>
      </c>
      <c r="AF235" s="74">
        <v>0</v>
      </c>
      <c r="AG235" s="90">
        <f t="shared" si="14"/>
        <v>0</v>
      </c>
      <c r="AH235" s="90">
        <f t="shared" si="16"/>
        <v>0</v>
      </c>
      <c r="AI235" s="90">
        <f t="shared" si="15"/>
        <v>0</v>
      </c>
    </row>
    <row r="236" spans="1:35" x14ac:dyDescent="0.5">
      <c r="C236" s="96">
        <v>45939</v>
      </c>
      <c r="D236" s="97">
        <v>9</v>
      </c>
      <c r="E236" s="97" t="s">
        <v>131</v>
      </c>
      <c r="F236" s="10">
        <v>3</v>
      </c>
      <c r="G236" s="10">
        <v>1</v>
      </c>
      <c r="H236" s="10">
        <v>0</v>
      </c>
      <c r="I236" s="10">
        <v>0</v>
      </c>
      <c r="J236" s="74">
        <v>0</v>
      </c>
      <c r="K236" s="74">
        <v>0</v>
      </c>
      <c r="L236" s="74">
        <v>0</v>
      </c>
      <c r="M236" s="74">
        <v>0</v>
      </c>
      <c r="N236" s="74">
        <v>0</v>
      </c>
      <c r="O236" s="74">
        <v>0</v>
      </c>
      <c r="P236" s="74">
        <v>0</v>
      </c>
      <c r="Q236" s="74">
        <v>0</v>
      </c>
      <c r="R236" s="74">
        <v>0</v>
      </c>
      <c r="S236" s="97" t="s">
        <v>322</v>
      </c>
      <c r="T236" s="10">
        <v>3</v>
      </c>
      <c r="U236" s="10">
        <v>1</v>
      </c>
      <c r="V236" s="10">
        <v>0</v>
      </c>
      <c r="W236" s="10">
        <v>0</v>
      </c>
      <c r="X236" s="74">
        <v>0</v>
      </c>
      <c r="Y236" s="74">
        <v>0</v>
      </c>
      <c r="Z236" s="74">
        <v>0</v>
      </c>
      <c r="AA236" s="74">
        <v>0</v>
      </c>
      <c r="AB236" s="74">
        <v>0</v>
      </c>
      <c r="AC236" s="74">
        <v>0</v>
      </c>
      <c r="AD236" s="74">
        <v>1</v>
      </c>
      <c r="AE236" s="74">
        <v>0</v>
      </c>
      <c r="AF236" s="74">
        <v>0</v>
      </c>
      <c r="AG236" s="90">
        <f t="shared" si="14"/>
        <v>9</v>
      </c>
      <c r="AH236" s="90">
        <f t="shared" si="16"/>
        <v>8</v>
      </c>
      <c r="AI236" s="90">
        <f t="shared" si="15"/>
        <v>1</v>
      </c>
    </row>
    <row r="237" spans="1:35" x14ac:dyDescent="0.5">
      <c r="C237" s="96">
        <v>45944</v>
      </c>
      <c r="D237" s="97">
        <v>9</v>
      </c>
      <c r="E237" s="97" t="s">
        <v>301</v>
      </c>
      <c r="F237" s="10">
        <v>0</v>
      </c>
      <c r="G237" s="10">
        <v>0</v>
      </c>
      <c r="H237" s="10">
        <v>0</v>
      </c>
      <c r="I237" s="10">
        <v>0</v>
      </c>
      <c r="J237" s="74">
        <v>0</v>
      </c>
      <c r="K237" s="74">
        <v>1</v>
      </c>
      <c r="L237" s="74">
        <v>0</v>
      </c>
      <c r="M237" s="74">
        <v>0</v>
      </c>
      <c r="N237" s="74">
        <v>0</v>
      </c>
      <c r="O237" s="74">
        <v>0</v>
      </c>
      <c r="P237" s="74">
        <v>0</v>
      </c>
      <c r="Q237" s="74">
        <v>0</v>
      </c>
      <c r="R237" s="74">
        <v>0</v>
      </c>
      <c r="S237" s="97" t="s">
        <v>352</v>
      </c>
      <c r="T237" s="10">
        <v>0</v>
      </c>
      <c r="U237" s="10">
        <v>1</v>
      </c>
      <c r="V237" s="10">
        <v>0</v>
      </c>
      <c r="W237" s="10">
        <v>0</v>
      </c>
      <c r="X237" s="74">
        <v>0</v>
      </c>
      <c r="Y237" s="74">
        <v>0</v>
      </c>
      <c r="Z237" s="74">
        <v>0</v>
      </c>
      <c r="AA237" s="74">
        <v>1</v>
      </c>
      <c r="AB237" s="74">
        <v>0</v>
      </c>
      <c r="AC237" s="74">
        <v>0</v>
      </c>
      <c r="AD237" s="74">
        <v>0</v>
      </c>
      <c r="AE237" s="74">
        <v>0</v>
      </c>
      <c r="AF237" s="74">
        <v>0</v>
      </c>
      <c r="AG237" s="90">
        <f t="shared" si="14"/>
        <v>3</v>
      </c>
      <c r="AH237" s="90">
        <f t="shared" si="16"/>
        <v>1</v>
      </c>
      <c r="AI237" s="90">
        <f t="shared" si="15"/>
        <v>2</v>
      </c>
    </row>
    <row r="238" spans="1:35" x14ac:dyDescent="0.5">
      <c r="C238" s="96">
        <v>45947</v>
      </c>
      <c r="D238" s="97">
        <v>9</v>
      </c>
      <c r="E238" s="97" t="s">
        <v>131</v>
      </c>
      <c r="F238" s="10">
        <v>3</v>
      </c>
      <c r="G238" s="10">
        <v>1</v>
      </c>
      <c r="H238" s="10">
        <v>0</v>
      </c>
      <c r="I238" s="10">
        <v>0</v>
      </c>
      <c r="J238" s="74">
        <v>0</v>
      </c>
      <c r="K238" s="74">
        <v>0</v>
      </c>
      <c r="L238" s="74">
        <v>0</v>
      </c>
      <c r="M238" s="74">
        <v>0</v>
      </c>
      <c r="N238" s="74">
        <v>0</v>
      </c>
      <c r="O238" s="74">
        <v>0</v>
      </c>
      <c r="P238" s="74">
        <v>0</v>
      </c>
      <c r="Q238" s="74">
        <v>0</v>
      </c>
      <c r="R238" s="74">
        <v>0</v>
      </c>
      <c r="S238" s="97" t="s">
        <v>392</v>
      </c>
      <c r="T238" s="10">
        <v>0</v>
      </c>
      <c r="U238" s="10">
        <v>0</v>
      </c>
      <c r="V238" s="10">
        <v>0</v>
      </c>
      <c r="W238" s="10">
        <v>1</v>
      </c>
      <c r="X238" s="74">
        <v>0</v>
      </c>
      <c r="Y238" s="74">
        <v>0</v>
      </c>
      <c r="Z238" s="74">
        <v>0</v>
      </c>
      <c r="AA238" s="74">
        <v>0</v>
      </c>
      <c r="AB238" s="74">
        <v>0</v>
      </c>
      <c r="AC238" s="74">
        <v>2</v>
      </c>
      <c r="AD238" s="74">
        <v>0</v>
      </c>
      <c r="AE238" s="74">
        <v>0</v>
      </c>
      <c r="AF238" s="74">
        <v>0</v>
      </c>
      <c r="AG238" s="90">
        <f t="shared" si="14"/>
        <v>7</v>
      </c>
      <c r="AH238" s="90">
        <f t="shared" si="16"/>
        <v>5</v>
      </c>
      <c r="AI238" s="90">
        <f t="shared" si="15"/>
        <v>2</v>
      </c>
    </row>
    <row r="239" spans="1:35" x14ac:dyDescent="0.5">
      <c r="C239" s="96">
        <v>45951</v>
      </c>
      <c r="D239" s="97">
        <v>9</v>
      </c>
      <c r="E239" s="97" t="s">
        <v>428</v>
      </c>
      <c r="F239" s="10">
        <v>3</v>
      </c>
      <c r="G239" s="10">
        <v>0</v>
      </c>
      <c r="H239" s="10">
        <v>1</v>
      </c>
      <c r="I239" s="10">
        <v>0</v>
      </c>
      <c r="J239" s="74">
        <v>0</v>
      </c>
      <c r="K239" s="74">
        <v>0</v>
      </c>
      <c r="L239" s="74">
        <v>0</v>
      </c>
      <c r="M239" s="74">
        <v>0</v>
      </c>
      <c r="N239" s="74">
        <v>0</v>
      </c>
      <c r="O239" s="74">
        <v>1</v>
      </c>
      <c r="P239" s="74">
        <v>0</v>
      </c>
      <c r="Q239" s="74">
        <v>0</v>
      </c>
      <c r="R239" s="74">
        <v>0</v>
      </c>
      <c r="S239" s="97" t="s">
        <v>429</v>
      </c>
      <c r="T239" s="10">
        <v>3</v>
      </c>
      <c r="U239" s="10">
        <v>1</v>
      </c>
      <c r="V239" s="10">
        <v>0</v>
      </c>
      <c r="W239" s="10">
        <v>0</v>
      </c>
      <c r="X239" s="74">
        <v>1</v>
      </c>
      <c r="Y239" s="74">
        <v>0</v>
      </c>
      <c r="Z239" s="74">
        <v>0</v>
      </c>
      <c r="AA239" s="74">
        <v>0</v>
      </c>
      <c r="AB239" s="74">
        <v>0</v>
      </c>
      <c r="AC239" s="74">
        <v>1</v>
      </c>
      <c r="AD239" s="74">
        <v>0</v>
      </c>
      <c r="AE239" s="74">
        <v>0</v>
      </c>
      <c r="AF239" s="74">
        <v>0</v>
      </c>
      <c r="AG239" s="90">
        <f t="shared" si="14"/>
        <v>11</v>
      </c>
      <c r="AH239" s="90">
        <f t="shared" si="16"/>
        <v>8</v>
      </c>
      <c r="AI239" s="90">
        <f t="shared" si="15"/>
        <v>3</v>
      </c>
    </row>
    <row r="240" spans="1:35" x14ac:dyDescent="0.5">
      <c r="C240" s="96">
        <v>45954</v>
      </c>
      <c r="D240" s="97">
        <v>9</v>
      </c>
      <c r="E240" s="97" t="s">
        <v>448</v>
      </c>
      <c r="F240" s="10">
        <v>2</v>
      </c>
      <c r="G240" s="10">
        <v>0</v>
      </c>
      <c r="H240" s="10">
        <v>0</v>
      </c>
      <c r="I240" s="10">
        <v>0</v>
      </c>
      <c r="J240" s="74">
        <v>0</v>
      </c>
      <c r="K240" s="74">
        <v>0</v>
      </c>
      <c r="L240" s="74">
        <v>0</v>
      </c>
      <c r="M240" s="74">
        <v>0</v>
      </c>
      <c r="N240" s="74">
        <v>0</v>
      </c>
      <c r="O240" s="74">
        <v>0</v>
      </c>
      <c r="P240" s="74">
        <v>1</v>
      </c>
      <c r="Q240" s="74">
        <v>0</v>
      </c>
      <c r="R240" s="74">
        <v>0</v>
      </c>
      <c r="S240" s="97" t="s">
        <v>447</v>
      </c>
      <c r="T240" s="10">
        <v>5</v>
      </c>
      <c r="U240" s="10">
        <v>0</v>
      </c>
      <c r="V240" s="10">
        <v>0</v>
      </c>
      <c r="W240" s="10">
        <v>0</v>
      </c>
      <c r="X240" s="74">
        <v>0</v>
      </c>
      <c r="Y240" s="74">
        <v>0</v>
      </c>
      <c r="Z240" s="74">
        <v>0</v>
      </c>
      <c r="AA240" s="74">
        <v>0</v>
      </c>
      <c r="AB240" s="74">
        <v>0</v>
      </c>
      <c r="AC240" s="74">
        <v>0</v>
      </c>
      <c r="AD240" s="74">
        <v>1</v>
      </c>
      <c r="AE240" s="74">
        <v>0</v>
      </c>
      <c r="AF240" s="74">
        <v>0</v>
      </c>
      <c r="AG240" s="90">
        <f t="shared" si="14"/>
        <v>9</v>
      </c>
      <c r="AH240" s="90">
        <f t="shared" si="16"/>
        <v>7</v>
      </c>
      <c r="AI240" s="90">
        <f t="shared" si="15"/>
        <v>2</v>
      </c>
    </row>
    <row r="241" spans="1:35" s="104" customFormat="1" x14ac:dyDescent="0.35">
      <c r="A241" s="93"/>
      <c r="B241" s="95"/>
      <c r="C241" s="96">
        <v>45958</v>
      </c>
      <c r="D241" s="97">
        <v>9</v>
      </c>
      <c r="E241" s="97" t="s">
        <v>547</v>
      </c>
      <c r="F241" s="10">
        <v>1</v>
      </c>
      <c r="G241" s="10">
        <v>0</v>
      </c>
      <c r="H241" s="10">
        <v>0</v>
      </c>
      <c r="I241" s="10">
        <v>0</v>
      </c>
      <c r="J241" s="74">
        <v>0</v>
      </c>
      <c r="K241" s="74">
        <v>1</v>
      </c>
      <c r="L241" s="74">
        <v>0</v>
      </c>
      <c r="M241" s="74">
        <v>0</v>
      </c>
      <c r="N241" s="74">
        <v>0</v>
      </c>
      <c r="O241" s="74">
        <v>0</v>
      </c>
      <c r="P241" s="74">
        <v>0</v>
      </c>
      <c r="Q241" s="74">
        <v>0</v>
      </c>
      <c r="R241" s="74">
        <v>0</v>
      </c>
      <c r="S241" s="97" t="s">
        <v>467</v>
      </c>
      <c r="T241" s="10">
        <v>1</v>
      </c>
      <c r="U241" s="10">
        <v>0</v>
      </c>
      <c r="V241" s="10">
        <v>0</v>
      </c>
      <c r="W241" s="10">
        <v>1</v>
      </c>
      <c r="X241" s="74">
        <v>0</v>
      </c>
      <c r="Y241" s="74">
        <v>0</v>
      </c>
      <c r="Z241" s="74">
        <v>0</v>
      </c>
      <c r="AA241" s="74">
        <v>0</v>
      </c>
      <c r="AB241" s="74">
        <v>1</v>
      </c>
      <c r="AC241" s="74">
        <v>0</v>
      </c>
      <c r="AD241" s="74">
        <v>0</v>
      </c>
      <c r="AE241" s="74">
        <v>0</v>
      </c>
      <c r="AF241" s="74">
        <v>0</v>
      </c>
      <c r="AG241" s="90">
        <f t="shared" si="14"/>
        <v>5</v>
      </c>
      <c r="AH241" s="90">
        <f t="shared" si="16"/>
        <v>3</v>
      </c>
      <c r="AI241" s="90">
        <f t="shared" si="15"/>
        <v>2</v>
      </c>
    </row>
    <row r="242" spans="1:35" s="104" customFormat="1" x14ac:dyDescent="0.35">
      <c r="A242" s="93"/>
      <c r="B242" s="95"/>
      <c r="C242" s="96">
        <v>45961</v>
      </c>
      <c r="D242" s="97">
        <v>9</v>
      </c>
      <c r="E242" s="97" t="s">
        <v>530</v>
      </c>
      <c r="F242" s="10">
        <v>6</v>
      </c>
      <c r="G242" s="10">
        <v>3</v>
      </c>
      <c r="H242" s="10">
        <v>0</v>
      </c>
      <c r="I242" s="10">
        <v>0</v>
      </c>
      <c r="J242" s="74">
        <v>0</v>
      </c>
      <c r="K242" s="74">
        <v>0</v>
      </c>
      <c r="L242" s="74">
        <v>0</v>
      </c>
      <c r="M242" s="74">
        <v>0</v>
      </c>
      <c r="N242" s="74">
        <v>0</v>
      </c>
      <c r="O242" s="74">
        <v>0</v>
      </c>
      <c r="P242" s="74">
        <v>0</v>
      </c>
      <c r="Q242" s="74">
        <v>0</v>
      </c>
      <c r="R242" s="74">
        <v>0</v>
      </c>
      <c r="S242" s="97" t="s">
        <v>531</v>
      </c>
      <c r="T242" s="10">
        <v>2</v>
      </c>
      <c r="U242" s="10">
        <v>1</v>
      </c>
      <c r="V242" s="10">
        <v>0</v>
      </c>
      <c r="W242" s="10">
        <v>0</v>
      </c>
      <c r="X242" s="74">
        <v>0</v>
      </c>
      <c r="Y242" s="74">
        <v>0</v>
      </c>
      <c r="Z242" s="74">
        <v>0</v>
      </c>
      <c r="AA242" s="74">
        <v>0</v>
      </c>
      <c r="AB242" s="74">
        <v>0</v>
      </c>
      <c r="AC242" s="74">
        <v>0</v>
      </c>
      <c r="AD242" s="74">
        <v>0</v>
      </c>
      <c r="AE242" s="74">
        <v>0</v>
      </c>
      <c r="AF242" s="74">
        <v>0</v>
      </c>
      <c r="AG242" s="90">
        <f t="shared" si="14"/>
        <v>12</v>
      </c>
      <c r="AH242" s="90">
        <f t="shared" si="16"/>
        <v>12</v>
      </c>
      <c r="AI242" s="90">
        <f t="shared" si="15"/>
        <v>0</v>
      </c>
    </row>
    <row r="243" spans="1:35" s="104" customFormat="1" x14ac:dyDescent="0.35">
      <c r="A243" s="93"/>
      <c r="B243" s="95"/>
      <c r="C243" s="96">
        <v>45964</v>
      </c>
      <c r="D243" s="97">
        <v>9</v>
      </c>
      <c r="E243" s="97" t="s">
        <v>185</v>
      </c>
      <c r="F243" s="10">
        <v>0</v>
      </c>
      <c r="G243" s="10">
        <v>0</v>
      </c>
      <c r="H243" s="10">
        <v>0</v>
      </c>
      <c r="I243" s="10">
        <v>0</v>
      </c>
      <c r="J243" s="74">
        <v>0</v>
      </c>
      <c r="K243" s="74">
        <v>0</v>
      </c>
      <c r="L243" s="74">
        <v>0</v>
      </c>
      <c r="M243" s="74">
        <v>0</v>
      </c>
      <c r="N243" s="74">
        <v>0</v>
      </c>
      <c r="O243" s="74">
        <v>0</v>
      </c>
      <c r="P243" s="74">
        <v>0</v>
      </c>
      <c r="Q243" s="74">
        <v>0</v>
      </c>
      <c r="R243" s="74">
        <v>0</v>
      </c>
      <c r="S243" s="97" t="s">
        <v>561</v>
      </c>
      <c r="T243" s="10">
        <v>0</v>
      </c>
      <c r="U243" s="10">
        <v>0</v>
      </c>
      <c r="V243" s="10">
        <v>0</v>
      </c>
      <c r="W243" s="10">
        <v>0</v>
      </c>
      <c r="X243" s="74">
        <v>0</v>
      </c>
      <c r="Y243" s="74">
        <v>0</v>
      </c>
      <c r="Z243" s="74">
        <v>0</v>
      </c>
      <c r="AA243" s="74">
        <v>2</v>
      </c>
      <c r="AB243" s="74">
        <v>0</v>
      </c>
      <c r="AC243" s="74">
        <v>0</v>
      </c>
      <c r="AD243" s="74">
        <v>0</v>
      </c>
      <c r="AE243" s="74">
        <v>0</v>
      </c>
      <c r="AF243" s="74">
        <v>0</v>
      </c>
      <c r="AG243" s="90">
        <f t="shared" si="14"/>
        <v>2</v>
      </c>
      <c r="AH243" s="90">
        <f t="shared" si="16"/>
        <v>0</v>
      </c>
      <c r="AI243" s="90">
        <f t="shared" si="15"/>
        <v>2</v>
      </c>
    </row>
    <row r="244" spans="1:35" s="104" customFormat="1" x14ac:dyDescent="0.35">
      <c r="A244" s="93"/>
      <c r="B244" s="95"/>
      <c r="C244" s="96">
        <v>45968</v>
      </c>
      <c r="D244" s="97">
        <v>9</v>
      </c>
      <c r="E244" s="97" t="s">
        <v>237</v>
      </c>
      <c r="F244" s="10">
        <v>0</v>
      </c>
      <c r="G244" s="10">
        <v>0</v>
      </c>
      <c r="H244" s="10">
        <v>0</v>
      </c>
      <c r="I244" s="10">
        <v>0</v>
      </c>
      <c r="J244" s="74">
        <v>0</v>
      </c>
      <c r="K244" s="74">
        <v>0</v>
      </c>
      <c r="L244" s="74">
        <v>0</v>
      </c>
      <c r="M244" s="74">
        <v>0</v>
      </c>
      <c r="N244" s="74">
        <v>1</v>
      </c>
      <c r="O244" s="74">
        <v>0</v>
      </c>
      <c r="P244" s="74">
        <v>0</v>
      </c>
      <c r="Q244" s="74">
        <v>0</v>
      </c>
      <c r="R244" s="74">
        <v>0</v>
      </c>
      <c r="S244" s="97" t="s">
        <v>571</v>
      </c>
      <c r="T244" s="10">
        <v>0</v>
      </c>
      <c r="U244" s="10">
        <v>0</v>
      </c>
      <c r="V244" s="10">
        <v>0</v>
      </c>
      <c r="W244" s="10">
        <v>0</v>
      </c>
      <c r="X244" s="74">
        <v>0</v>
      </c>
      <c r="Y244" s="74">
        <v>0</v>
      </c>
      <c r="Z244" s="74">
        <v>0</v>
      </c>
      <c r="AA244" s="74">
        <v>0</v>
      </c>
      <c r="AB244" s="74">
        <v>0</v>
      </c>
      <c r="AC244" s="74">
        <v>0</v>
      </c>
      <c r="AD244" s="74">
        <v>0</v>
      </c>
      <c r="AE244" s="74">
        <v>0</v>
      </c>
      <c r="AF244" s="74">
        <v>0</v>
      </c>
      <c r="AG244" s="90">
        <f t="shared" si="14"/>
        <v>1</v>
      </c>
      <c r="AH244" s="90">
        <f t="shared" si="16"/>
        <v>0</v>
      </c>
      <c r="AI244" s="90">
        <f t="shared" si="15"/>
        <v>1</v>
      </c>
    </row>
    <row r="245" spans="1:35" s="104" customFormat="1" x14ac:dyDescent="0.35">
      <c r="A245" s="93"/>
      <c r="B245" s="95"/>
      <c r="C245" s="97"/>
      <c r="D245" s="97"/>
      <c r="E245" s="97"/>
      <c r="F245" s="10"/>
      <c r="G245" s="10"/>
      <c r="H245" s="10"/>
      <c r="I245" s="10"/>
      <c r="J245" s="74"/>
      <c r="K245" s="74"/>
      <c r="L245" s="74"/>
      <c r="M245" s="74"/>
      <c r="N245" s="74"/>
      <c r="O245" s="74"/>
      <c r="P245" s="74"/>
      <c r="Q245" s="74"/>
      <c r="R245" s="74"/>
      <c r="S245" s="97"/>
      <c r="T245" s="10"/>
      <c r="U245" s="10"/>
      <c r="V245" s="10"/>
      <c r="W245" s="10"/>
      <c r="X245" s="74"/>
      <c r="Y245" s="74"/>
      <c r="Z245" s="74"/>
      <c r="AA245" s="74"/>
      <c r="AB245" s="74"/>
      <c r="AC245" s="74"/>
      <c r="AD245" s="74"/>
      <c r="AE245" s="74"/>
      <c r="AF245" s="74"/>
      <c r="AG245" s="90"/>
      <c r="AH245" s="90"/>
      <c r="AI245" s="90"/>
    </row>
    <row r="246" spans="1:35" x14ac:dyDescent="0.35">
      <c r="A246" s="93">
        <v>19</v>
      </c>
      <c r="B246" s="95" t="s">
        <v>263</v>
      </c>
      <c r="C246" s="96">
        <v>45936</v>
      </c>
      <c r="D246" s="97" t="s">
        <v>55</v>
      </c>
      <c r="E246" s="97" t="s">
        <v>55</v>
      </c>
      <c r="F246" s="10">
        <v>0</v>
      </c>
      <c r="G246" s="10">
        <v>0</v>
      </c>
      <c r="H246" s="10">
        <v>0</v>
      </c>
      <c r="I246" s="10">
        <v>0</v>
      </c>
      <c r="J246" s="74">
        <v>0</v>
      </c>
      <c r="K246" s="74">
        <v>0</v>
      </c>
      <c r="L246" s="74">
        <v>0</v>
      </c>
      <c r="M246" s="74">
        <v>0</v>
      </c>
      <c r="N246" s="74">
        <v>0</v>
      </c>
      <c r="O246" s="74">
        <v>0</v>
      </c>
      <c r="P246" s="74">
        <v>0</v>
      </c>
      <c r="Q246" s="74">
        <v>0</v>
      </c>
      <c r="R246" s="74">
        <v>0</v>
      </c>
      <c r="S246" s="97" t="s">
        <v>55</v>
      </c>
      <c r="T246" s="10">
        <v>0</v>
      </c>
      <c r="U246" s="10">
        <v>0</v>
      </c>
      <c r="V246" s="10">
        <v>0</v>
      </c>
      <c r="W246" s="10">
        <v>0</v>
      </c>
      <c r="X246" s="74">
        <v>0</v>
      </c>
      <c r="Y246" s="74">
        <v>0</v>
      </c>
      <c r="Z246" s="74">
        <v>0</v>
      </c>
      <c r="AA246" s="74">
        <v>0</v>
      </c>
      <c r="AB246" s="74">
        <v>0</v>
      </c>
      <c r="AC246" s="74">
        <v>0</v>
      </c>
      <c r="AD246" s="74">
        <v>0</v>
      </c>
      <c r="AE246" s="74">
        <v>0</v>
      </c>
      <c r="AF246" s="74">
        <v>0</v>
      </c>
      <c r="AG246" s="90">
        <f t="shared" si="14"/>
        <v>0</v>
      </c>
      <c r="AH246" s="90">
        <f t="shared" si="16"/>
        <v>0</v>
      </c>
      <c r="AI246" s="90">
        <f t="shared" si="15"/>
        <v>0</v>
      </c>
    </row>
    <row r="247" spans="1:35" x14ac:dyDescent="0.5">
      <c r="C247" s="96">
        <v>45939</v>
      </c>
      <c r="D247" s="97">
        <v>7</v>
      </c>
      <c r="E247" s="97" t="s">
        <v>55</v>
      </c>
      <c r="F247" s="10">
        <v>0</v>
      </c>
      <c r="G247" s="10">
        <v>0</v>
      </c>
      <c r="H247" s="10">
        <v>0</v>
      </c>
      <c r="I247" s="10">
        <v>0</v>
      </c>
      <c r="J247" s="74">
        <v>0</v>
      </c>
      <c r="K247" s="74">
        <v>0</v>
      </c>
      <c r="L247" s="74">
        <v>0</v>
      </c>
      <c r="M247" s="74">
        <v>0</v>
      </c>
      <c r="N247" s="74">
        <v>0</v>
      </c>
      <c r="O247" s="74">
        <v>0</v>
      </c>
      <c r="P247" s="74">
        <v>0</v>
      </c>
      <c r="Q247" s="74">
        <v>0</v>
      </c>
      <c r="R247" s="74">
        <v>0</v>
      </c>
      <c r="S247" s="97" t="s">
        <v>301</v>
      </c>
      <c r="T247" s="10">
        <v>0</v>
      </c>
      <c r="U247" s="10">
        <v>0</v>
      </c>
      <c r="V247" s="10">
        <v>0</v>
      </c>
      <c r="W247" s="10">
        <v>0</v>
      </c>
      <c r="X247" s="74">
        <v>0</v>
      </c>
      <c r="Y247" s="74">
        <v>1</v>
      </c>
      <c r="Z247" s="74">
        <v>0</v>
      </c>
      <c r="AA247" s="74">
        <v>0</v>
      </c>
      <c r="AB247" s="74">
        <v>0</v>
      </c>
      <c r="AC247" s="74">
        <v>0</v>
      </c>
      <c r="AD247" s="74">
        <v>0</v>
      </c>
      <c r="AE247" s="74">
        <v>0</v>
      </c>
      <c r="AF247" s="74">
        <v>0</v>
      </c>
      <c r="AG247" s="90">
        <f t="shared" si="14"/>
        <v>1</v>
      </c>
      <c r="AH247" s="90">
        <f t="shared" si="16"/>
        <v>0</v>
      </c>
      <c r="AI247" s="90">
        <f t="shared" si="15"/>
        <v>1</v>
      </c>
    </row>
    <row r="248" spans="1:35" x14ac:dyDescent="0.5">
      <c r="C248" s="96">
        <v>45944</v>
      </c>
      <c r="D248" s="97">
        <v>7</v>
      </c>
      <c r="E248" s="97" t="s">
        <v>232</v>
      </c>
      <c r="F248" s="10">
        <v>2</v>
      </c>
      <c r="G248" s="10">
        <v>1</v>
      </c>
      <c r="H248" s="10">
        <v>0</v>
      </c>
      <c r="I248" s="10">
        <v>0</v>
      </c>
      <c r="J248" s="74">
        <v>0</v>
      </c>
      <c r="K248" s="74">
        <v>0</v>
      </c>
      <c r="L248" s="74">
        <v>0</v>
      </c>
      <c r="M248" s="74">
        <v>1</v>
      </c>
      <c r="N248" s="74">
        <v>0</v>
      </c>
      <c r="O248" s="74">
        <v>0</v>
      </c>
      <c r="P248" s="74">
        <v>0</v>
      </c>
      <c r="Q248" s="74">
        <v>0</v>
      </c>
      <c r="R248" s="74">
        <v>0</v>
      </c>
      <c r="S248" s="97" t="s">
        <v>335</v>
      </c>
      <c r="T248" s="10">
        <v>2</v>
      </c>
      <c r="U248" s="10">
        <v>0</v>
      </c>
      <c r="V248" s="10">
        <v>0</v>
      </c>
      <c r="W248" s="10">
        <v>0</v>
      </c>
      <c r="X248" s="74">
        <v>0</v>
      </c>
      <c r="Y248" s="74">
        <v>1</v>
      </c>
      <c r="Z248" s="74">
        <v>0</v>
      </c>
      <c r="AA248" s="74">
        <v>0</v>
      </c>
      <c r="AB248" s="74">
        <v>0</v>
      </c>
      <c r="AC248" s="74">
        <v>0</v>
      </c>
      <c r="AD248" s="74">
        <v>0</v>
      </c>
      <c r="AE248" s="74">
        <v>0</v>
      </c>
      <c r="AF248" s="74">
        <v>0</v>
      </c>
      <c r="AG248" s="90">
        <f t="shared" si="14"/>
        <v>7</v>
      </c>
      <c r="AH248" s="90">
        <f t="shared" si="16"/>
        <v>5</v>
      </c>
      <c r="AI248" s="90">
        <f t="shared" si="15"/>
        <v>2</v>
      </c>
    </row>
    <row r="249" spans="1:35" x14ac:dyDescent="0.5">
      <c r="C249" s="96">
        <v>45947</v>
      </c>
      <c r="D249" s="97">
        <v>7</v>
      </c>
      <c r="E249" s="97" t="s">
        <v>267</v>
      </c>
      <c r="F249" s="10">
        <v>3</v>
      </c>
      <c r="G249" s="10">
        <v>0</v>
      </c>
      <c r="H249" s="10">
        <v>0</v>
      </c>
      <c r="I249" s="10">
        <v>0</v>
      </c>
      <c r="J249" s="74">
        <v>0</v>
      </c>
      <c r="K249" s="74">
        <v>0</v>
      </c>
      <c r="L249" s="74">
        <v>0</v>
      </c>
      <c r="M249" s="74">
        <v>1</v>
      </c>
      <c r="N249" s="74">
        <v>0</v>
      </c>
      <c r="O249" s="74">
        <v>0</v>
      </c>
      <c r="P249" s="74">
        <v>0</v>
      </c>
      <c r="Q249" s="74">
        <v>0</v>
      </c>
      <c r="R249" s="74">
        <v>0</v>
      </c>
      <c r="S249" s="97" t="s">
        <v>384</v>
      </c>
      <c r="T249" s="10">
        <v>0</v>
      </c>
      <c r="U249" s="10">
        <v>2</v>
      </c>
      <c r="V249" s="10">
        <v>0</v>
      </c>
      <c r="W249" s="10">
        <v>0</v>
      </c>
      <c r="X249" s="74">
        <v>0</v>
      </c>
      <c r="Y249" s="74">
        <v>0</v>
      </c>
      <c r="Z249" s="74">
        <v>0</v>
      </c>
      <c r="AA249" s="74">
        <v>0</v>
      </c>
      <c r="AB249" s="74">
        <v>0</v>
      </c>
      <c r="AC249" s="74">
        <v>1</v>
      </c>
      <c r="AD249" s="74">
        <v>0</v>
      </c>
      <c r="AE249" s="74">
        <v>0</v>
      </c>
      <c r="AF249" s="74">
        <v>0</v>
      </c>
      <c r="AG249" s="90">
        <f t="shared" si="14"/>
        <v>7</v>
      </c>
      <c r="AH249" s="90">
        <f t="shared" si="16"/>
        <v>5</v>
      </c>
      <c r="AI249" s="90">
        <f t="shared" si="15"/>
        <v>2</v>
      </c>
    </row>
    <row r="250" spans="1:35" x14ac:dyDescent="0.5">
      <c r="C250" s="96">
        <v>45951</v>
      </c>
      <c r="D250" s="97">
        <v>7</v>
      </c>
      <c r="E250" s="97" t="s">
        <v>420</v>
      </c>
      <c r="F250" s="10">
        <v>0</v>
      </c>
      <c r="G250" s="10">
        <v>2</v>
      </c>
      <c r="H250" s="10">
        <v>0</v>
      </c>
      <c r="I250" s="10">
        <v>0</v>
      </c>
      <c r="J250" s="74">
        <v>0</v>
      </c>
      <c r="K250" s="74">
        <v>1</v>
      </c>
      <c r="L250" s="74">
        <v>0</v>
      </c>
      <c r="M250" s="74">
        <v>0</v>
      </c>
      <c r="N250" s="74">
        <v>0</v>
      </c>
      <c r="O250" s="74">
        <v>1</v>
      </c>
      <c r="P250" s="74">
        <v>0</v>
      </c>
      <c r="Q250" s="74">
        <v>0</v>
      </c>
      <c r="R250" s="74">
        <v>0</v>
      </c>
      <c r="S250" s="97" t="s">
        <v>419</v>
      </c>
      <c r="T250" s="10">
        <v>0</v>
      </c>
      <c r="U250" s="10">
        <v>2</v>
      </c>
      <c r="V250" s="10">
        <v>0</v>
      </c>
      <c r="W250" s="10">
        <v>0</v>
      </c>
      <c r="X250" s="74">
        <v>0</v>
      </c>
      <c r="Y250" s="74">
        <v>0</v>
      </c>
      <c r="Z250" s="74">
        <v>0</v>
      </c>
      <c r="AA250" s="74">
        <v>0</v>
      </c>
      <c r="AB250" s="74">
        <v>0</v>
      </c>
      <c r="AC250" s="74">
        <v>0</v>
      </c>
      <c r="AD250" s="74">
        <v>0</v>
      </c>
      <c r="AE250" s="74">
        <v>0</v>
      </c>
      <c r="AF250" s="74">
        <v>0</v>
      </c>
      <c r="AG250" s="90">
        <f t="shared" si="14"/>
        <v>6</v>
      </c>
      <c r="AH250" s="90">
        <f t="shared" si="16"/>
        <v>4</v>
      </c>
      <c r="AI250" s="90">
        <f t="shared" si="15"/>
        <v>2</v>
      </c>
    </row>
    <row r="251" spans="1:35" x14ac:dyDescent="0.5">
      <c r="C251" s="96">
        <v>45954</v>
      </c>
      <c r="D251" s="97">
        <v>7</v>
      </c>
      <c r="E251" s="97" t="s">
        <v>435</v>
      </c>
      <c r="F251" s="10">
        <v>10</v>
      </c>
      <c r="G251" s="10">
        <v>0</v>
      </c>
      <c r="H251" s="10">
        <v>0</v>
      </c>
      <c r="I251" s="10">
        <v>0</v>
      </c>
      <c r="J251" s="74">
        <v>0</v>
      </c>
      <c r="K251" s="74">
        <v>0</v>
      </c>
      <c r="L251" s="74">
        <v>0</v>
      </c>
      <c r="M251" s="74">
        <v>0</v>
      </c>
      <c r="N251" s="74">
        <v>0</v>
      </c>
      <c r="O251" s="74">
        <v>0</v>
      </c>
      <c r="P251" s="74">
        <v>0</v>
      </c>
      <c r="Q251" s="74">
        <v>0</v>
      </c>
      <c r="R251" s="74">
        <v>0</v>
      </c>
      <c r="S251" s="97" t="s">
        <v>452</v>
      </c>
      <c r="T251" s="10">
        <v>0</v>
      </c>
      <c r="U251" s="10">
        <v>0</v>
      </c>
      <c r="V251" s="10">
        <v>0</v>
      </c>
      <c r="W251" s="10">
        <v>0</v>
      </c>
      <c r="X251" s="74">
        <v>0</v>
      </c>
      <c r="Y251" s="74">
        <v>0</v>
      </c>
      <c r="Z251" s="74">
        <v>0</v>
      </c>
      <c r="AA251" s="74">
        <v>0</v>
      </c>
      <c r="AB251" s="74">
        <v>0</v>
      </c>
      <c r="AC251" s="74">
        <v>0</v>
      </c>
      <c r="AD251" s="74">
        <v>0</v>
      </c>
      <c r="AE251" s="74">
        <v>0</v>
      </c>
      <c r="AF251" s="74">
        <v>0</v>
      </c>
      <c r="AG251" s="90">
        <f t="shared" si="14"/>
        <v>10</v>
      </c>
      <c r="AH251" s="90">
        <f t="shared" si="16"/>
        <v>10</v>
      </c>
      <c r="AI251" s="90">
        <f t="shared" si="15"/>
        <v>0</v>
      </c>
    </row>
    <row r="252" spans="1:35" s="104" customFormat="1" x14ac:dyDescent="0.35">
      <c r="A252" s="93"/>
      <c r="B252" s="95"/>
      <c r="C252" s="96">
        <v>45958</v>
      </c>
      <c r="D252" s="97">
        <v>7</v>
      </c>
      <c r="E252" s="97" t="s">
        <v>98</v>
      </c>
      <c r="F252" s="10">
        <v>4</v>
      </c>
      <c r="G252" s="10">
        <v>0</v>
      </c>
      <c r="H252" s="10">
        <v>0</v>
      </c>
      <c r="I252" s="10">
        <v>0</v>
      </c>
      <c r="J252" s="74">
        <v>0</v>
      </c>
      <c r="K252" s="74">
        <v>0</v>
      </c>
      <c r="L252" s="74">
        <v>0</v>
      </c>
      <c r="M252" s="74">
        <v>0</v>
      </c>
      <c r="N252" s="74">
        <v>0</v>
      </c>
      <c r="O252" s="74">
        <v>0</v>
      </c>
      <c r="P252" s="74">
        <v>0</v>
      </c>
      <c r="Q252" s="74">
        <v>0</v>
      </c>
      <c r="R252" s="74">
        <v>0</v>
      </c>
      <c r="S252" s="97" t="s">
        <v>458</v>
      </c>
      <c r="T252" s="10">
        <v>1</v>
      </c>
      <c r="U252" s="10">
        <v>0</v>
      </c>
      <c r="V252" s="10">
        <v>0</v>
      </c>
      <c r="W252" s="10">
        <v>1</v>
      </c>
      <c r="X252" s="74">
        <v>0</v>
      </c>
      <c r="Y252" s="74">
        <v>1</v>
      </c>
      <c r="Z252" s="74">
        <v>0</v>
      </c>
      <c r="AA252" s="74">
        <v>0</v>
      </c>
      <c r="AB252" s="74">
        <v>0</v>
      </c>
      <c r="AC252" s="74">
        <v>0</v>
      </c>
      <c r="AD252" s="74">
        <v>0</v>
      </c>
      <c r="AE252" s="74">
        <v>0</v>
      </c>
      <c r="AF252" s="74">
        <v>0</v>
      </c>
      <c r="AG252" s="90">
        <f t="shared" si="14"/>
        <v>7</v>
      </c>
      <c r="AH252" s="90">
        <f t="shared" si="16"/>
        <v>6</v>
      </c>
      <c r="AI252" s="90">
        <f t="shared" si="15"/>
        <v>1</v>
      </c>
    </row>
    <row r="253" spans="1:35" x14ac:dyDescent="0.5">
      <c r="AG253" s="90"/>
      <c r="AH253" s="90"/>
      <c r="AI253" s="90"/>
    </row>
    <row r="254" spans="1:35" x14ac:dyDescent="0.35">
      <c r="A254" s="93">
        <v>20</v>
      </c>
      <c r="B254" s="95" t="s">
        <v>262</v>
      </c>
      <c r="C254" s="96">
        <v>45939</v>
      </c>
      <c r="D254" s="97" t="s">
        <v>55</v>
      </c>
      <c r="E254" s="97" t="s">
        <v>55</v>
      </c>
      <c r="F254" s="10">
        <v>0</v>
      </c>
      <c r="G254" s="10">
        <v>0</v>
      </c>
      <c r="H254" s="10">
        <v>0</v>
      </c>
      <c r="I254" s="10">
        <v>0</v>
      </c>
      <c r="J254" s="74">
        <v>0</v>
      </c>
      <c r="K254" s="74">
        <v>0</v>
      </c>
      <c r="L254" s="74">
        <v>0</v>
      </c>
      <c r="M254" s="74">
        <v>0</v>
      </c>
      <c r="N254" s="74">
        <v>0</v>
      </c>
      <c r="O254" s="74">
        <v>0</v>
      </c>
      <c r="P254" s="74">
        <v>0</v>
      </c>
      <c r="Q254" s="74">
        <v>0</v>
      </c>
      <c r="R254" s="74">
        <v>0</v>
      </c>
      <c r="S254" s="97" t="s">
        <v>55</v>
      </c>
      <c r="T254" s="10">
        <v>0</v>
      </c>
      <c r="U254" s="10">
        <v>0</v>
      </c>
      <c r="V254" s="10">
        <v>0</v>
      </c>
      <c r="W254" s="10">
        <v>0</v>
      </c>
      <c r="X254" s="74">
        <v>0</v>
      </c>
      <c r="Y254" s="74">
        <v>0</v>
      </c>
      <c r="Z254" s="74">
        <v>0</v>
      </c>
      <c r="AA254" s="74">
        <v>0</v>
      </c>
      <c r="AB254" s="74">
        <v>0</v>
      </c>
      <c r="AC254" s="74">
        <v>0</v>
      </c>
      <c r="AD254" s="74">
        <v>0</v>
      </c>
      <c r="AE254" s="74">
        <v>0</v>
      </c>
      <c r="AF254" s="74">
        <v>0</v>
      </c>
      <c r="AG254" s="90">
        <f t="shared" si="14"/>
        <v>0</v>
      </c>
      <c r="AH254" s="90">
        <f t="shared" si="16"/>
        <v>0</v>
      </c>
      <c r="AI254" s="90">
        <f t="shared" si="15"/>
        <v>0</v>
      </c>
    </row>
    <row r="255" spans="1:35" x14ac:dyDescent="0.5">
      <c r="C255" s="96">
        <v>45944</v>
      </c>
      <c r="D255" s="97" t="s">
        <v>55</v>
      </c>
      <c r="E255" s="97" t="s">
        <v>55</v>
      </c>
      <c r="F255" s="10">
        <v>0</v>
      </c>
      <c r="G255" s="10">
        <v>0</v>
      </c>
      <c r="H255" s="10">
        <v>0</v>
      </c>
      <c r="I255" s="10">
        <v>0</v>
      </c>
      <c r="J255" s="74">
        <v>0</v>
      </c>
      <c r="K255" s="74">
        <v>0</v>
      </c>
      <c r="L255" s="74">
        <v>0</v>
      </c>
      <c r="M255" s="74">
        <v>0</v>
      </c>
      <c r="N255" s="74">
        <v>0</v>
      </c>
      <c r="O255" s="74">
        <v>0</v>
      </c>
      <c r="P255" s="74">
        <v>0</v>
      </c>
      <c r="Q255" s="74">
        <v>0</v>
      </c>
      <c r="R255" s="74">
        <v>0</v>
      </c>
      <c r="S255" s="97" t="s">
        <v>55</v>
      </c>
      <c r="T255" s="10">
        <v>0</v>
      </c>
      <c r="U255" s="10">
        <v>0</v>
      </c>
      <c r="V255" s="10">
        <v>0</v>
      </c>
      <c r="W255" s="10">
        <v>0</v>
      </c>
      <c r="X255" s="74">
        <v>0</v>
      </c>
      <c r="Y255" s="74">
        <v>0</v>
      </c>
      <c r="Z255" s="74">
        <v>0</v>
      </c>
      <c r="AA255" s="74">
        <v>0</v>
      </c>
      <c r="AB255" s="74">
        <v>0</v>
      </c>
      <c r="AC255" s="74">
        <v>0</v>
      </c>
      <c r="AD255" s="74">
        <v>0</v>
      </c>
      <c r="AE255" s="74">
        <v>0</v>
      </c>
      <c r="AF255" s="74">
        <v>0</v>
      </c>
      <c r="AG255" s="90">
        <f t="shared" si="14"/>
        <v>0</v>
      </c>
      <c r="AH255" s="90">
        <f t="shared" si="16"/>
        <v>0</v>
      </c>
      <c r="AI255" s="90">
        <f t="shared" si="15"/>
        <v>0</v>
      </c>
    </row>
    <row r="256" spans="1:35" x14ac:dyDescent="0.5">
      <c r="C256" s="96">
        <v>45947</v>
      </c>
      <c r="D256" s="97">
        <v>15</v>
      </c>
      <c r="E256" s="97" t="s">
        <v>374</v>
      </c>
      <c r="F256" s="10">
        <v>2</v>
      </c>
      <c r="G256" s="10">
        <v>0</v>
      </c>
      <c r="H256" s="10">
        <v>0</v>
      </c>
      <c r="I256" s="10">
        <v>0</v>
      </c>
      <c r="J256" s="74">
        <v>0</v>
      </c>
      <c r="K256" s="74">
        <v>1</v>
      </c>
      <c r="L256" s="74">
        <v>0</v>
      </c>
      <c r="M256" s="74">
        <v>2</v>
      </c>
      <c r="N256" s="74">
        <v>0</v>
      </c>
      <c r="O256" s="74">
        <v>0</v>
      </c>
      <c r="P256" s="74">
        <v>0</v>
      </c>
      <c r="Q256" s="74">
        <v>0</v>
      </c>
      <c r="R256" s="74">
        <v>0</v>
      </c>
      <c r="S256" s="97" t="s">
        <v>85</v>
      </c>
      <c r="T256" s="10">
        <v>5</v>
      </c>
      <c r="U256" s="10">
        <v>2</v>
      </c>
      <c r="V256" s="10">
        <v>0</v>
      </c>
      <c r="W256" s="10">
        <v>0</v>
      </c>
      <c r="X256" s="74">
        <v>0</v>
      </c>
      <c r="Y256" s="74">
        <v>0</v>
      </c>
      <c r="Z256" s="74">
        <v>0</v>
      </c>
      <c r="AA256" s="74">
        <v>0</v>
      </c>
      <c r="AB256" s="74">
        <v>0</v>
      </c>
      <c r="AC256" s="74">
        <v>0</v>
      </c>
      <c r="AD256" s="74">
        <v>0</v>
      </c>
      <c r="AE256" s="74">
        <v>0</v>
      </c>
      <c r="AF256" s="74">
        <v>0</v>
      </c>
      <c r="AG256" s="90">
        <f t="shared" si="14"/>
        <v>12</v>
      </c>
      <c r="AH256" s="90">
        <f t="shared" si="16"/>
        <v>9</v>
      </c>
      <c r="AI256" s="90">
        <f t="shared" si="15"/>
        <v>3</v>
      </c>
    </row>
    <row r="257" spans="1:35" x14ac:dyDescent="0.5">
      <c r="C257" s="96">
        <v>45951</v>
      </c>
      <c r="D257" s="97">
        <v>15</v>
      </c>
      <c r="E257" s="97" t="s">
        <v>422</v>
      </c>
      <c r="F257" s="10">
        <v>3</v>
      </c>
      <c r="G257" s="10">
        <v>2</v>
      </c>
      <c r="H257" s="10">
        <v>0</v>
      </c>
      <c r="I257" s="10">
        <v>0</v>
      </c>
      <c r="J257" s="74">
        <v>0</v>
      </c>
      <c r="K257" s="74">
        <v>0</v>
      </c>
      <c r="L257" s="74">
        <v>0</v>
      </c>
      <c r="M257" s="74">
        <v>1</v>
      </c>
      <c r="N257" s="74">
        <v>0</v>
      </c>
      <c r="O257" s="74">
        <v>1</v>
      </c>
      <c r="P257" s="74">
        <v>0</v>
      </c>
      <c r="Q257" s="74">
        <v>0</v>
      </c>
      <c r="R257" s="74">
        <v>0</v>
      </c>
      <c r="S257" s="97" t="s">
        <v>134</v>
      </c>
      <c r="T257" s="10">
        <v>3</v>
      </c>
      <c r="U257" s="10">
        <v>0</v>
      </c>
      <c r="V257" s="10">
        <v>0</v>
      </c>
      <c r="W257" s="10">
        <v>0</v>
      </c>
      <c r="X257" s="74">
        <v>0</v>
      </c>
      <c r="Y257" s="74">
        <v>0</v>
      </c>
      <c r="Z257" s="74">
        <v>0</v>
      </c>
      <c r="AA257" s="74">
        <v>0</v>
      </c>
      <c r="AB257" s="74">
        <v>0</v>
      </c>
      <c r="AC257" s="74">
        <v>0</v>
      </c>
      <c r="AD257" s="74">
        <v>0</v>
      </c>
      <c r="AE257" s="74">
        <v>0</v>
      </c>
      <c r="AF257" s="74">
        <v>0</v>
      </c>
      <c r="AG257" s="90">
        <f t="shared" si="14"/>
        <v>10</v>
      </c>
      <c r="AH257" s="90">
        <f t="shared" si="16"/>
        <v>8</v>
      </c>
      <c r="AI257" s="90">
        <f t="shared" si="15"/>
        <v>2</v>
      </c>
    </row>
    <row r="258" spans="1:35" x14ac:dyDescent="0.5">
      <c r="C258" s="96">
        <v>45954</v>
      </c>
      <c r="D258" s="97">
        <v>15</v>
      </c>
      <c r="E258" s="97" t="s">
        <v>352</v>
      </c>
      <c r="F258" s="10">
        <v>0</v>
      </c>
      <c r="G258" s="10">
        <v>1</v>
      </c>
      <c r="H258" s="10">
        <v>0</v>
      </c>
      <c r="I258" s="10">
        <v>0</v>
      </c>
      <c r="J258" s="74">
        <v>0</v>
      </c>
      <c r="K258" s="74">
        <v>0</v>
      </c>
      <c r="L258" s="74">
        <v>0</v>
      </c>
      <c r="M258" s="74">
        <v>1</v>
      </c>
      <c r="N258" s="74">
        <v>0</v>
      </c>
      <c r="O258" s="74">
        <v>0</v>
      </c>
      <c r="P258" s="74">
        <v>0</v>
      </c>
      <c r="Q258" s="74">
        <v>0</v>
      </c>
      <c r="R258" s="74">
        <v>0</v>
      </c>
      <c r="S258" s="97" t="s">
        <v>131</v>
      </c>
      <c r="T258" s="10">
        <v>3</v>
      </c>
      <c r="U258" s="10">
        <v>1</v>
      </c>
      <c r="V258" s="10">
        <v>0</v>
      </c>
      <c r="W258" s="10">
        <v>0</v>
      </c>
      <c r="X258" s="74">
        <v>0</v>
      </c>
      <c r="Y258" s="74">
        <v>0</v>
      </c>
      <c r="Z258" s="74">
        <v>0</v>
      </c>
      <c r="AA258" s="74">
        <v>0</v>
      </c>
      <c r="AB258" s="74">
        <v>0</v>
      </c>
      <c r="AC258" s="74">
        <v>0</v>
      </c>
      <c r="AD258" s="74">
        <v>0</v>
      </c>
      <c r="AE258" s="74">
        <v>0</v>
      </c>
      <c r="AF258" s="74">
        <v>0</v>
      </c>
      <c r="AG258" s="90">
        <f t="shared" si="14"/>
        <v>6</v>
      </c>
      <c r="AH258" s="90">
        <f t="shared" si="16"/>
        <v>5</v>
      </c>
      <c r="AI258" s="90">
        <f t="shared" si="15"/>
        <v>1</v>
      </c>
    </row>
    <row r="259" spans="1:35" s="104" customFormat="1" x14ac:dyDescent="0.35">
      <c r="A259" s="93"/>
      <c r="B259" s="95"/>
      <c r="C259" s="96">
        <v>45958</v>
      </c>
      <c r="D259" s="97">
        <v>15</v>
      </c>
      <c r="E259" s="97" t="s">
        <v>465</v>
      </c>
      <c r="F259" s="10">
        <v>3</v>
      </c>
      <c r="G259" s="10">
        <v>0</v>
      </c>
      <c r="H259" s="10">
        <v>1</v>
      </c>
      <c r="I259" s="10">
        <v>1</v>
      </c>
      <c r="J259" s="74">
        <v>0</v>
      </c>
      <c r="K259" s="74">
        <v>0</v>
      </c>
      <c r="L259" s="74">
        <v>0</v>
      </c>
      <c r="M259" s="74">
        <v>0</v>
      </c>
      <c r="N259" s="74">
        <v>0</v>
      </c>
      <c r="O259" s="74">
        <v>0</v>
      </c>
      <c r="P259" s="74">
        <v>0</v>
      </c>
      <c r="Q259" s="74">
        <v>0</v>
      </c>
      <c r="R259" s="74">
        <v>0</v>
      </c>
      <c r="S259" s="97" t="s">
        <v>111</v>
      </c>
      <c r="T259" s="10">
        <v>1</v>
      </c>
      <c r="U259" s="10">
        <v>0</v>
      </c>
      <c r="V259" s="10">
        <v>0</v>
      </c>
      <c r="W259" s="10">
        <v>1</v>
      </c>
      <c r="X259" s="74">
        <v>0</v>
      </c>
      <c r="Y259" s="74">
        <v>0</v>
      </c>
      <c r="Z259" s="74">
        <v>0</v>
      </c>
      <c r="AA259" s="74">
        <v>0</v>
      </c>
      <c r="AB259" s="74">
        <v>0</v>
      </c>
      <c r="AC259" s="74">
        <v>0</v>
      </c>
      <c r="AD259" s="74">
        <v>0</v>
      </c>
      <c r="AE259" s="74">
        <v>0</v>
      </c>
      <c r="AF259" s="74">
        <v>0</v>
      </c>
      <c r="AG259" s="90">
        <f t="shared" si="14"/>
        <v>7</v>
      </c>
      <c r="AH259" s="90">
        <f t="shared" si="16"/>
        <v>7</v>
      </c>
      <c r="AI259" s="90">
        <f t="shared" si="15"/>
        <v>0</v>
      </c>
    </row>
    <row r="260" spans="1:35" s="104" customFormat="1" ht="29" x14ac:dyDescent="0.35">
      <c r="A260" s="93"/>
      <c r="B260" s="95"/>
      <c r="C260" s="96">
        <v>45961</v>
      </c>
      <c r="D260" s="97">
        <v>15</v>
      </c>
      <c r="E260" s="99" t="s">
        <v>538</v>
      </c>
      <c r="F260" s="10">
        <v>1</v>
      </c>
      <c r="G260" s="10">
        <v>0</v>
      </c>
      <c r="H260" s="10">
        <v>0</v>
      </c>
      <c r="I260" s="10">
        <v>0</v>
      </c>
      <c r="J260" s="74">
        <v>0</v>
      </c>
      <c r="K260" s="74">
        <v>0</v>
      </c>
      <c r="L260" s="74">
        <v>0</v>
      </c>
      <c r="M260" s="74">
        <v>1</v>
      </c>
      <c r="N260" s="74">
        <v>0</v>
      </c>
      <c r="O260" s="74">
        <v>0</v>
      </c>
      <c r="P260" s="74">
        <v>0</v>
      </c>
      <c r="Q260" s="74">
        <v>0</v>
      </c>
      <c r="R260" s="74">
        <v>0</v>
      </c>
      <c r="S260" s="97" t="s">
        <v>139</v>
      </c>
      <c r="T260" s="10">
        <v>12</v>
      </c>
      <c r="U260" s="10">
        <v>0</v>
      </c>
      <c r="V260" s="10">
        <v>0</v>
      </c>
      <c r="W260" s="10">
        <v>0</v>
      </c>
      <c r="X260" s="74">
        <v>0</v>
      </c>
      <c r="Y260" s="74">
        <v>0</v>
      </c>
      <c r="Z260" s="74">
        <v>0</v>
      </c>
      <c r="AA260" s="74">
        <v>0</v>
      </c>
      <c r="AB260" s="74">
        <v>0</v>
      </c>
      <c r="AC260" s="74">
        <v>0</v>
      </c>
      <c r="AD260" s="74">
        <v>0</v>
      </c>
      <c r="AE260" s="74">
        <v>0</v>
      </c>
      <c r="AF260" s="74">
        <v>0</v>
      </c>
      <c r="AG260" s="90">
        <f t="shared" ref="AG260:AG326" si="17">F260+G260+H260+I260+J260+K260+L260+M260+N260+O260+P260+Q260+R260+T260+U260+V260+W260+X260+Y260+Z260+AA260+AB260+AC260+AD260+AE260+AF260</f>
        <v>14</v>
      </c>
      <c r="AH260" s="90">
        <f t="shared" si="16"/>
        <v>13</v>
      </c>
      <c r="AI260" s="90">
        <f t="shared" ref="AI260:AI326" si="18">J260+K260+L260+M260+N260+O260+P260+Q260+R260+X260+Y260+Z260+AA260+AB260+AC260+AD260+AE260+AF260</f>
        <v>1</v>
      </c>
    </row>
    <row r="261" spans="1:35" x14ac:dyDescent="0.5">
      <c r="AG261" s="90"/>
      <c r="AH261" s="90"/>
      <c r="AI261" s="90"/>
    </row>
    <row r="262" spans="1:35" x14ac:dyDescent="0.35">
      <c r="A262" s="93">
        <v>21</v>
      </c>
      <c r="B262" s="95" t="s">
        <v>261</v>
      </c>
      <c r="C262" s="96">
        <v>45936</v>
      </c>
      <c r="D262" s="97" t="s">
        <v>55</v>
      </c>
      <c r="E262" s="97" t="s">
        <v>55</v>
      </c>
      <c r="F262" s="10">
        <v>0</v>
      </c>
      <c r="G262" s="10">
        <v>0</v>
      </c>
      <c r="H262" s="10">
        <v>0</v>
      </c>
      <c r="I262" s="10">
        <v>0</v>
      </c>
      <c r="J262" s="74">
        <v>0</v>
      </c>
      <c r="K262" s="74">
        <v>0</v>
      </c>
      <c r="L262" s="74">
        <v>0</v>
      </c>
      <c r="M262" s="74">
        <v>0</v>
      </c>
      <c r="N262" s="74">
        <v>0</v>
      </c>
      <c r="O262" s="74">
        <v>0</v>
      </c>
      <c r="P262" s="74">
        <v>0</v>
      </c>
      <c r="Q262" s="74">
        <v>0</v>
      </c>
      <c r="R262" s="74">
        <v>0</v>
      </c>
      <c r="S262" s="97" t="s">
        <v>55</v>
      </c>
      <c r="T262" s="10">
        <v>0</v>
      </c>
      <c r="U262" s="10">
        <v>0</v>
      </c>
      <c r="V262" s="10">
        <v>0</v>
      </c>
      <c r="W262" s="10">
        <v>0</v>
      </c>
      <c r="X262" s="74">
        <v>0</v>
      </c>
      <c r="Y262" s="74">
        <v>0</v>
      </c>
      <c r="Z262" s="74">
        <v>0</v>
      </c>
      <c r="AA262" s="74">
        <v>0</v>
      </c>
      <c r="AB262" s="74">
        <v>0</v>
      </c>
      <c r="AC262" s="74">
        <v>0</v>
      </c>
      <c r="AD262" s="74">
        <v>0</v>
      </c>
      <c r="AE262" s="74">
        <v>0</v>
      </c>
      <c r="AF262" s="74">
        <v>0</v>
      </c>
      <c r="AG262" s="90">
        <f t="shared" si="17"/>
        <v>0</v>
      </c>
      <c r="AH262" s="90">
        <f t="shared" si="16"/>
        <v>0</v>
      </c>
      <c r="AI262" s="90">
        <f t="shared" si="18"/>
        <v>0</v>
      </c>
    </row>
    <row r="263" spans="1:35" x14ac:dyDescent="0.5">
      <c r="C263" s="96">
        <v>45939</v>
      </c>
      <c r="D263" s="97" t="s">
        <v>55</v>
      </c>
      <c r="E263" s="97" t="s">
        <v>55</v>
      </c>
      <c r="F263" s="10">
        <v>0</v>
      </c>
      <c r="G263" s="10">
        <v>0</v>
      </c>
      <c r="H263" s="10">
        <v>0</v>
      </c>
      <c r="I263" s="10">
        <v>0</v>
      </c>
      <c r="J263" s="74">
        <v>0</v>
      </c>
      <c r="K263" s="74">
        <v>0</v>
      </c>
      <c r="L263" s="74">
        <v>0</v>
      </c>
      <c r="M263" s="74">
        <v>0</v>
      </c>
      <c r="N263" s="74">
        <v>0</v>
      </c>
      <c r="O263" s="74">
        <v>0</v>
      </c>
      <c r="P263" s="74">
        <v>0</v>
      </c>
      <c r="Q263" s="74">
        <v>0</v>
      </c>
      <c r="R263" s="74">
        <v>0</v>
      </c>
      <c r="S263" s="97" t="s">
        <v>55</v>
      </c>
      <c r="T263" s="10">
        <v>0</v>
      </c>
      <c r="U263" s="10">
        <v>0</v>
      </c>
      <c r="V263" s="10">
        <v>0</v>
      </c>
      <c r="W263" s="10">
        <v>0</v>
      </c>
      <c r="X263" s="74">
        <v>0</v>
      </c>
      <c r="Y263" s="74">
        <v>0</v>
      </c>
      <c r="Z263" s="74">
        <v>0</v>
      </c>
      <c r="AA263" s="74">
        <v>0</v>
      </c>
      <c r="AB263" s="74">
        <v>0</v>
      </c>
      <c r="AC263" s="74">
        <v>0</v>
      </c>
      <c r="AD263" s="74">
        <v>0</v>
      </c>
      <c r="AE263" s="74">
        <v>0</v>
      </c>
      <c r="AF263" s="74">
        <v>0</v>
      </c>
      <c r="AG263" s="90">
        <f t="shared" si="17"/>
        <v>0</v>
      </c>
      <c r="AH263" s="90">
        <f t="shared" si="16"/>
        <v>0</v>
      </c>
      <c r="AI263" s="90">
        <f t="shared" si="18"/>
        <v>0</v>
      </c>
    </row>
    <row r="264" spans="1:35" x14ac:dyDescent="0.5">
      <c r="C264" s="96">
        <v>45944</v>
      </c>
      <c r="D264" s="97" t="s">
        <v>55</v>
      </c>
      <c r="E264" s="97" t="s">
        <v>55</v>
      </c>
      <c r="F264" s="10">
        <v>0</v>
      </c>
      <c r="G264" s="10">
        <v>0</v>
      </c>
      <c r="H264" s="10">
        <v>0</v>
      </c>
      <c r="I264" s="10">
        <v>0</v>
      </c>
      <c r="J264" s="74">
        <v>0</v>
      </c>
      <c r="K264" s="74">
        <v>0</v>
      </c>
      <c r="L264" s="74">
        <v>0</v>
      </c>
      <c r="M264" s="74">
        <v>0</v>
      </c>
      <c r="N264" s="74">
        <v>0</v>
      </c>
      <c r="O264" s="74">
        <v>0</v>
      </c>
      <c r="P264" s="74">
        <v>0</v>
      </c>
      <c r="Q264" s="74">
        <v>0</v>
      </c>
      <c r="R264" s="74">
        <v>0</v>
      </c>
      <c r="S264" s="97" t="s">
        <v>55</v>
      </c>
      <c r="T264" s="10">
        <v>0</v>
      </c>
      <c r="U264" s="10">
        <v>0</v>
      </c>
      <c r="V264" s="10">
        <v>0</v>
      </c>
      <c r="W264" s="10">
        <v>0</v>
      </c>
      <c r="X264" s="74">
        <v>0</v>
      </c>
      <c r="Y264" s="74">
        <v>0</v>
      </c>
      <c r="Z264" s="74">
        <v>0</v>
      </c>
      <c r="AA264" s="74">
        <v>0</v>
      </c>
      <c r="AB264" s="74">
        <v>0</v>
      </c>
      <c r="AC264" s="74">
        <v>0</v>
      </c>
      <c r="AD264" s="74">
        <v>0</v>
      </c>
      <c r="AE264" s="74">
        <v>0</v>
      </c>
      <c r="AF264" s="74">
        <v>0</v>
      </c>
      <c r="AG264" s="90">
        <f t="shared" si="17"/>
        <v>0</v>
      </c>
      <c r="AH264" s="90">
        <f t="shared" si="16"/>
        <v>0</v>
      </c>
      <c r="AI264" s="90">
        <f t="shared" si="18"/>
        <v>0</v>
      </c>
    </row>
    <row r="265" spans="1:35" x14ac:dyDescent="0.5">
      <c r="C265" s="96">
        <v>45947</v>
      </c>
      <c r="D265" s="97" t="s">
        <v>55</v>
      </c>
      <c r="E265" s="97" t="s">
        <v>55</v>
      </c>
      <c r="F265" s="10">
        <v>0</v>
      </c>
      <c r="G265" s="10">
        <v>0</v>
      </c>
      <c r="H265" s="10">
        <v>0</v>
      </c>
      <c r="I265" s="10">
        <v>0</v>
      </c>
      <c r="J265" s="74">
        <v>0</v>
      </c>
      <c r="K265" s="74">
        <v>0</v>
      </c>
      <c r="L265" s="74">
        <v>0</v>
      </c>
      <c r="M265" s="74">
        <v>0</v>
      </c>
      <c r="N265" s="74">
        <v>0</v>
      </c>
      <c r="O265" s="74">
        <v>0</v>
      </c>
      <c r="P265" s="74">
        <v>0</v>
      </c>
      <c r="Q265" s="74">
        <v>0</v>
      </c>
      <c r="R265" s="74">
        <v>0</v>
      </c>
      <c r="S265" s="97" t="s">
        <v>55</v>
      </c>
      <c r="T265" s="10">
        <v>0</v>
      </c>
      <c r="U265" s="10">
        <v>0</v>
      </c>
      <c r="V265" s="10">
        <v>0</v>
      </c>
      <c r="W265" s="10">
        <v>0</v>
      </c>
      <c r="X265" s="74">
        <v>0</v>
      </c>
      <c r="Y265" s="74">
        <v>0</v>
      </c>
      <c r="Z265" s="74">
        <v>0</v>
      </c>
      <c r="AA265" s="74">
        <v>0</v>
      </c>
      <c r="AB265" s="74">
        <v>0</v>
      </c>
      <c r="AC265" s="74">
        <v>0</v>
      </c>
      <c r="AD265" s="74">
        <v>0</v>
      </c>
      <c r="AE265" s="74">
        <v>0</v>
      </c>
      <c r="AF265" s="74">
        <v>0</v>
      </c>
      <c r="AG265" s="90">
        <f t="shared" si="17"/>
        <v>0</v>
      </c>
      <c r="AH265" s="90">
        <f t="shared" si="16"/>
        <v>0</v>
      </c>
      <c r="AI265" s="90">
        <f t="shared" si="18"/>
        <v>0</v>
      </c>
    </row>
    <row r="266" spans="1:35" x14ac:dyDescent="0.5">
      <c r="C266" s="96">
        <v>45951</v>
      </c>
      <c r="D266" s="97">
        <v>19</v>
      </c>
      <c r="E266" s="97" t="s">
        <v>403</v>
      </c>
      <c r="F266" s="10">
        <v>3</v>
      </c>
      <c r="G266" s="10">
        <v>5</v>
      </c>
      <c r="H266" s="10">
        <v>0</v>
      </c>
      <c r="I266" s="10">
        <v>1</v>
      </c>
      <c r="J266" s="74">
        <v>0</v>
      </c>
      <c r="K266" s="74">
        <v>0</v>
      </c>
      <c r="L266" s="74">
        <v>0</v>
      </c>
      <c r="M266" s="74">
        <v>0</v>
      </c>
      <c r="N266" s="74">
        <v>0</v>
      </c>
      <c r="O266" s="74">
        <v>0</v>
      </c>
      <c r="P266" s="74">
        <v>0</v>
      </c>
      <c r="Q266" s="74">
        <v>0</v>
      </c>
      <c r="R266" s="74">
        <v>0</v>
      </c>
      <c r="S266" s="97" t="s">
        <v>300</v>
      </c>
      <c r="T266" s="10">
        <v>5</v>
      </c>
      <c r="U266" s="10">
        <v>1</v>
      </c>
      <c r="V266" s="10">
        <v>0</v>
      </c>
      <c r="W266" s="10">
        <v>0</v>
      </c>
      <c r="X266" s="74">
        <v>0</v>
      </c>
      <c r="Y266" s="74">
        <v>1</v>
      </c>
      <c r="Z266" s="74">
        <v>0</v>
      </c>
      <c r="AA266" s="74">
        <v>0</v>
      </c>
      <c r="AB266" s="74">
        <v>0</v>
      </c>
      <c r="AC266" s="74">
        <v>0</v>
      </c>
      <c r="AD266" s="74">
        <v>0</v>
      </c>
      <c r="AE266" s="74">
        <v>0</v>
      </c>
      <c r="AF266" s="74">
        <v>0</v>
      </c>
      <c r="AG266" s="90">
        <f t="shared" si="17"/>
        <v>16</v>
      </c>
      <c r="AH266" s="90">
        <f t="shared" si="16"/>
        <v>15</v>
      </c>
      <c r="AI266" s="90">
        <f t="shared" si="18"/>
        <v>1</v>
      </c>
    </row>
    <row r="267" spans="1:35" ht="29" x14ac:dyDescent="0.5">
      <c r="C267" s="96">
        <v>45954</v>
      </c>
      <c r="D267" s="97">
        <v>19</v>
      </c>
      <c r="E267" s="97" t="s">
        <v>438</v>
      </c>
      <c r="F267" s="10">
        <v>2</v>
      </c>
      <c r="G267" s="10">
        <v>0</v>
      </c>
      <c r="H267" s="10">
        <v>0</v>
      </c>
      <c r="I267" s="10">
        <v>0</v>
      </c>
      <c r="J267" s="74">
        <v>0</v>
      </c>
      <c r="K267" s="74">
        <v>0</v>
      </c>
      <c r="L267" s="74">
        <v>1</v>
      </c>
      <c r="M267" s="74">
        <v>0</v>
      </c>
      <c r="N267" s="74">
        <v>0</v>
      </c>
      <c r="O267" s="74">
        <v>0</v>
      </c>
      <c r="P267" s="74">
        <v>0</v>
      </c>
      <c r="Q267" s="74">
        <v>0</v>
      </c>
      <c r="R267" s="74">
        <v>0</v>
      </c>
      <c r="S267" s="99" t="s">
        <v>439</v>
      </c>
      <c r="T267" s="10">
        <v>0</v>
      </c>
      <c r="U267" s="10">
        <v>1</v>
      </c>
      <c r="V267" s="10">
        <v>0</v>
      </c>
      <c r="W267" s="10">
        <v>0</v>
      </c>
      <c r="X267" s="74">
        <v>1</v>
      </c>
      <c r="Y267" s="74">
        <v>0</v>
      </c>
      <c r="Z267" s="74">
        <v>0</v>
      </c>
      <c r="AA267" s="74">
        <v>0</v>
      </c>
      <c r="AB267" s="74">
        <v>0</v>
      </c>
      <c r="AC267" s="74">
        <v>0</v>
      </c>
      <c r="AD267" s="74">
        <v>0</v>
      </c>
      <c r="AE267" s="74">
        <v>0</v>
      </c>
      <c r="AF267" s="74">
        <v>0</v>
      </c>
      <c r="AG267" s="90">
        <f t="shared" si="17"/>
        <v>5</v>
      </c>
      <c r="AH267" s="90">
        <f t="shared" si="16"/>
        <v>3</v>
      </c>
      <c r="AI267" s="90">
        <f t="shared" si="18"/>
        <v>2</v>
      </c>
    </row>
    <row r="268" spans="1:35" s="104" customFormat="1" x14ac:dyDescent="0.35">
      <c r="A268" s="93"/>
      <c r="B268" s="95"/>
      <c r="C268" s="96">
        <v>45958</v>
      </c>
      <c r="D268" s="97">
        <v>19</v>
      </c>
      <c r="E268" s="97" t="s">
        <v>469</v>
      </c>
      <c r="F268" s="10">
        <v>1</v>
      </c>
      <c r="G268" s="10">
        <v>0</v>
      </c>
      <c r="H268" s="10">
        <v>0</v>
      </c>
      <c r="I268" s="10">
        <v>0</v>
      </c>
      <c r="J268" s="74">
        <v>0</v>
      </c>
      <c r="K268" s="74">
        <v>0</v>
      </c>
      <c r="L268" s="74">
        <v>0</v>
      </c>
      <c r="M268" s="74">
        <v>0</v>
      </c>
      <c r="N268" s="74">
        <v>0</v>
      </c>
      <c r="O268" s="74">
        <v>0</v>
      </c>
      <c r="P268" s="74">
        <v>2</v>
      </c>
      <c r="Q268" s="74">
        <v>0</v>
      </c>
      <c r="R268" s="74">
        <v>0</v>
      </c>
      <c r="S268" s="97" t="s">
        <v>462</v>
      </c>
      <c r="T268" s="10">
        <v>0</v>
      </c>
      <c r="U268" s="10">
        <v>0</v>
      </c>
      <c r="V268" s="10">
        <v>0</v>
      </c>
      <c r="W268" s="10">
        <v>0</v>
      </c>
      <c r="X268" s="74">
        <v>0</v>
      </c>
      <c r="Y268" s="74">
        <v>0</v>
      </c>
      <c r="Z268" s="74">
        <v>0</v>
      </c>
      <c r="AA268" s="74">
        <v>0</v>
      </c>
      <c r="AB268" s="74">
        <v>0</v>
      </c>
      <c r="AC268" s="74">
        <v>0</v>
      </c>
      <c r="AD268" s="74">
        <v>0</v>
      </c>
      <c r="AE268" s="74">
        <v>0</v>
      </c>
      <c r="AF268" s="74">
        <v>0</v>
      </c>
      <c r="AG268" s="90">
        <f t="shared" si="17"/>
        <v>3</v>
      </c>
      <c r="AH268" s="90">
        <f t="shared" si="16"/>
        <v>1</v>
      </c>
      <c r="AI268" s="90">
        <f t="shared" si="18"/>
        <v>2</v>
      </c>
    </row>
    <row r="269" spans="1:35" s="104" customFormat="1" x14ac:dyDescent="0.35">
      <c r="A269" s="93"/>
      <c r="B269" s="95"/>
      <c r="C269" s="96">
        <v>45961</v>
      </c>
      <c r="D269" s="97">
        <v>19</v>
      </c>
      <c r="E269" s="97" t="s">
        <v>523</v>
      </c>
      <c r="F269" s="10">
        <v>0</v>
      </c>
      <c r="G269" s="10">
        <v>2</v>
      </c>
      <c r="H269" s="10">
        <v>0</v>
      </c>
      <c r="I269" s="10">
        <v>1</v>
      </c>
      <c r="J269" s="74">
        <v>0</v>
      </c>
      <c r="K269" s="74">
        <v>0</v>
      </c>
      <c r="L269" s="74">
        <v>0</v>
      </c>
      <c r="M269" s="74">
        <v>1</v>
      </c>
      <c r="N269" s="74">
        <v>0</v>
      </c>
      <c r="O269" s="74">
        <v>0</v>
      </c>
      <c r="P269" s="74">
        <v>0</v>
      </c>
      <c r="Q269" s="74">
        <v>0</v>
      </c>
      <c r="R269" s="74">
        <v>0</v>
      </c>
      <c r="S269" s="97" t="s">
        <v>55</v>
      </c>
      <c r="T269" s="10">
        <v>0</v>
      </c>
      <c r="U269" s="10">
        <v>0</v>
      </c>
      <c r="V269" s="10">
        <v>0</v>
      </c>
      <c r="W269" s="10">
        <v>0</v>
      </c>
      <c r="X269" s="74">
        <v>0</v>
      </c>
      <c r="Y269" s="74">
        <v>0</v>
      </c>
      <c r="Z269" s="74">
        <v>0</v>
      </c>
      <c r="AA269" s="74">
        <v>0</v>
      </c>
      <c r="AB269" s="74">
        <v>0</v>
      </c>
      <c r="AC269" s="74">
        <v>0</v>
      </c>
      <c r="AD269" s="74">
        <v>0</v>
      </c>
      <c r="AE269" s="74">
        <v>0</v>
      </c>
      <c r="AF269" s="74">
        <v>0</v>
      </c>
      <c r="AG269" s="90">
        <f t="shared" si="17"/>
        <v>4</v>
      </c>
      <c r="AH269" s="90">
        <f t="shared" ref="AH269:AH332" si="19">F269+G269+H269+I269+T269+U269+V269+W269</f>
        <v>3</v>
      </c>
      <c r="AI269" s="90">
        <f t="shared" si="18"/>
        <v>1</v>
      </c>
    </row>
    <row r="270" spans="1:35" s="104" customFormat="1" x14ac:dyDescent="0.35">
      <c r="A270" s="93"/>
      <c r="B270" s="95"/>
      <c r="C270" s="96">
        <v>45964</v>
      </c>
      <c r="D270" s="97">
        <v>19</v>
      </c>
      <c r="E270" s="97" t="s">
        <v>564</v>
      </c>
      <c r="F270" s="10">
        <v>0</v>
      </c>
      <c r="G270" s="10">
        <v>3</v>
      </c>
      <c r="H270" s="10">
        <v>0</v>
      </c>
      <c r="I270" s="10">
        <v>0</v>
      </c>
      <c r="J270" s="74">
        <v>0</v>
      </c>
      <c r="K270" s="74">
        <v>0</v>
      </c>
      <c r="L270" s="74">
        <v>0</v>
      </c>
      <c r="M270" s="74">
        <v>0</v>
      </c>
      <c r="N270" s="74">
        <v>0</v>
      </c>
      <c r="O270" s="74">
        <v>2</v>
      </c>
      <c r="P270" s="74">
        <v>0</v>
      </c>
      <c r="Q270" s="74">
        <v>0</v>
      </c>
      <c r="R270" s="74">
        <v>0</v>
      </c>
      <c r="S270" s="97" t="s">
        <v>55</v>
      </c>
      <c r="T270" s="10">
        <v>0</v>
      </c>
      <c r="U270" s="10">
        <v>0</v>
      </c>
      <c r="V270" s="10">
        <v>0</v>
      </c>
      <c r="W270" s="10">
        <v>0</v>
      </c>
      <c r="X270" s="74">
        <v>0</v>
      </c>
      <c r="Y270" s="74">
        <v>0</v>
      </c>
      <c r="Z270" s="74">
        <v>0</v>
      </c>
      <c r="AA270" s="74">
        <v>0</v>
      </c>
      <c r="AB270" s="74">
        <v>0</v>
      </c>
      <c r="AC270" s="74">
        <v>0</v>
      </c>
      <c r="AD270" s="74">
        <v>0</v>
      </c>
      <c r="AE270" s="74">
        <v>0</v>
      </c>
      <c r="AF270" s="74">
        <v>0</v>
      </c>
      <c r="AG270" s="90">
        <f t="shared" si="17"/>
        <v>5</v>
      </c>
      <c r="AH270" s="90">
        <f t="shared" si="19"/>
        <v>3</v>
      </c>
      <c r="AI270" s="90">
        <f t="shared" si="18"/>
        <v>2</v>
      </c>
    </row>
    <row r="271" spans="1:35" s="104" customFormat="1" x14ac:dyDescent="0.35">
      <c r="A271" s="93"/>
      <c r="B271" s="95"/>
      <c r="C271" s="96">
        <v>45968</v>
      </c>
      <c r="D271" s="97">
        <v>19</v>
      </c>
      <c r="E271" s="97" t="s">
        <v>579</v>
      </c>
      <c r="F271" s="10">
        <v>0</v>
      </c>
      <c r="G271" s="10">
        <v>0</v>
      </c>
      <c r="H271" s="10">
        <v>0</v>
      </c>
      <c r="I271" s="10">
        <v>0</v>
      </c>
      <c r="J271" s="74">
        <v>0</v>
      </c>
      <c r="K271" s="74">
        <v>1</v>
      </c>
      <c r="L271" s="74">
        <v>0</v>
      </c>
      <c r="M271" s="74">
        <v>1</v>
      </c>
      <c r="N271" s="74">
        <v>0</v>
      </c>
      <c r="O271" s="74">
        <v>0</v>
      </c>
      <c r="P271" s="74">
        <v>0</v>
      </c>
      <c r="Q271" s="74">
        <v>0</v>
      </c>
      <c r="R271" s="74">
        <v>0</v>
      </c>
      <c r="S271" s="97" t="s">
        <v>83</v>
      </c>
      <c r="T271" s="10">
        <v>5</v>
      </c>
      <c r="U271" s="10">
        <v>3</v>
      </c>
      <c r="V271" s="10">
        <v>0</v>
      </c>
      <c r="W271" s="10">
        <v>0</v>
      </c>
      <c r="X271" s="74">
        <v>0</v>
      </c>
      <c r="Y271" s="74">
        <v>0</v>
      </c>
      <c r="Z271" s="74">
        <v>0</v>
      </c>
      <c r="AA271" s="74">
        <v>0</v>
      </c>
      <c r="AB271" s="74">
        <v>0</v>
      </c>
      <c r="AC271" s="74">
        <v>0</v>
      </c>
      <c r="AD271" s="74">
        <v>0</v>
      </c>
      <c r="AE271" s="74">
        <v>0</v>
      </c>
      <c r="AF271" s="74">
        <v>0</v>
      </c>
      <c r="AG271" s="90">
        <f t="shared" si="17"/>
        <v>10</v>
      </c>
      <c r="AH271" s="90">
        <f t="shared" si="19"/>
        <v>8</v>
      </c>
      <c r="AI271" s="90">
        <f t="shared" si="18"/>
        <v>2</v>
      </c>
    </row>
    <row r="272" spans="1:35" s="104" customFormat="1" x14ac:dyDescent="0.35">
      <c r="A272" s="93"/>
      <c r="B272" s="95"/>
      <c r="C272" s="96">
        <v>45972</v>
      </c>
      <c r="D272" s="97">
        <v>19</v>
      </c>
      <c r="E272" s="97" t="s">
        <v>587</v>
      </c>
      <c r="F272" s="10">
        <v>0</v>
      </c>
      <c r="G272" s="10">
        <v>0</v>
      </c>
      <c r="H272" s="10">
        <v>0</v>
      </c>
      <c r="I272" s="10">
        <v>0</v>
      </c>
      <c r="J272" s="74">
        <v>0</v>
      </c>
      <c r="K272" s="74">
        <v>0</v>
      </c>
      <c r="L272" s="74">
        <v>0</v>
      </c>
      <c r="M272" s="74">
        <v>0</v>
      </c>
      <c r="N272" s="74">
        <v>0</v>
      </c>
      <c r="O272" s="74">
        <v>1</v>
      </c>
      <c r="P272" s="74">
        <v>0</v>
      </c>
      <c r="Q272" s="74">
        <v>0</v>
      </c>
      <c r="R272" s="74">
        <v>0</v>
      </c>
      <c r="S272" s="97" t="s">
        <v>98</v>
      </c>
      <c r="T272" s="10">
        <v>4</v>
      </c>
      <c r="U272" s="10">
        <v>0</v>
      </c>
      <c r="V272" s="10">
        <v>0</v>
      </c>
      <c r="W272" s="10">
        <v>0</v>
      </c>
      <c r="X272" s="74">
        <v>0</v>
      </c>
      <c r="Y272" s="74">
        <v>0</v>
      </c>
      <c r="Z272" s="74">
        <v>0</v>
      </c>
      <c r="AA272" s="74">
        <v>0</v>
      </c>
      <c r="AB272" s="74">
        <v>0</v>
      </c>
      <c r="AC272" s="74">
        <v>0</v>
      </c>
      <c r="AD272" s="74">
        <v>0</v>
      </c>
      <c r="AE272" s="74">
        <v>0</v>
      </c>
      <c r="AF272" s="74">
        <v>0</v>
      </c>
      <c r="AG272" s="90">
        <f t="shared" si="17"/>
        <v>5</v>
      </c>
      <c r="AH272" s="90">
        <f t="shared" si="19"/>
        <v>4</v>
      </c>
      <c r="AI272" s="90">
        <f t="shared" si="18"/>
        <v>1</v>
      </c>
    </row>
    <row r="273" spans="1:35" s="104" customFormat="1" x14ac:dyDescent="0.35">
      <c r="A273" s="93"/>
      <c r="B273" s="95"/>
      <c r="C273" s="96">
        <v>45976</v>
      </c>
      <c r="D273" s="97">
        <v>19</v>
      </c>
      <c r="E273" s="97" t="s">
        <v>601</v>
      </c>
      <c r="F273" s="10">
        <v>0</v>
      </c>
      <c r="G273" s="10">
        <v>0</v>
      </c>
      <c r="H273" s="10">
        <v>0</v>
      </c>
      <c r="I273" s="10">
        <v>0</v>
      </c>
      <c r="J273" s="74">
        <v>0</v>
      </c>
      <c r="K273" s="74">
        <v>0</v>
      </c>
      <c r="L273" s="74">
        <v>0</v>
      </c>
      <c r="M273" s="74">
        <v>0</v>
      </c>
      <c r="N273" s="74">
        <v>0</v>
      </c>
      <c r="O273" s="74">
        <v>0</v>
      </c>
      <c r="P273" s="74">
        <v>0</v>
      </c>
      <c r="Q273" s="74">
        <v>0</v>
      </c>
      <c r="R273" s="74">
        <v>1</v>
      </c>
      <c r="S273" s="97" t="s">
        <v>599</v>
      </c>
      <c r="T273" s="10">
        <v>7</v>
      </c>
      <c r="U273" s="10">
        <v>0</v>
      </c>
      <c r="V273" s="10">
        <v>0</v>
      </c>
      <c r="W273" s="10">
        <v>1</v>
      </c>
      <c r="X273" s="74">
        <v>0</v>
      </c>
      <c r="Y273" s="74">
        <v>0</v>
      </c>
      <c r="Z273" s="74">
        <v>0</v>
      </c>
      <c r="AA273" s="74">
        <v>0</v>
      </c>
      <c r="AB273" s="74">
        <v>0</v>
      </c>
      <c r="AC273" s="74">
        <v>0</v>
      </c>
      <c r="AD273" s="74">
        <v>0</v>
      </c>
      <c r="AE273" s="74">
        <v>0</v>
      </c>
      <c r="AF273" s="74">
        <v>0</v>
      </c>
      <c r="AG273" s="90">
        <f t="shared" si="17"/>
        <v>9</v>
      </c>
      <c r="AH273" s="90">
        <f t="shared" si="19"/>
        <v>8</v>
      </c>
      <c r="AI273" s="90">
        <f t="shared" si="18"/>
        <v>1</v>
      </c>
    </row>
    <row r="274" spans="1:35" x14ac:dyDescent="0.5">
      <c r="AG274" s="90"/>
      <c r="AH274" s="90"/>
      <c r="AI274" s="90"/>
    </row>
    <row r="275" spans="1:35" x14ac:dyDescent="0.35">
      <c r="A275" s="93">
        <v>22</v>
      </c>
      <c r="B275" s="95" t="s">
        <v>260</v>
      </c>
      <c r="C275" s="96">
        <v>45939</v>
      </c>
      <c r="D275" s="97" t="s">
        <v>55</v>
      </c>
      <c r="E275" s="97" t="s">
        <v>55</v>
      </c>
      <c r="F275" s="10">
        <v>0</v>
      </c>
      <c r="G275" s="10">
        <v>0</v>
      </c>
      <c r="H275" s="10">
        <v>0</v>
      </c>
      <c r="I275" s="10">
        <v>0</v>
      </c>
      <c r="J275" s="74">
        <v>0</v>
      </c>
      <c r="K275" s="74">
        <v>0</v>
      </c>
      <c r="L275" s="74">
        <v>0</v>
      </c>
      <c r="M275" s="74">
        <v>0</v>
      </c>
      <c r="N275" s="74">
        <v>0</v>
      </c>
      <c r="O275" s="74">
        <v>0</v>
      </c>
      <c r="P275" s="74">
        <v>0</v>
      </c>
      <c r="Q275" s="74">
        <v>0</v>
      </c>
      <c r="R275" s="74">
        <v>0</v>
      </c>
      <c r="S275" s="97" t="s">
        <v>55</v>
      </c>
      <c r="T275" s="10">
        <v>0</v>
      </c>
      <c r="U275" s="10">
        <v>0</v>
      </c>
      <c r="V275" s="10">
        <v>0</v>
      </c>
      <c r="W275" s="10">
        <v>0</v>
      </c>
      <c r="X275" s="74">
        <v>0</v>
      </c>
      <c r="Y275" s="74">
        <v>0</v>
      </c>
      <c r="Z275" s="74">
        <v>0</v>
      </c>
      <c r="AA275" s="74">
        <v>0</v>
      </c>
      <c r="AB275" s="74">
        <v>0</v>
      </c>
      <c r="AC275" s="74">
        <v>0</v>
      </c>
      <c r="AD275" s="74">
        <v>0</v>
      </c>
      <c r="AE275" s="74">
        <v>0</v>
      </c>
      <c r="AF275" s="74">
        <v>0</v>
      </c>
      <c r="AG275" s="90">
        <f t="shared" si="17"/>
        <v>0</v>
      </c>
      <c r="AH275" s="90">
        <f t="shared" si="19"/>
        <v>0</v>
      </c>
      <c r="AI275" s="90">
        <f t="shared" si="18"/>
        <v>0</v>
      </c>
    </row>
    <row r="276" spans="1:35" x14ac:dyDescent="0.5">
      <c r="C276" s="96">
        <v>45944</v>
      </c>
      <c r="D276" s="97">
        <v>8</v>
      </c>
      <c r="E276" s="97" t="s">
        <v>548</v>
      </c>
      <c r="F276" s="10">
        <v>20</v>
      </c>
      <c r="G276" s="10">
        <v>0</v>
      </c>
      <c r="H276" s="10">
        <v>0</v>
      </c>
      <c r="I276" s="10">
        <v>0</v>
      </c>
      <c r="J276" s="74">
        <v>0</v>
      </c>
      <c r="K276" s="74">
        <v>1</v>
      </c>
      <c r="L276" s="74">
        <v>0</v>
      </c>
      <c r="M276" s="74">
        <v>0</v>
      </c>
      <c r="N276" s="74">
        <v>0</v>
      </c>
      <c r="O276" s="74">
        <v>0</v>
      </c>
      <c r="P276" s="74">
        <v>0</v>
      </c>
      <c r="Q276" s="74">
        <v>0</v>
      </c>
      <c r="R276" s="74">
        <v>0</v>
      </c>
      <c r="S276" s="97" t="s">
        <v>360</v>
      </c>
      <c r="T276" s="10">
        <v>20</v>
      </c>
      <c r="U276" s="10">
        <v>0</v>
      </c>
      <c r="V276" s="10">
        <v>0</v>
      </c>
      <c r="W276" s="10">
        <v>0</v>
      </c>
      <c r="X276" s="74">
        <v>0</v>
      </c>
      <c r="Y276" s="74">
        <v>0</v>
      </c>
      <c r="Z276" s="74">
        <v>0</v>
      </c>
      <c r="AA276" s="74">
        <v>0</v>
      </c>
      <c r="AB276" s="74">
        <v>0</v>
      </c>
      <c r="AC276" s="74">
        <v>0</v>
      </c>
      <c r="AD276" s="74">
        <v>0</v>
      </c>
      <c r="AE276" s="74">
        <v>0</v>
      </c>
      <c r="AF276" s="74">
        <v>0</v>
      </c>
      <c r="AG276" s="90">
        <f t="shared" si="17"/>
        <v>41</v>
      </c>
      <c r="AH276" s="90">
        <f t="shared" si="19"/>
        <v>40</v>
      </c>
      <c r="AI276" s="90">
        <f t="shared" si="18"/>
        <v>1</v>
      </c>
    </row>
    <row r="277" spans="1:35" x14ac:dyDescent="0.5">
      <c r="C277" s="96">
        <v>45947</v>
      </c>
      <c r="D277" s="97">
        <v>8</v>
      </c>
      <c r="E277" s="97" t="s">
        <v>383</v>
      </c>
      <c r="F277" s="10">
        <v>12</v>
      </c>
      <c r="G277" s="10">
        <v>3</v>
      </c>
      <c r="H277" s="10">
        <v>1</v>
      </c>
      <c r="I277" s="10">
        <v>0</v>
      </c>
      <c r="J277" s="74">
        <v>0</v>
      </c>
      <c r="K277" s="74">
        <v>0</v>
      </c>
      <c r="L277" s="74">
        <v>0</v>
      </c>
      <c r="M277" s="74">
        <v>0</v>
      </c>
      <c r="N277" s="74">
        <v>0</v>
      </c>
      <c r="O277" s="74">
        <v>0</v>
      </c>
      <c r="P277" s="74">
        <v>0</v>
      </c>
      <c r="Q277" s="74">
        <v>0</v>
      </c>
      <c r="R277" s="74">
        <v>0</v>
      </c>
      <c r="S277" s="97" t="s">
        <v>382</v>
      </c>
      <c r="T277" s="10">
        <v>10</v>
      </c>
      <c r="U277" s="10">
        <v>12</v>
      </c>
      <c r="V277" s="10">
        <v>0</v>
      </c>
      <c r="W277" s="10">
        <v>0</v>
      </c>
      <c r="X277" s="74">
        <v>0</v>
      </c>
      <c r="Y277" s="74">
        <v>0</v>
      </c>
      <c r="Z277" s="74">
        <v>0</v>
      </c>
      <c r="AA277" s="74">
        <v>0</v>
      </c>
      <c r="AB277" s="74">
        <v>0</v>
      </c>
      <c r="AC277" s="74">
        <v>0</v>
      </c>
      <c r="AD277" s="74">
        <v>0</v>
      </c>
      <c r="AE277" s="74">
        <v>0</v>
      </c>
      <c r="AF277" s="74">
        <v>0</v>
      </c>
      <c r="AG277" s="90">
        <f t="shared" si="17"/>
        <v>38</v>
      </c>
      <c r="AH277" s="90">
        <f t="shared" si="19"/>
        <v>38</v>
      </c>
      <c r="AI277" s="90">
        <f t="shared" si="18"/>
        <v>0</v>
      </c>
    </row>
    <row r="278" spans="1:35" x14ac:dyDescent="0.5">
      <c r="C278" s="96">
        <v>45951</v>
      </c>
      <c r="D278" s="97">
        <v>8</v>
      </c>
      <c r="E278" s="97" t="s">
        <v>427</v>
      </c>
      <c r="F278" s="10">
        <v>8</v>
      </c>
      <c r="G278" s="10">
        <v>0</v>
      </c>
      <c r="H278" s="10">
        <v>0</v>
      </c>
      <c r="I278" s="10">
        <v>0</v>
      </c>
      <c r="J278" s="74">
        <v>0</v>
      </c>
      <c r="K278" s="74">
        <v>0</v>
      </c>
      <c r="L278" s="74">
        <v>0</v>
      </c>
      <c r="M278" s="74">
        <v>1</v>
      </c>
      <c r="N278" s="74">
        <v>0</v>
      </c>
      <c r="O278" s="74">
        <v>0</v>
      </c>
      <c r="P278" s="74">
        <v>0</v>
      </c>
      <c r="Q278" s="74">
        <v>0</v>
      </c>
      <c r="R278" s="74">
        <v>0</v>
      </c>
      <c r="S278" s="97" t="s">
        <v>124</v>
      </c>
      <c r="T278" s="10">
        <v>4</v>
      </c>
      <c r="U278" s="10">
        <v>1</v>
      </c>
      <c r="V278" s="10">
        <v>0</v>
      </c>
      <c r="W278" s="10">
        <v>0</v>
      </c>
      <c r="X278" s="74">
        <v>0</v>
      </c>
      <c r="Y278" s="74">
        <v>0</v>
      </c>
      <c r="Z278" s="74">
        <v>0</v>
      </c>
      <c r="AA278" s="74">
        <v>0</v>
      </c>
      <c r="AB278" s="74">
        <v>0</v>
      </c>
      <c r="AC278" s="74">
        <v>0</v>
      </c>
      <c r="AD278" s="74">
        <v>0</v>
      </c>
      <c r="AE278" s="74">
        <v>0</v>
      </c>
      <c r="AF278" s="74">
        <v>0</v>
      </c>
      <c r="AG278" s="90">
        <f t="shared" si="17"/>
        <v>14</v>
      </c>
      <c r="AH278" s="90">
        <f t="shared" si="19"/>
        <v>13</v>
      </c>
      <c r="AI278" s="90">
        <f t="shared" si="18"/>
        <v>1</v>
      </c>
    </row>
    <row r="279" spans="1:35" x14ac:dyDescent="0.5">
      <c r="C279" s="96">
        <v>45954</v>
      </c>
      <c r="D279" s="97">
        <v>8</v>
      </c>
      <c r="E279" s="97" t="s">
        <v>549</v>
      </c>
      <c r="F279" s="10">
        <v>3</v>
      </c>
      <c r="G279" s="10">
        <v>0</v>
      </c>
      <c r="H279" s="10">
        <v>0</v>
      </c>
      <c r="I279" s="10">
        <v>1</v>
      </c>
      <c r="J279" s="74">
        <v>0</v>
      </c>
      <c r="K279" s="74">
        <v>1</v>
      </c>
      <c r="L279" s="74">
        <v>0</v>
      </c>
      <c r="M279" s="74">
        <v>1</v>
      </c>
      <c r="N279" s="74">
        <v>0</v>
      </c>
      <c r="O279" s="74">
        <v>0</v>
      </c>
      <c r="P279" s="74">
        <v>0</v>
      </c>
      <c r="Q279" s="74">
        <v>0</v>
      </c>
      <c r="R279" s="74">
        <v>0</v>
      </c>
      <c r="S279" s="97" t="s">
        <v>435</v>
      </c>
      <c r="T279" s="10">
        <v>10</v>
      </c>
      <c r="U279" s="10">
        <v>0</v>
      </c>
      <c r="V279" s="10">
        <v>0</v>
      </c>
      <c r="W279" s="10">
        <v>0</v>
      </c>
      <c r="X279" s="74">
        <v>0</v>
      </c>
      <c r="Y279" s="74">
        <v>0</v>
      </c>
      <c r="Z279" s="74">
        <v>0</v>
      </c>
      <c r="AA279" s="74">
        <v>0</v>
      </c>
      <c r="AB279" s="74">
        <v>0</v>
      </c>
      <c r="AC279" s="74">
        <v>0</v>
      </c>
      <c r="AD279" s="74">
        <v>0</v>
      </c>
      <c r="AE279" s="74">
        <v>0</v>
      </c>
      <c r="AF279" s="74">
        <v>0</v>
      </c>
      <c r="AG279" s="90">
        <f t="shared" si="17"/>
        <v>16</v>
      </c>
      <c r="AH279" s="90">
        <f t="shared" si="19"/>
        <v>14</v>
      </c>
      <c r="AI279" s="90">
        <f t="shared" si="18"/>
        <v>2</v>
      </c>
    </row>
    <row r="280" spans="1:35" s="104" customFormat="1" x14ac:dyDescent="0.35">
      <c r="A280" s="93"/>
      <c r="B280" s="95"/>
      <c r="C280" s="96">
        <v>45958</v>
      </c>
      <c r="D280" s="97">
        <v>8</v>
      </c>
      <c r="E280" s="97" t="s">
        <v>464</v>
      </c>
      <c r="F280" s="10">
        <v>12</v>
      </c>
      <c r="G280" s="10">
        <v>0</v>
      </c>
      <c r="H280" s="10">
        <v>0</v>
      </c>
      <c r="I280" s="10">
        <v>0</v>
      </c>
      <c r="J280" s="74">
        <v>0</v>
      </c>
      <c r="K280" s="74">
        <v>1</v>
      </c>
      <c r="L280" s="74">
        <v>0</v>
      </c>
      <c r="M280" s="74">
        <v>0</v>
      </c>
      <c r="N280" s="74">
        <v>0</v>
      </c>
      <c r="O280" s="74">
        <v>0</v>
      </c>
      <c r="P280" s="74">
        <v>0</v>
      </c>
      <c r="Q280" s="74">
        <v>0</v>
      </c>
      <c r="R280" s="74">
        <v>0</v>
      </c>
      <c r="S280" s="97" t="s">
        <v>227</v>
      </c>
      <c r="T280" s="10">
        <v>9</v>
      </c>
      <c r="U280" s="10">
        <v>0</v>
      </c>
      <c r="V280" s="10">
        <v>0</v>
      </c>
      <c r="W280" s="10">
        <v>0</v>
      </c>
      <c r="X280" s="74">
        <v>0</v>
      </c>
      <c r="Y280" s="74">
        <v>0</v>
      </c>
      <c r="Z280" s="74">
        <v>0</v>
      </c>
      <c r="AA280" s="74">
        <v>0</v>
      </c>
      <c r="AB280" s="74">
        <v>0</v>
      </c>
      <c r="AC280" s="74">
        <v>0</v>
      </c>
      <c r="AD280" s="74">
        <v>0</v>
      </c>
      <c r="AE280" s="74">
        <v>0</v>
      </c>
      <c r="AF280" s="74">
        <v>0</v>
      </c>
      <c r="AG280" s="90">
        <f t="shared" si="17"/>
        <v>22</v>
      </c>
      <c r="AH280" s="90">
        <f t="shared" si="19"/>
        <v>21</v>
      </c>
      <c r="AI280" s="90">
        <f t="shared" si="18"/>
        <v>1</v>
      </c>
    </row>
    <row r="281" spans="1:35" s="104" customFormat="1" x14ac:dyDescent="0.35">
      <c r="A281" s="93"/>
      <c r="B281" s="95"/>
      <c r="C281" s="96">
        <v>45961</v>
      </c>
      <c r="D281" s="97">
        <v>8</v>
      </c>
      <c r="E281" s="97" t="s">
        <v>100</v>
      </c>
      <c r="F281" s="10">
        <v>6</v>
      </c>
      <c r="G281" s="10">
        <v>0</v>
      </c>
      <c r="H281" s="10">
        <v>0</v>
      </c>
      <c r="I281" s="10">
        <v>0</v>
      </c>
      <c r="J281" s="74">
        <v>0</v>
      </c>
      <c r="K281" s="74">
        <v>0</v>
      </c>
      <c r="L281" s="74">
        <v>0</v>
      </c>
      <c r="M281" s="74">
        <v>0</v>
      </c>
      <c r="N281" s="74">
        <v>0</v>
      </c>
      <c r="O281" s="74">
        <v>0</v>
      </c>
      <c r="P281" s="74">
        <v>0</v>
      </c>
      <c r="Q281" s="74">
        <v>0</v>
      </c>
      <c r="R281" s="74">
        <v>0</v>
      </c>
      <c r="S281" s="97" t="s">
        <v>513</v>
      </c>
      <c r="T281" s="10">
        <v>0</v>
      </c>
      <c r="U281" s="10">
        <v>2</v>
      </c>
      <c r="V281" s="10">
        <v>0</v>
      </c>
      <c r="W281" s="10">
        <v>0</v>
      </c>
      <c r="X281" s="74">
        <v>0</v>
      </c>
      <c r="Y281" s="74">
        <v>0</v>
      </c>
      <c r="Z281" s="74">
        <v>0</v>
      </c>
      <c r="AA281" s="74">
        <v>0</v>
      </c>
      <c r="AB281" s="74">
        <v>0</v>
      </c>
      <c r="AC281" s="74">
        <v>1</v>
      </c>
      <c r="AD281" s="74">
        <v>0</v>
      </c>
      <c r="AE281" s="74">
        <v>1</v>
      </c>
      <c r="AF281" s="74">
        <v>0</v>
      </c>
      <c r="AG281" s="90">
        <f t="shared" si="17"/>
        <v>10</v>
      </c>
      <c r="AH281" s="90">
        <f t="shared" si="19"/>
        <v>8</v>
      </c>
      <c r="AI281" s="90">
        <f t="shared" si="18"/>
        <v>2</v>
      </c>
    </row>
    <row r="282" spans="1:35" s="104" customFormat="1" x14ac:dyDescent="0.35">
      <c r="A282" s="93"/>
      <c r="B282" s="95"/>
      <c r="C282" s="96">
        <v>45964</v>
      </c>
      <c r="D282" s="97">
        <v>8</v>
      </c>
      <c r="E282" s="97" t="s">
        <v>565</v>
      </c>
      <c r="F282" s="10">
        <v>0</v>
      </c>
      <c r="G282" s="10">
        <v>1</v>
      </c>
      <c r="H282" s="10">
        <v>0</v>
      </c>
      <c r="I282" s="10">
        <v>2</v>
      </c>
      <c r="J282" s="74">
        <v>0</v>
      </c>
      <c r="K282" s="74">
        <v>0</v>
      </c>
      <c r="L282" s="74">
        <v>0</v>
      </c>
      <c r="M282" s="74">
        <v>1</v>
      </c>
      <c r="N282" s="74">
        <v>0</v>
      </c>
      <c r="O282" s="74">
        <v>0</v>
      </c>
      <c r="P282" s="74">
        <v>0</v>
      </c>
      <c r="Q282" s="74">
        <v>0</v>
      </c>
      <c r="R282" s="74">
        <v>0</v>
      </c>
      <c r="S282" s="97" t="s">
        <v>559</v>
      </c>
      <c r="T282" s="10">
        <v>0</v>
      </c>
      <c r="U282" s="10">
        <v>2</v>
      </c>
      <c r="V282" s="10">
        <v>0</v>
      </c>
      <c r="W282" s="10">
        <v>0</v>
      </c>
      <c r="X282" s="74">
        <v>0</v>
      </c>
      <c r="Y282" s="74">
        <v>1</v>
      </c>
      <c r="Z282" s="74">
        <v>0</v>
      </c>
      <c r="AA282" s="74">
        <v>0</v>
      </c>
      <c r="AB282" s="74">
        <v>0</v>
      </c>
      <c r="AC282" s="74">
        <v>0</v>
      </c>
      <c r="AD282" s="74">
        <v>0</v>
      </c>
      <c r="AE282" s="74">
        <v>1</v>
      </c>
      <c r="AF282" s="74">
        <v>0</v>
      </c>
      <c r="AG282" s="90">
        <f t="shared" si="17"/>
        <v>8</v>
      </c>
      <c r="AH282" s="90">
        <f t="shared" si="19"/>
        <v>5</v>
      </c>
      <c r="AI282" s="90">
        <f t="shared" si="18"/>
        <v>3</v>
      </c>
    </row>
    <row r="283" spans="1:35" s="104" customFormat="1" x14ac:dyDescent="0.35">
      <c r="A283" s="93"/>
      <c r="B283" s="95"/>
      <c r="C283" s="96">
        <v>45968</v>
      </c>
      <c r="D283" s="97">
        <v>8</v>
      </c>
      <c r="E283" s="97" t="s">
        <v>187</v>
      </c>
      <c r="F283" s="10">
        <v>0</v>
      </c>
      <c r="G283" s="10">
        <v>0</v>
      </c>
      <c r="H283" s="10">
        <v>0</v>
      </c>
      <c r="I283" s="10">
        <v>0</v>
      </c>
      <c r="J283" s="74">
        <v>0</v>
      </c>
      <c r="K283" s="74">
        <v>1</v>
      </c>
      <c r="L283" s="74">
        <v>0</v>
      </c>
      <c r="M283" s="74">
        <v>1</v>
      </c>
      <c r="N283" s="74">
        <v>0</v>
      </c>
      <c r="O283" s="74">
        <v>0</v>
      </c>
      <c r="P283" s="74">
        <v>0</v>
      </c>
      <c r="Q283" s="74">
        <v>0</v>
      </c>
      <c r="R283" s="74">
        <v>0</v>
      </c>
      <c r="S283" s="97" t="s">
        <v>124</v>
      </c>
      <c r="T283" s="10">
        <v>4</v>
      </c>
      <c r="U283" s="10">
        <v>1</v>
      </c>
      <c r="V283" s="10">
        <v>0</v>
      </c>
      <c r="W283" s="10">
        <v>0</v>
      </c>
      <c r="X283" s="74">
        <v>0</v>
      </c>
      <c r="Y283" s="74">
        <v>0</v>
      </c>
      <c r="Z283" s="74">
        <v>0</v>
      </c>
      <c r="AA283" s="74">
        <v>0</v>
      </c>
      <c r="AB283" s="74">
        <v>0</v>
      </c>
      <c r="AC283" s="74">
        <v>0</v>
      </c>
      <c r="AD283" s="74">
        <v>0</v>
      </c>
      <c r="AE283" s="74">
        <v>0</v>
      </c>
      <c r="AF283" s="74">
        <v>0</v>
      </c>
      <c r="AG283" s="90">
        <f t="shared" si="17"/>
        <v>7</v>
      </c>
      <c r="AH283" s="90">
        <f t="shared" si="19"/>
        <v>5</v>
      </c>
      <c r="AI283" s="90">
        <f t="shared" si="18"/>
        <v>2</v>
      </c>
    </row>
    <row r="284" spans="1:35" s="104" customFormat="1" x14ac:dyDescent="0.35">
      <c r="A284" s="93"/>
      <c r="B284" s="95"/>
      <c r="C284" s="96">
        <v>45972</v>
      </c>
      <c r="D284" s="97">
        <v>8</v>
      </c>
      <c r="E284" s="97" t="s">
        <v>593</v>
      </c>
      <c r="F284" s="10">
        <v>2</v>
      </c>
      <c r="G284" s="10">
        <v>1</v>
      </c>
      <c r="H284" s="10">
        <v>0</v>
      </c>
      <c r="I284" s="10">
        <v>2</v>
      </c>
      <c r="J284" s="74">
        <v>0</v>
      </c>
      <c r="K284" s="74">
        <v>0</v>
      </c>
      <c r="L284" s="74">
        <v>0</v>
      </c>
      <c r="M284" s="74">
        <v>0</v>
      </c>
      <c r="N284" s="74">
        <v>0</v>
      </c>
      <c r="O284" s="74">
        <v>0</v>
      </c>
      <c r="P284" s="74">
        <v>0</v>
      </c>
      <c r="Q284" s="74">
        <v>0</v>
      </c>
      <c r="R284" s="74">
        <v>0</v>
      </c>
      <c r="S284" s="97" t="s">
        <v>506</v>
      </c>
      <c r="T284" s="10">
        <v>0</v>
      </c>
      <c r="U284" s="10">
        <v>0</v>
      </c>
      <c r="V284" s="10">
        <v>0</v>
      </c>
      <c r="W284" s="10">
        <v>0</v>
      </c>
      <c r="X284" s="74">
        <v>0</v>
      </c>
      <c r="Y284" s="74">
        <v>0</v>
      </c>
      <c r="Z284" s="74">
        <v>0</v>
      </c>
      <c r="AA284" s="74">
        <v>0</v>
      </c>
      <c r="AB284" s="74">
        <v>1</v>
      </c>
      <c r="AC284" s="74">
        <v>0</v>
      </c>
      <c r="AD284" s="74">
        <v>0</v>
      </c>
      <c r="AE284" s="74">
        <v>0</v>
      </c>
      <c r="AF284" s="74">
        <v>0</v>
      </c>
      <c r="AG284" s="90">
        <f t="shared" si="17"/>
        <v>6</v>
      </c>
      <c r="AH284" s="90">
        <f t="shared" si="19"/>
        <v>5</v>
      </c>
      <c r="AI284" s="90">
        <f t="shared" si="18"/>
        <v>1</v>
      </c>
    </row>
    <row r="285" spans="1:35" x14ac:dyDescent="0.5">
      <c r="AG285" s="90"/>
      <c r="AH285" s="90"/>
      <c r="AI285" s="90"/>
    </row>
    <row r="286" spans="1:35" x14ac:dyDescent="0.35">
      <c r="A286" s="93">
        <v>23</v>
      </c>
      <c r="B286" s="95" t="s">
        <v>331</v>
      </c>
      <c r="C286" s="96">
        <v>45936</v>
      </c>
      <c r="D286" s="97" t="s">
        <v>55</v>
      </c>
      <c r="E286" s="97" t="s">
        <v>55</v>
      </c>
      <c r="F286" s="10">
        <v>0</v>
      </c>
      <c r="G286" s="10">
        <v>0</v>
      </c>
      <c r="H286" s="10">
        <v>0</v>
      </c>
      <c r="I286" s="10">
        <v>0</v>
      </c>
      <c r="J286" s="74">
        <v>0</v>
      </c>
      <c r="K286" s="74">
        <v>0</v>
      </c>
      <c r="L286" s="74">
        <v>0</v>
      </c>
      <c r="M286" s="74">
        <v>0</v>
      </c>
      <c r="N286" s="74">
        <v>0</v>
      </c>
      <c r="O286" s="74">
        <v>0</v>
      </c>
      <c r="P286" s="74">
        <v>0</v>
      </c>
      <c r="Q286" s="74">
        <v>0</v>
      </c>
      <c r="R286" s="74">
        <v>0</v>
      </c>
      <c r="S286" s="97" t="s">
        <v>55</v>
      </c>
      <c r="T286" s="10">
        <v>0</v>
      </c>
      <c r="U286" s="10">
        <v>0</v>
      </c>
      <c r="V286" s="10">
        <v>0</v>
      </c>
      <c r="W286" s="10">
        <v>0</v>
      </c>
      <c r="X286" s="74">
        <v>0</v>
      </c>
      <c r="Y286" s="74">
        <v>0</v>
      </c>
      <c r="Z286" s="74">
        <v>0</v>
      </c>
      <c r="AA286" s="74">
        <v>0</v>
      </c>
      <c r="AB286" s="74">
        <v>0</v>
      </c>
      <c r="AC286" s="74">
        <v>0</v>
      </c>
      <c r="AD286" s="74">
        <v>0</v>
      </c>
      <c r="AE286" s="74">
        <v>0</v>
      </c>
      <c r="AF286" s="74">
        <v>0</v>
      </c>
      <c r="AG286" s="90">
        <f t="shared" si="17"/>
        <v>0</v>
      </c>
      <c r="AH286" s="90">
        <f t="shared" si="19"/>
        <v>0</v>
      </c>
      <c r="AI286" s="90">
        <f t="shared" si="18"/>
        <v>0</v>
      </c>
    </row>
    <row r="287" spans="1:35" x14ac:dyDescent="0.5">
      <c r="C287" s="96">
        <v>45939</v>
      </c>
      <c r="D287" s="97">
        <v>8</v>
      </c>
      <c r="E287" s="97" t="s">
        <v>299</v>
      </c>
      <c r="F287" s="10">
        <v>2</v>
      </c>
      <c r="G287" s="10">
        <v>3</v>
      </c>
      <c r="H287" s="10">
        <v>0</v>
      </c>
      <c r="I287" s="10">
        <v>0</v>
      </c>
      <c r="J287" s="74">
        <v>0</v>
      </c>
      <c r="K287" s="74">
        <v>0</v>
      </c>
      <c r="L287" s="74">
        <v>0</v>
      </c>
      <c r="M287" s="74">
        <v>0</v>
      </c>
      <c r="N287" s="74">
        <v>0</v>
      </c>
      <c r="O287" s="74">
        <v>0</v>
      </c>
      <c r="P287" s="74">
        <v>0</v>
      </c>
      <c r="Q287" s="74">
        <v>0</v>
      </c>
      <c r="R287" s="74">
        <v>0</v>
      </c>
      <c r="S287" s="97" t="s">
        <v>298</v>
      </c>
      <c r="T287" s="10">
        <v>3</v>
      </c>
      <c r="U287" s="10">
        <v>0</v>
      </c>
      <c r="V287" s="10">
        <v>0</v>
      </c>
      <c r="W287" s="10">
        <v>2</v>
      </c>
      <c r="X287" s="74">
        <v>0</v>
      </c>
      <c r="Y287" s="74">
        <v>0</v>
      </c>
      <c r="Z287" s="74">
        <v>0</v>
      </c>
      <c r="AA287" s="74">
        <v>0</v>
      </c>
      <c r="AB287" s="74">
        <v>0</v>
      </c>
      <c r="AC287" s="74">
        <v>0</v>
      </c>
      <c r="AD287" s="74">
        <v>0</v>
      </c>
      <c r="AE287" s="74">
        <v>0</v>
      </c>
      <c r="AF287" s="74">
        <v>0</v>
      </c>
      <c r="AG287" s="90">
        <f t="shared" si="17"/>
        <v>10</v>
      </c>
      <c r="AH287" s="90">
        <f t="shared" si="19"/>
        <v>10</v>
      </c>
      <c r="AI287" s="90">
        <f t="shared" si="18"/>
        <v>0</v>
      </c>
    </row>
    <row r="288" spans="1:35" x14ac:dyDescent="0.5">
      <c r="C288" s="96">
        <v>45944</v>
      </c>
      <c r="D288" s="97">
        <v>8</v>
      </c>
      <c r="AG288" s="90"/>
      <c r="AH288" s="90"/>
      <c r="AI288" s="90"/>
    </row>
    <row r="289" spans="1:35" x14ac:dyDescent="0.5">
      <c r="C289" s="96">
        <v>45947</v>
      </c>
      <c r="D289" s="97">
        <v>8</v>
      </c>
      <c r="E289" s="97" t="s">
        <v>398</v>
      </c>
      <c r="F289" s="10">
        <v>7</v>
      </c>
      <c r="G289" s="10">
        <v>2</v>
      </c>
      <c r="H289" s="10">
        <v>0</v>
      </c>
      <c r="I289" s="10">
        <v>0</v>
      </c>
      <c r="J289" s="74">
        <v>0</v>
      </c>
      <c r="K289" s="74">
        <v>0</v>
      </c>
      <c r="L289" s="74">
        <v>0</v>
      </c>
      <c r="M289" s="74">
        <v>0</v>
      </c>
      <c r="N289" s="74">
        <v>0</v>
      </c>
      <c r="O289" s="74">
        <v>1</v>
      </c>
      <c r="P289" s="74">
        <v>0</v>
      </c>
      <c r="Q289" s="74">
        <v>0</v>
      </c>
      <c r="R289" s="74">
        <v>0</v>
      </c>
      <c r="S289" s="97" t="s">
        <v>397</v>
      </c>
      <c r="T289" s="10">
        <v>4</v>
      </c>
      <c r="U289" s="10">
        <v>1</v>
      </c>
      <c r="V289" s="10">
        <v>0</v>
      </c>
      <c r="W289" s="10">
        <v>1</v>
      </c>
      <c r="X289" s="74">
        <v>0</v>
      </c>
      <c r="Y289" s="74">
        <v>0</v>
      </c>
      <c r="Z289" s="74">
        <v>0</v>
      </c>
      <c r="AA289" s="74">
        <v>0</v>
      </c>
      <c r="AB289" s="74">
        <v>0</v>
      </c>
      <c r="AC289" s="74">
        <v>0</v>
      </c>
      <c r="AD289" s="74">
        <v>0</v>
      </c>
      <c r="AE289" s="74">
        <v>0</v>
      </c>
      <c r="AF289" s="74">
        <v>0</v>
      </c>
      <c r="AG289" s="90">
        <f t="shared" si="17"/>
        <v>16</v>
      </c>
      <c r="AH289" s="90">
        <f t="shared" si="19"/>
        <v>15</v>
      </c>
      <c r="AI289" s="90">
        <f t="shared" si="18"/>
        <v>1</v>
      </c>
    </row>
    <row r="290" spans="1:35" x14ac:dyDescent="0.5">
      <c r="C290" s="96">
        <v>45951</v>
      </c>
      <c r="D290" s="97">
        <v>8</v>
      </c>
      <c r="E290" s="97" t="s">
        <v>85</v>
      </c>
      <c r="F290" s="10">
        <v>5</v>
      </c>
      <c r="G290" s="10">
        <v>2</v>
      </c>
      <c r="H290" s="10">
        <v>0</v>
      </c>
      <c r="I290" s="10">
        <v>0</v>
      </c>
      <c r="J290" s="74">
        <v>0</v>
      </c>
      <c r="K290" s="74">
        <v>0</v>
      </c>
      <c r="L290" s="74">
        <v>0</v>
      </c>
      <c r="M290" s="74">
        <v>0</v>
      </c>
      <c r="N290" s="74">
        <v>0</v>
      </c>
      <c r="O290" s="74">
        <v>0</v>
      </c>
      <c r="P290" s="74">
        <v>0</v>
      </c>
      <c r="Q290" s="74">
        <v>0</v>
      </c>
      <c r="R290" s="74">
        <v>0</v>
      </c>
      <c r="S290" s="97" t="s">
        <v>417</v>
      </c>
      <c r="T290" s="10">
        <v>3</v>
      </c>
      <c r="U290" s="10">
        <v>0</v>
      </c>
      <c r="V290" s="10">
        <v>0</v>
      </c>
      <c r="W290" s="10">
        <v>2</v>
      </c>
      <c r="X290" s="74">
        <v>0</v>
      </c>
      <c r="Y290" s="74">
        <v>2</v>
      </c>
      <c r="Z290" s="74">
        <v>0</v>
      </c>
      <c r="AA290" s="74">
        <v>0</v>
      </c>
      <c r="AB290" s="74">
        <v>0</v>
      </c>
      <c r="AC290" s="74">
        <v>0</v>
      </c>
      <c r="AD290" s="74">
        <v>0</v>
      </c>
      <c r="AE290" s="74">
        <v>0</v>
      </c>
      <c r="AF290" s="74">
        <v>0</v>
      </c>
      <c r="AG290" s="90">
        <f t="shared" si="17"/>
        <v>14</v>
      </c>
      <c r="AH290" s="90">
        <f t="shared" si="19"/>
        <v>12</v>
      </c>
      <c r="AI290" s="90">
        <f t="shared" si="18"/>
        <v>2</v>
      </c>
    </row>
    <row r="291" spans="1:35" x14ac:dyDescent="0.5">
      <c r="C291" s="96">
        <v>45954</v>
      </c>
      <c r="D291" s="97">
        <v>8</v>
      </c>
      <c r="E291" s="97" t="s">
        <v>98</v>
      </c>
      <c r="F291" s="10">
        <v>4</v>
      </c>
      <c r="G291" s="10">
        <v>0</v>
      </c>
      <c r="H291" s="10">
        <v>0</v>
      </c>
      <c r="I291" s="10">
        <v>0</v>
      </c>
      <c r="J291" s="74">
        <v>0</v>
      </c>
      <c r="K291" s="74">
        <v>0</v>
      </c>
      <c r="L291" s="74">
        <v>0</v>
      </c>
      <c r="M291" s="74">
        <v>0</v>
      </c>
      <c r="N291" s="74">
        <v>0</v>
      </c>
      <c r="O291" s="74">
        <v>0</v>
      </c>
      <c r="P291" s="74">
        <v>0</v>
      </c>
      <c r="Q291" s="74">
        <v>0</v>
      </c>
      <c r="R291" s="74">
        <v>0</v>
      </c>
      <c r="S291" s="97" t="s">
        <v>436</v>
      </c>
      <c r="T291" s="10">
        <v>2</v>
      </c>
      <c r="U291" s="10">
        <v>1</v>
      </c>
      <c r="V291" s="10">
        <v>0</v>
      </c>
      <c r="W291" s="10">
        <v>0</v>
      </c>
      <c r="X291" s="74">
        <v>0</v>
      </c>
      <c r="Y291" s="74">
        <v>0</v>
      </c>
      <c r="Z291" s="74">
        <v>1</v>
      </c>
      <c r="AA291" s="74">
        <v>1</v>
      </c>
      <c r="AB291" s="74">
        <v>0</v>
      </c>
      <c r="AC291" s="74">
        <v>0</v>
      </c>
      <c r="AD291" s="74">
        <v>0</v>
      </c>
      <c r="AE291" s="74">
        <v>0</v>
      </c>
      <c r="AF291" s="74">
        <v>0</v>
      </c>
      <c r="AG291" s="90">
        <f t="shared" si="17"/>
        <v>9</v>
      </c>
      <c r="AH291" s="90">
        <f t="shared" si="19"/>
        <v>7</v>
      </c>
      <c r="AI291" s="90">
        <f t="shared" si="18"/>
        <v>2</v>
      </c>
    </row>
    <row r="292" spans="1:35" s="104" customFormat="1" x14ac:dyDescent="0.35">
      <c r="A292" s="93"/>
      <c r="B292" s="95"/>
      <c r="C292" s="96">
        <v>45958</v>
      </c>
      <c r="D292" s="97">
        <v>8</v>
      </c>
      <c r="E292" s="97" t="s">
        <v>460</v>
      </c>
      <c r="F292" s="10">
        <v>0</v>
      </c>
      <c r="G292" s="10">
        <v>0</v>
      </c>
      <c r="H292" s="10">
        <v>0</v>
      </c>
      <c r="I292" s="10">
        <v>1</v>
      </c>
      <c r="J292" s="74">
        <v>0</v>
      </c>
      <c r="K292" s="74">
        <v>0</v>
      </c>
      <c r="L292" s="74">
        <v>0</v>
      </c>
      <c r="M292" s="74">
        <v>1</v>
      </c>
      <c r="N292" s="74">
        <v>0</v>
      </c>
      <c r="O292" s="74">
        <v>0</v>
      </c>
      <c r="P292" s="74">
        <v>0</v>
      </c>
      <c r="Q292" s="74">
        <v>0</v>
      </c>
      <c r="R292" s="74">
        <v>0</v>
      </c>
      <c r="S292" s="97" t="s">
        <v>459</v>
      </c>
      <c r="T292" s="10">
        <v>2</v>
      </c>
      <c r="U292" s="10">
        <v>0</v>
      </c>
      <c r="V292" s="10">
        <v>0</v>
      </c>
      <c r="W292" s="10">
        <v>0</v>
      </c>
      <c r="X292" s="74">
        <v>0</v>
      </c>
      <c r="Y292" s="74">
        <v>0</v>
      </c>
      <c r="Z292" s="74">
        <v>0</v>
      </c>
      <c r="AA292" s="74">
        <v>0</v>
      </c>
      <c r="AB292" s="74">
        <v>0</v>
      </c>
      <c r="AC292" s="74">
        <v>0</v>
      </c>
      <c r="AD292" s="74">
        <v>0</v>
      </c>
      <c r="AE292" s="74">
        <v>0</v>
      </c>
      <c r="AF292" s="74">
        <v>0</v>
      </c>
      <c r="AG292" s="90">
        <f t="shared" si="17"/>
        <v>4</v>
      </c>
      <c r="AH292" s="90">
        <f t="shared" si="19"/>
        <v>3</v>
      </c>
      <c r="AI292" s="90">
        <f t="shared" si="18"/>
        <v>1</v>
      </c>
    </row>
    <row r="293" spans="1:35" s="104" customFormat="1" x14ac:dyDescent="0.35">
      <c r="A293" s="93"/>
      <c r="B293" s="95"/>
      <c r="C293" s="96">
        <v>45961</v>
      </c>
      <c r="D293" s="97">
        <v>8</v>
      </c>
      <c r="E293" s="97" t="s">
        <v>184</v>
      </c>
      <c r="F293" s="10">
        <v>3</v>
      </c>
      <c r="G293" s="10">
        <v>2</v>
      </c>
      <c r="H293" s="10">
        <v>0</v>
      </c>
      <c r="I293" s="10">
        <v>0</v>
      </c>
      <c r="J293" s="74">
        <v>0</v>
      </c>
      <c r="K293" s="74">
        <v>0</v>
      </c>
      <c r="L293" s="74">
        <v>0</v>
      </c>
      <c r="M293" s="74">
        <v>0</v>
      </c>
      <c r="N293" s="74">
        <v>0</v>
      </c>
      <c r="O293" s="74">
        <v>0</v>
      </c>
      <c r="P293" s="74">
        <v>0</v>
      </c>
      <c r="Q293" s="74">
        <v>0</v>
      </c>
      <c r="R293" s="74">
        <v>0</v>
      </c>
      <c r="S293" s="97" t="s">
        <v>525</v>
      </c>
      <c r="T293" s="10">
        <v>3</v>
      </c>
      <c r="U293" s="10">
        <v>1</v>
      </c>
      <c r="V293" s="10">
        <v>0</v>
      </c>
      <c r="W293" s="10">
        <v>0</v>
      </c>
      <c r="X293" s="74">
        <v>0</v>
      </c>
      <c r="Y293" s="74">
        <v>0</v>
      </c>
      <c r="Z293" s="74">
        <v>0</v>
      </c>
      <c r="AA293" s="74">
        <v>0</v>
      </c>
      <c r="AB293" s="74">
        <v>0</v>
      </c>
      <c r="AC293" s="74">
        <v>0</v>
      </c>
      <c r="AD293" s="74">
        <v>0</v>
      </c>
      <c r="AE293" s="74">
        <v>0</v>
      </c>
      <c r="AF293" s="74">
        <v>0</v>
      </c>
      <c r="AG293" s="90">
        <f t="shared" si="17"/>
        <v>9</v>
      </c>
      <c r="AH293" s="90">
        <f t="shared" si="19"/>
        <v>9</v>
      </c>
      <c r="AI293" s="90">
        <f t="shared" si="18"/>
        <v>0</v>
      </c>
    </row>
    <row r="294" spans="1:35" s="104" customFormat="1" x14ac:dyDescent="0.35">
      <c r="A294" s="93"/>
      <c r="B294" s="95"/>
      <c r="C294" s="96">
        <v>45964</v>
      </c>
      <c r="D294" s="97">
        <v>8</v>
      </c>
      <c r="E294" s="97" t="s">
        <v>345</v>
      </c>
      <c r="F294" s="10">
        <v>1</v>
      </c>
      <c r="G294" s="10">
        <v>0</v>
      </c>
      <c r="H294" s="10">
        <v>0</v>
      </c>
      <c r="I294" s="10">
        <v>0</v>
      </c>
      <c r="J294" s="74">
        <v>0</v>
      </c>
      <c r="K294" s="74">
        <v>0</v>
      </c>
      <c r="L294" s="74">
        <v>0</v>
      </c>
      <c r="M294" s="74">
        <v>1</v>
      </c>
      <c r="N294" s="74">
        <v>0</v>
      </c>
      <c r="O294" s="74">
        <v>0</v>
      </c>
      <c r="P294" s="74">
        <v>0</v>
      </c>
      <c r="Q294" s="74">
        <v>0</v>
      </c>
      <c r="R294" s="74">
        <v>0</v>
      </c>
      <c r="S294" s="97" t="s">
        <v>525</v>
      </c>
      <c r="T294" s="10">
        <v>3</v>
      </c>
      <c r="U294" s="10">
        <v>1</v>
      </c>
      <c r="V294" s="10">
        <v>0</v>
      </c>
      <c r="W294" s="10">
        <v>0</v>
      </c>
      <c r="X294" s="74">
        <v>0</v>
      </c>
      <c r="Y294" s="74">
        <v>0</v>
      </c>
      <c r="Z294" s="74">
        <v>0</v>
      </c>
      <c r="AA294" s="74">
        <v>0</v>
      </c>
      <c r="AB294" s="74">
        <v>0</v>
      </c>
      <c r="AC294" s="74">
        <v>0</v>
      </c>
      <c r="AD294" s="74">
        <v>0</v>
      </c>
      <c r="AE294" s="74">
        <v>0</v>
      </c>
      <c r="AF294" s="74">
        <v>0</v>
      </c>
      <c r="AG294" s="90">
        <f t="shared" si="17"/>
        <v>6</v>
      </c>
      <c r="AH294" s="90">
        <f t="shared" si="19"/>
        <v>5</v>
      </c>
      <c r="AI294" s="90">
        <f t="shared" si="18"/>
        <v>1</v>
      </c>
    </row>
    <row r="295" spans="1:35" s="104" customFormat="1" x14ac:dyDescent="0.35">
      <c r="A295" s="93"/>
      <c r="B295" s="95"/>
      <c r="C295" s="96">
        <v>45968</v>
      </c>
      <c r="D295" s="97">
        <v>8</v>
      </c>
      <c r="E295" s="97" t="s">
        <v>347</v>
      </c>
      <c r="F295" s="10">
        <v>2</v>
      </c>
      <c r="G295" s="10">
        <v>0</v>
      </c>
      <c r="H295" s="10">
        <v>0</v>
      </c>
      <c r="I295" s="10">
        <v>0</v>
      </c>
      <c r="J295" s="74">
        <v>0</v>
      </c>
      <c r="K295" s="74">
        <v>0</v>
      </c>
      <c r="L295" s="74">
        <v>0</v>
      </c>
      <c r="M295" s="74">
        <v>0</v>
      </c>
      <c r="N295" s="74">
        <v>0</v>
      </c>
      <c r="O295" s="74">
        <v>0</v>
      </c>
      <c r="P295" s="74">
        <v>0</v>
      </c>
      <c r="Q295" s="74">
        <v>0</v>
      </c>
      <c r="R295" s="74">
        <v>0</v>
      </c>
      <c r="S295" s="97" t="s">
        <v>130</v>
      </c>
      <c r="T295" s="10">
        <v>2</v>
      </c>
      <c r="U295" s="10">
        <v>0</v>
      </c>
      <c r="V295" s="10">
        <v>0</v>
      </c>
      <c r="W295" s="10">
        <v>0</v>
      </c>
      <c r="X295" s="74">
        <v>0</v>
      </c>
      <c r="Y295" s="74">
        <v>0</v>
      </c>
      <c r="Z295" s="74">
        <v>0</v>
      </c>
      <c r="AA295" s="74">
        <v>1</v>
      </c>
      <c r="AB295" s="74">
        <v>0</v>
      </c>
      <c r="AC295" s="74">
        <v>0</v>
      </c>
      <c r="AD295" s="74">
        <v>0</v>
      </c>
      <c r="AE295" s="74">
        <v>0</v>
      </c>
      <c r="AF295" s="74">
        <v>0</v>
      </c>
      <c r="AG295" s="90">
        <f t="shared" si="17"/>
        <v>5</v>
      </c>
      <c r="AH295" s="90">
        <f t="shared" si="19"/>
        <v>4</v>
      </c>
      <c r="AI295" s="90">
        <f t="shared" si="18"/>
        <v>1</v>
      </c>
    </row>
    <row r="296" spans="1:35" s="104" customFormat="1" x14ac:dyDescent="0.35">
      <c r="A296" s="93"/>
      <c r="B296" s="95"/>
      <c r="C296" s="96">
        <v>45972</v>
      </c>
      <c r="D296" s="97">
        <v>8</v>
      </c>
      <c r="E296" s="97" t="s">
        <v>590</v>
      </c>
      <c r="F296" s="10">
        <v>0</v>
      </c>
      <c r="G296" s="10">
        <v>0</v>
      </c>
      <c r="H296" s="10">
        <v>0</v>
      </c>
      <c r="I296" s="10">
        <v>0</v>
      </c>
      <c r="J296" s="74">
        <v>0</v>
      </c>
      <c r="K296" s="74">
        <v>0</v>
      </c>
      <c r="L296" s="74">
        <v>0</v>
      </c>
      <c r="M296" s="74">
        <v>1</v>
      </c>
      <c r="N296" s="74">
        <v>0</v>
      </c>
      <c r="O296" s="74">
        <v>0</v>
      </c>
      <c r="P296" s="74">
        <v>0</v>
      </c>
      <c r="Q296" s="74">
        <v>0</v>
      </c>
      <c r="R296" s="74">
        <v>0</v>
      </c>
      <c r="S296" s="97" t="s">
        <v>100</v>
      </c>
      <c r="T296" s="10">
        <v>6</v>
      </c>
      <c r="U296" s="10">
        <v>0</v>
      </c>
      <c r="V296" s="10">
        <v>0</v>
      </c>
      <c r="W296" s="10">
        <v>0</v>
      </c>
      <c r="X296" s="74">
        <v>0</v>
      </c>
      <c r="Y296" s="74">
        <v>0</v>
      </c>
      <c r="Z296" s="74">
        <v>0</v>
      </c>
      <c r="AA296" s="74">
        <v>0</v>
      </c>
      <c r="AB296" s="74">
        <v>0</v>
      </c>
      <c r="AC296" s="74">
        <v>0</v>
      </c>
      <c r="AD296" s="74">
        <v>0</v>
      </c>
      <c r="AE296" s="74">
        <v>0</v>
      </c>
      <c r="AF296" s="74">
        <v>0</v>
      </c>
      <c r="AG296" s="90">
        <f t="shared" si="17"/>
        <v>7</v>
      </c>
      <c r="AH296" s="90">
        <f t="shared" si="19"/>
        <v>6</v>
      </c>
      <c r="AI296" s="90">
        <f t="shared" si="18"/>
        <v>1</v>
      </c>
    </row>
    <row r="297" spans="1:35" s="104" customFormat="1" ht="87" x14ac:dyDescent="0.35">
      <c r="A297" s="93"/>
      <c r="B297" s="95"/>
      <c r="C297" s="96">
        <v>45976</v>
      </c>
      <c r="D297" s="97">
        <v>8</v>
      </c>
      <c r="E297" s="85" t="s">
        <v>604</v>
      </c>
      <c r="F297" s="10">
        <v>0</v>
      </c>
      <c r="G297" s="10">
        <v>0</v>
      </c>
      <c r="H297" s="10">
        <v>0</v>
      </c>
      <c r="I297" s="10">
        <v>0</v>
      </c>
      <c r="J297" s="74">
        <v>0</v>
      </c>
      <c r="K297" s="74">
        <v>0</v>
      </c>
      <c r="L297" s="74">
        <v>0</v>
      </c>
      <c r="M297" s="74">
        <v>0</v>
      </c>
      <c r="N297" s="74">
        <v>0</v>
      </c>
      <c r="O297" s="74">
        <v>1</v>
      </c>
      <c r="P297" s="74">
        <v>0</v>
      </c>
      <c r="Q297" s="74">
        <v>0</v>
      </c>
      <c r="R297" s="74">
        <v>0</v>
      </c>
      <c r="S297" s="85" t="s">
        <v>609</v>
      </c>
      <c r="T297" s="10">
        <v>3</v>
      </c>
      <c r="U297" s="10">
        <v>0</v>
      </c>
      <c r="V297" s="10">
        <v>0</v>
      </c>
      <c r="W297" s="10">
        <v>1</v>
      </c>
      <c r="X297" s="74">
        <v>0</v>
      </c>
      <c r="Y297" s="74">
        <v>0</v>
      </c>
      <c r="Z297" s="74">
        <v>0</v>
      </c>
      <c r="AA297" s="74">
        <v>0</v>
      </c>
      <c r="AB297" s="74">
        <v>0</v>
      </c>
      <c r="AC297" s="74">
        <v>0</v>
      </c>
      <c r="AD297" s="74">
        <v>0</v>
      </c>
      <c r="AE297" s="74">
        <v>0</v>
      </c>
      <c r="AF297" s="74">
        <v>0</v>
      </c>
      <c r="AG297" s="90">
        <f t="shared" si="17"/>
        <v>5</v>
      </c>
      <c r="AH297" s="90">
        <f t="shared" si="19"/>
        <v>4</v>
      </c>
      <c r="AI297" s="90">
        <f t="shared" si="18"/>
        <v>1</v>
      </c>
    </row>
    <row r="298" spans="1:35" s="104" customFormat="1" x14ac:dyDescent="0.35">
      <c r="A298" s="93"/>
      <c r="B298" s="95"/>
      <c r="C298" s="96">
        <v>45979</v>
      </c>
      <c r="D298" s="97">
        <v>8</v>
      </c>
      <c r="E298" s="97" t="s">
        <v>617</v>
      </c>
      <c r="F298" s="10">
        <v>0</v>
      </c>
      <c r="G298" s="10">
        <v>0</v>
      </c>
      <c r="H298" s="10">
        <v>0</v>
      </c>
      <c r="I298" s="10">
        <v>0</v>
      </c>
      <c r="J298" s="74">
        <v>0</v>
      </c>
      <c r="K298" s="74">
        <v>1</v>
      </c>
      <c r="L298" s="74">
        <v>0</v>
      </c>
      <c r="M298" s="74">
        <v>0</v>
      </c>
      <c r="N298" s="74">
        <v>0</v>
      </c>
      <c r="O298" s="74">
        <v>0</v>
      </c>
      <c r="P298" s="74">
        <v>0</v>
      </c>
      <c r="Q298" s="74">
        <v>0</v>
      </c>
      <c r="R298" s="74">
        <v>0</v>
      </c>
      <c r="S298" s="97" t="s">
        <v>611</v>
      </c>
      <c r="T298" s="10">
        <v>0</v>
      </c>
      <c r="U298" s="10">
        <v>0</v>
      </c>
      <c r="V298" s="10">
        <v>0</v>
      </c>
      <c r="W298" s="10">
        <v>2</v>
      </c>
      <c r="X298" s="74">
        <v>0</v>
      </c>
      <c r="Y298" s="74">
        <v>0</v>
      </c>
      <c r="Z298" s="74">
        <v>0</v>
      </c>
      <c r="AA298" s="74">
        <v>0</v>
      </c>
      <c r="AB298" s="74">
        <v>0</v>
      </c>
      <c r="AC298" s="74">
        <v>0</v>
      </c>
      <c r="AD298" s="74">
        <v>0</v>
      </c>
      <c r="AE298" s="74">
        <v>0</v>
      </c>
      <c r="AF298" s="74">
        <v>0</v>
      </c>
      <c r="AG298" s="90">
        <f t="shared" si="17"/>
        <v>3</v>
      </c>
      <c r="AH298" s="90">
        <f t="shared" si="19"/>
        <v>2</v>
      </c>
      <c r="AI298" s="90">
        <f t="shared" si="18"/>
        <v>1</v>
      </c>
    </row>
    <row r="299" spans="1:35" x14ac:dyDescent="0.5">
      <c r="AG299" s="90"/>
      <c r="AH299" s="90"/>
      <c r="AI299" s="90"/>
    </row>
    <row r="300" spans="1:35" x14ac:dyDescent="0.35">
      <c r="A300" s="93">
        <v>24</v>
      </c>
      <c r="B300" s="95" t="s">
        <v>292</v>
      </c>
      <c r="C300" s="96">
        <v>45939</v>
      </c>
      <c r="D300" s="97" t="s">
        <v>55</v>
      </c>
      <c r="E300" s="97" t="s">
        <v>55</v>
      </c>
      <c r="F300" s="10">
        <v>0</v>
      </c>
      <c r="G300" s="10">
        <v>0</v>
      </c>
      <c r="H300" s="10">
        <v>0</v>
      </c>
      <c r="I300" s="10">
        <v>0</v>
      </c>
      <c r="J300" s="74">
        <v>0</v>
      </c>
      <c r="K300" s="74">
        <v>0</v>
      </c>
      <c r="L300" s="74">
        <v>0</v>
      </c>
      <c r="M300" s="74">
        <v>0</v>
      </c>
      <c r="N300" s="74">
        <v>0</v>
      </c>
      <c r="O300" s="74">
        <v>0</v>
      </c>
      <c r="P300" s="74">
        <v>0</v>
      </c>
      <c r="Q300" s="74">
        <v>0</v>
      </c>
      <c r="R300" s="74">
        <v>0</v>
      </c>
      <c r="S300" s="97" t="s">
        <v>55</v>
      </c>
      <c r="T300" s="10">
        <v>0</v>
      </c>
      <c r="U300" s="10">
        <v>0</v>
      </c>
      <c r="V300" s="10">
        <v>0</v>
      </c>
      <c r="W300" s="10">
        <v>0</v>
      </c>
      <c r="X300" s="74">
        <v>0</v>
      </c>
      <c r="Y300" s="74">
        <v>0</v>
      </c>
      <c r="Z300" s="74">
        <v>0</v>
      </c>
      <c r="AA300" s="74">
        <v>0</v>
      </c>
      <c r="AB300" s="74">
        <v>0</v>
      </c>
      <c r="AC300" s="74">
        <v>0</v>
      </c>
      <c r="AD300" s="74">
        <v>0</v>
      </c>
      <c r="AE300" s="74">
        <v>0</v>
      </c>
      <c r="AF300" s="74">
        <v>0</v>
      </c>
      <c r="AG300" s="90">
        <f t="shared" si="17"/>
        <v>0</v>
      </c>
      <c r="AH300" s="90">
        <f t="shared" si="19"/>
        <v>0</v>
      </c>
      <c r="AI300" s="90">
        <f t="shared" si="18"/>
        <v>0</v>
      </c>
    </row>
    <row r="301" spans="1:35" x14ac:dyDescent="0.5">
      <c r="C301" s="96">
        <v>45944</v>
      </c>
      <c r="D301" s="97">
        <v>11</v>
      </c>
      <c r="E301" s="97" t="s">
        <v>355</v>
      </c>
      <c r="F301" s="10">
        <v>5</v>
      </c>
      <c r="G301" s="10">
        <v>1</v>
      </c>
      <c r="H301" s="10">
        <v>0</v>
      </c>
      <c r="I301" s="10">
        <v>0</v>
      </c>
      <c r="J301" s="74">
        <v>0</v>
      </c>
      <c r="K301" s="74">
        <v>0</v>
      </c>
      <c r="L301" s="74">
        <v>0</v>
      </c>
      <c r="M301" s="74">
        <v>0</v>
      </c>
      <c r="N301" s="74">
        <v>0</v>
      </c>
      <c r="O301" s="74">
        <v>0</v>
      </c>
      <c r="P301" s="74">
        <v>0</v>
      </c>
      <c r="Q301" s="74">
        <v>0</v>
      </c>
      <c r="R301" s="74">
        <v>0</v>
      </c>
      <c r="S301" s="97" t="s">
        <v>356</v>
      </c>
      <c r="T301" s="10">
        <v>10</v>
      </c>
      <c r="U301" s="10">
        <v>0</v>
      </c>
      <c r="V301" s="10">
        <v>0</v>
      </c>
      <c r="W301" s="10">
        <v>0</v>
      </c>
      <c r="X301" s="74">
        <v>0</v>
      </c>
      <c r="Y301" s="74">
        <v>0</v>
      </c>
      <c r="Z301" s="74">
        <v>0</v>
      </c>
      <c r="AA301" s="74">
        <v>0</v>
      </c>
      <c r="AB301" s="74">
        <v>0</v>
      </c>
      <c r="AC301" s="74">
        <v>0</v>
      </c>
      <c r="AD301" s="74">
        <v>0</v>
      </c>
      <c r="AE301" s="74">
        <v>0</v>
      </c>
      <c r="AF301" s="74">
        <v>0</v>
      </c>
      <c r="AG301" s="90">
        <f t="shared" si="17"/>
        <v>16</v>
      </c>
      <c r="AH301" s="90">
        <f t="shared" si="19"/>
        <v>16</v>
      </c>
      <c r="AI301" s="90">
        <f t="shared" si="18"/>
        <v>0</v>
      </c>
    </row>
    <row r="302" spans="1:35" x14ac:dyDescent="0.5">
      <c r="C302" s="96">
        <v>45947</v>
      </c>
      <c r="D302" s="97">
        <v>11</v>
      </c>
      <c r="E302" s="97" t="s">
        <v>133</v>
      </c>
      <c r="F302" s="10">
        <v>5</v>
      </c>
      <c r="G302" s="10">
        <v>0</v>
      </c>
      <c r="H302" s="10">
        <v>0</v>
      </c>
      <c r="I302" s="10">
        <v>0</v>
      </c>
      <c r="J302" s="74">
        <v>0</v>
      </c>
      <c r="K302" s="74">
        <v>0</v>
      </c>
      <c r="L302" s="74">
        <v>0</v>
      </c>
      <c r="M302" s="74">
        <v>0</v>
      </c>
      <c r="N302" s="74">
        <v>0</v>
      </c>
      <c r="O302" s="74">
        <v>0</v>
      </c>
      <c r="P302" s="74">
        <v>0</v>
      </c>
      <c r="Q302" s="74">
        <v>0</v>
      </c>
      <c r="R302" s="74">
        <v>0</v>
      </c>
      <c r="S302" s="97" t="s">
        <v>130</v>
      </c>
      <c r="T302" s="10">
        <v>2</v>
      </c>
      <c r="U302" s="10">
        <v>0</v>
      </c>
      <c r="V302" s="10">
        <v>0</v>
      </c>
      <c r="W302" s="10">
        <v>0</v>
      </c>
      <c r="X302" s="74">
        <v>0</v>
      </c>
      <c r="Y302" s="74">
        <v>0</v>
      </c>
      <c r="Z302" s="74">
        <v>0</v>
      </c>
      <c r="AA302" s="74">
        <v>1</v>
      </c>
      <c r="AB302" s="74">
        <v>0</v>
      </c>
      <c r="AC302" s="74">
        <v>0</v>
      </c>
      <c r="AD302" s="74">
        <v>0</v>
      </c>
      <c r="AE302" s="74">
        <v>0</v>
      </c>
      <c r="AF302" s="74">
        <v>0</v>
      </c>
      <c r="AG302" s="90">
        <f t="shared" si="17"/>
        <v>8</v>
      </c>
      <c r="AH302" s="90">
        <f t="shared" si="19"/>
        <v>7</v>
      </c>
      <c r="AI302" s="90">
        <f t="shared" si="18"/>
        <v>1</v>
      </c>
    </row>
    <row r="303" spans="1:35" x14ac:dyDescent="0.5">
      <c r="C303" s="96">
        <v>45951</v>
      </c>
      <c r="D303" s="97">
        <v>11</v>
      </c>
      <c r="E303" s="97" t="s">
        <v>423</v>
      </c>
      <c r="F303" s="10">
        <v>3</v>
      </c>
      <c r="G303" s="10">
        <v>1</v>
      </c>
      <c r="H303" s="10">
        <v>1</v>
      </c>
      <c r="I303" s="10">
        <v>1</v>
      </c>
      <c r="J303" s="74">
        <v>0</v>
      </c>
      <c r="K303" s="74">
        <v>0</v>
      </c>
      <c r="L303" s="74">
        <v>0</v>
      </c>
      <c r="M303" s="74">
        <v>0</v>
      </c>
      <c r="N303" s="74">
        <v>0</v>
      </c>
      <c r="O303" s="74">
        <v>0</v>
      </c>
      <c r="P303" s="74">
        <v>0</v>
      </c>
      <c r="Q303" s="74">
        <v>0</v>
      </c>
      <c r="R303" s="74">
        <v>0</v>
      </c>
      <c r="S303" s="97" t="s">
        <v>424</v>
      </c>
      <c r="T303" s="10">
        <v>10</v>
      </c>
      <c r="U303" s="10">
        <v>1</v>
      </c>
      <c r="V303" s="10">
        <v>0</v>
      </c>
      <c r="W303" s="10">
        <v>0</v>
      </c>
      <c r="X303" s="74">
        <v>0</v>
      </c>
      <c r="Y303" s="74">
        <v>1</v>
      </c>
      <c r="Z303" s="74">
        <v>0</v>
      </c>
      <c r="AA303" s="74">
        <v>0</v>
      </c>
      <c r="AB303" s="74">
        <v>0</v>
      </c>
      <c r="AC303" s="74">
        <v>0</v>
      </c>
      <c r="AD303" s="74">
        <v>0</v>
      </c>
      <c r="AE303" s="74">
        <v>0</v>
      </c>
      <c r="AF303" s="74">
        <v>0</v>
      </c>
      <c r="AG303" s="90">
        <f t="shared" si="17"/>
        <v>18</v>
      </c>
      <c r="AH303" s="90">
        <f t="shared" si="19"/>
        <v>17</v>
      </c>
      <c r="AI303" s="90">
        <f t="shared" si="18"/>
        <v>1</v>
      </c>
    </row>
    <row r="304" spans="1:35" x14ac:dyDescent="0.5">
      <c r="C304" s="96">
        <v>45954</v>
      </c>
      <c r="D304" s="97">
        <v>11</v>
      </c>
      <c r="E304" s="97" t="s">
        <v>440</v>
      </c>
      <c r="F304" s="10">
        <v>4</v>
      </c>
      <c r="G304" s="10">
        <v>0</v>
      </c>
      <c r="H304" s="10">
        <v>0</v>
      </c>
      <c r="I304" s="10">
        <v>0</v>
      </c>
      <c r="J304" s="74">
        <v>0</v>
      </c>
      <c r="K304" s="74">
        <v>0</v>
      </c>
      <c r="L304" s="74">
        <v>0</v>
      </c>
      <c r="M304" s="74">
        <v>0</v>
      </c>
      <c r="N304" s="74">
        <v>0</v>
      </c>
      <c r="O304" s="74">
        <v>0</v>
      </c>
      <c r="P304" s="74">
        <v>0</v>
      </c>
      <c r="Q304" s="74">
        <v>0</v>
      </c>
      <c r="R304" s="74">
        <v>0</v>
      </c>
      <c r="S304" s="97" t="s">
        <v>441</v>
      </c>
      <c r="T304" s="10">
        <v>13</v>
      </c>
      <c r="U304" s="10">
        <v>1</v>
      </c>
      <c r="V304" s="10">
        <v>0</v>
      </c>
      <c r="W304" s="10">
        <v>0</v>
      </c>
      <c r="X304" s="74">
        <v>0</v>
      </c>
      <c r="Y304" s="74">
        <v>0</v>
      </c>
      <c r="Z304" s="74">
        <v>0</v>
      </c>
      <c r="AA304" s="74">
        <v>0</v>
      </c>
      <c r="AB304" s="74">
        <v>0</v>
      </c>
      <c r="AC304" s="74">
        <v>0</v>
      </c>
      <c r="AD304" s="74">
        <v>0</v>
      </c>
      <c r="AE304" s="74">
        <v>0</v>
      </c>
      <c r="AF304" s="74">
        <v>0</v>
      </c>
      <c r="AG304" s="90">
        <f t="shared" si="17"/>
        <v>18</v>
      </c>
      <c r="AH304" s="90">
        <f t="shared" si="19"/>
        <v>18</v>
      </c>
      <c r="AI304" s="90">
        <f t="shared" si="18"/>
        <v>0</v>
      </c>
    </row>
    <row r="305" spans="1:35" s="104" customFormat="1" x14ac:dyDescent="0.35">
      <c r="A305" s="93"/>
      <c r="B305" s="95"/>
      <c r="C305" s="96">
        <v>45958</v>
      </c>
      <c r="D305" s="97">
        <v>11</v>
      </c>
      <c r="E305" s="97" t="s">
        <v>130</v>
      </c>
      <c r="F305" s="10">
        <v>2</v>
      </c>
      <c r="G305" s="10">
        <v>0</v>
      </c>
      <c r="H305" s="10">
        <v>0</v>
      </c>
      <c r="I305" s="10">
        <v>0</v>
      </c>
      <c r="J305" s="74">
        <v>0</v>
      </c>
      <c r="K305" s="74">
        <v>0</v>
      </c>
      <c r="L305" s="74">
        <v>0</v>
      </c>
      <c r="M305" s="74">
        <v>1</v>
      </c>
      <c r="N305" s="74">
        <v>0</v>
      </c>
      <c r="O305" s="74">
        <v>0</v>
      </c>
      <c r="P305" s="74">
        <v>0</v>
      </c>
      <c r="Q305" s="74">
        <v>0</v>
      </c>
      <c r="R305" s="74">
        <v>0</v>
      </c>
      <c r="S305" s="97" t="s">
        <v>267</v>
      </c>
      <c r="T305" s="10">
        <v>3</v>
      </c>
      <c r="U305" s="10">
        <v>0</v>
      </c>
      <c r="V305" s="10">
        <v>0</v>
      </c>
      <c r="W305" s="10">
        <v>0</v>
      </c>
      <c r="X305" s="74">
        <v>0</v>
      </c>
      <c r="Y305" s="74">
        <v>0</v>
      </c>
      <c r="Z305" s="74">
        <v>0</v>
      </c>
      <c r="AA305" s="74">
        <v>1</v>
      </c>
      <c r="AB305" s="74">
        <v>0</v>
      </c>
      <c r="AC305" s="74">
        <v>0</v>
      </c>
      <c r="AD305" s="74">
        <v>0</v>
      </c>
      <c r="AE305" s="74">
        <v>0</v>
      </c>
      <c r="AF305" s="74">
        <v>0</v>
      </c>
      <c r="AG305" s="90">
        <f t="shared" si="17"/>
        <v>7</v>
      </c>
      <c r="AH305" s="90">
        <f t="shared" si="19"/>
        <v>5</v>
      </c>
      <c r="AI305" s="90">
        <f t="shared" si="18"/>
        <v>2</v>
      </c>
    </row>
    <row r="306" spans="1:35" s="104" customFormat="1" x14ac:dyDescent="0.35">
      <c r="A306" s="93"/>
      <c r="B306" s="95"/>
      <c r="C306" s="96">
        <v>45961</v>
      </c>
      <c r="D306" s="97">
        <v>11</v>
      </c>
      <c r="E306" s="97" t="s">
        <v>518</v>
      </c>
      <c r="F306" s="10">
        <v>8</v>
      </c>
      <c r="G306" s="10">
        <v>0</v>
      </c>
      <c r="H306" s="10">
        <v>1</v>
      </c>
      <c r="I306" s="10">
        <v>0</v>
      </c>
      <c r="J306" s="74">
        <v>0</v>
      </c>
      <c r="K306" s="74">
        <v>0</v>
      </c>
      <c r="L306" s="74">
        <v>0</v>
      </c>
      <c r="M306" s="74">
        <v>0</v>
      </c>
      <c r="N306" s="74">
        <v>0</v>
      </c>
      <c r="O306" s="74">
        <v>0</v>
      </c>
      <c r="P306" s="74">
        <v>0</v>
      </c>
      <c r="Q306" s="74">
        <v>0</v>
      </c>
      <c r="R306" s="74">
        <v>0</v>
      </c>
      <c r="S306" s="97" t="s">
        <v>356</v>
      </c>
      <c r="T306" s="10">
        <v>10</v>
      </c>
      <c r="U306" s="10">
        <v>0</v>
      </c>
      <c r="V306" s="10">
        <v>0</v>
      </c>
      <c r="W306" s="10">
        <v>0</v>
      </c>
      <c r="X306" s="74">
        <v>0</v>
      </c>
      <c r="Y306" s="74">
        <v>0</v>
      </c>
      <c r="Z306" s="74">
        <v>0</v>
      </c>
      <c r="AA306" s="74">
        <v>0</v>
      </c>
      <c r="AB306" s="74">
        <v>0</v>
      </c>
      <c r="AC306" s="74">
        <v>0</v>
      </c>
      <c r="AD306" s="74">
        <v>0</v>
      </c>
      <c r="AE306" s="74">
        <v>0</v>
      </c>
      <c r="AF306" s="74">
        <v>0</v>
      </c>
      <c r="AG306" s="90">
        <f t="shared" si="17"/>
        <v>19</v>
      </c>
      <c r="AH306" s="90">
        <f t="shared" si="19"/>
        <v>19</v>
      </c>
      <c r="AI306" s="90">
        <f t="shared" si="18"/>
        <v>0</v>
      </c>
    </row>
    <row r="307" spans="1:35" s="104" customFormat="1" x14ac:dyDescent="0.35">
      <c r="A307" s="93"/>
      <c r="B307" s="95"/>
      <c r="C307" s="96">
        <v>45964</v>
      </c>
      <c r="D307" s="97">
        <v>11</v>
      </c>
      <c r="E307" s="97" t="s">
        <v>566</v>
      </c>
      <c r="F307" s="10">
        <v>0</v>
      </c>
      <c r="G307" s="10">
        <v>0</v>
      </c>
      <c r="H307" s="10">
        <v>0</v>
      </c>
      <c r="I307" s="10">
        <v>0</v>
      </c>
      <c r="J307" s="74">
        <v>0</v>
      </c>
      <c r="K307" s="74">
        <v>1</v>
      </c>
      <c r="L307" s="74">
        <v>0</v>
      </c>
      <c r="M307" s="74">
        <v>0</v>
      </c>
      <c r="N307" s="74">
        <v>0</v>
      </c>
      <c r="O307" s="74">
        <v>0</v>
      </c>
      <c r="P307" s="74">
        <v>0</v>
      </c>
      <c r="Q307" s="74">
        <v>0</v>
      </c>
      <c r="R307" s="74">
        <v>0</v>
      </c>
      <c r="S307" s="97" t="s">
        <v>551</v>
      </c>
      <c r="T307" s="10">
        <v>0</v>
      </c>
      <c r="U307" s="10">
        <v>6</v>
      </c>
      <c r="V307" s="10">
        <v>0</v>
      </c>
      <c r="W307" s="10">
        <v>0</v>
      </c>
      <c r="X307" s="74">
        <v>0</v>
      </c>
      <c r="Y307" s="74">
        <v>0</v>
      </c>
      <c r="Z307" s="74">
        <v>0</v>
      </c>
      <c r="AA307" s="74">
        <v>0</v>
      </c>
      <c r="AB307" s="74">
        <v>0</v>
      </c>
      <c r="AC307" s="74">
        <v>0</v>
      </c>
      <c r="AD307" s="74">
        <v>0</v>
      </c>
      <c r="AE307" s="74">
        <v>0</v>
      </c>
      <c r="AF307" s="74">
        <v>0</v>
      </c>
      <c r="AG307" s="90">
        <f t="shared" si="17"/>
        <v>7</v>
      </c>
      <c r="AH307" s="90">
        <f t="shared" si="19"/>
        <v>6</v>
      </c>
      <c r="AI307" s="90">
        <f t="shared" si="18"/>
        <v>1</v>
      </c>
    </row>
    <row r="308" spans="1:35" s="104" customFormat="1" x14ac:dyDescent="0.35">
      <c r="A308" s="93"/>
      <c r="B308" s="95"/>
      <c r="C308" s="96">
        <v>45968</v>
      </c>
      <c r="D308" s="97">
        <v>11</v>
      </c>
      <c r="E308" s="97" t="s">
        <v>580</v>
      </c>
      <c r="F308" s="10">
        <v>0</v>
      </c>
      <c r="G308" s="10">
        <v>0</v>
      </c>
      <c r="H308" s="10">
        <v>0</v>
      </c>
      <c r="I308" s="10">
        <v>0</v>
      </c>
      <c r="J308" s="74">
        <v>0</v>
      </c>
      <c r="K308" s="74">
        <v>2</v>
      </c>
      <c r="L308" s="74">
        <v>0</v>
      </c>
      <c r="M308" s="74">
        <v>0</v>
      </c>
      <c r="N308" s="74">
        <v>0</v>
      </c>
      <c r="O308" s="74">
        <v>0</v>
      </c>
      <c r="P308" s="74">
        <v>0</v>
      </c>
      <c r="Q308" s="74">
        <v>0</v>
      </c>
      <c r="R308" s="74">
        <v>0</v>
      </c>
      <c r="S308" s="97" t="s">
        <v>319</v>
      </c>
      <c r="T308" s="10">
        <v>0</v>
      </c>
      <c r="U308" s="10">
        <v>0</v>
      </c>
      <c r="V308" s="10">
        <v>0</v>
      </c>
      <c r="W308" s="10">
        <v>0</v>
      </c>
      <c r="X308" s="74">
        <v>0</v>
      </c>
      <c r="Y308" s="74">
        <v>0</v>
      </c>
      <c r="Z308" s="74">
        <v>0</v>
      </c>
      <c r="AA308" s="74">
        <v>0</v>
      </c>
      <c r="AB308" s="74">
        <v>0</v>
      </c>
      <c r="AC308" s="74">
        <v>0</v>
      </c>
      <c r="AD308" s="74">
        <v>0</v>
      </c>
      <c r="AE308" s="74">
        <v>0</v>
      </c>
      <c r="AF308" s="74">
        <v>0</v>
      </c>
      <c r="AG308" s="90">
        <f t="shared" si="17"/>
        <v>2</v>
      </c>
      <c r="AH308" s="90">
        <f t="shared" si="19"/>
        <v>0</v>
      </c>
      <c r="AI308" s="90">
        <f t="shared" si="18"/>
        <v>2</v>
      </c>
    </row>
    <row r="309" spans="1:35" x14ac:dyDescent="0.5">
      <c r="AG309" s="90"/>
      <c r="AH309" s="90"/>
      <c r="AI309" s="90"/>
    </row>
    <row r="310" spans="1:35" s="106" customFormat="1" x14ac:dyDescent="0.35">
      <c r="A310" s="105">
        <v>25</v>
      </c>
      <c r="B310" s="65" t="s">
        <v>330</v>
      </c>
      <c r="C310" s="67">
        <v>45944</v>
      </c>
      <c r="D310" s="66"/>
      <c r="E310" s="66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66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>
        <v>0</v>
      </c>
      <c r="AH310" s="70">
        <f t="shared" si="19"/>
        <v>0</v>
      </c>
      <c r="AI310" s="70">
        <f t="shared" si="18"/>
        <v>0</v>
      </c>
    </row>
    <row r="311" spans="1:35" s="106" customFormat="1" x14ac:dyDescent="0.5">
      <c r="A311" s="107"/>
      <c r="B311" s="72"/>
      <c r="C311" s="67">
        <v>45947</v>
      </c>
      <c r="D311" s="66"/>
      <c r="E311" s="66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66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>
        <v>0</v>
      </c>
      <c r="AH311" s="70">
        <v>0</v>
      </c>
      <c r="AI311" s="70">
        <v>0</v>
      </c>
    </row>
    <row r="312" spans="1:35" x14ac:dyDescent="0.5">
      <c r="AG312" s="90"/>
      <c r="AH312" s="90"/>
      <c r="AI312" s="90"/>
    </row>
    <row r="313" spans="1:35" x14ac:dyDescent="0.35">
      <c r="A313" s="93">
        <v>26</v>
      </c>
      <c r="B313" s="95" t="s">
        <v>367</v>
      </c>
      <c r="C313" s="96">
        <v>45944</v>
      </c>
      <c r="D313" s="97" t="s">
        <v>55</v>
      </c>
      <c r="E313" s="97" t="s">
        <v>55</v>
      </c>
      <c r="F313" s="10">
        <v>0</v>
      </c>
      <c r="G313" s="10">
        <v>0</v>
      </c>
      <c r="H313" s="10">
        <v>0</v>
      </c>
      <c r="I313" s="10">
        <v>0</v>
      </c>
      <c r="J313" s="74">
        <v>0</v>
      </c>
      <c r="K313" s="74">
        <v>0</v>
      </c>
      <c r="L313" s="74">
        <v>0</v>
      </c>
      <c r="M313" s="74">
        <v>0</v>
      </c>
      <c r="N313" s="74">
        <v>0</v>
      </c>
      <c r="O313" s="74">
        <v>0</v>
      </c>
      <c r="P313" s="74">
        <v>0</v>
      </c>
      <c r="Q313" s="74">
        <v>0</v>
      </c>
      <c r="R313" s="74">
        <v>0</v>
      </c>
      <c r="S313" s="97" t="s">
        <v>55</v>
      </c>
      <c r="T313" s="10">
        <v>0</v>
      </c>
      <c r="U313" s="10">
        <v>0</v>
      </c>
      <c r="V313" s="10">
        <v>0</v>
      </c>
      <c r="W313" s="10">
        <v>0</v>
      </c>
      <c r="X313" s="74">
        <v>0</v>
      </c>
      <c r="Y313" s="74">
        <v>0</v>
      </c>
      <c r="Z313" s="74">
        <v>0</v>
      </c>
      <c r="AA313" s="74">
        <v>0</v>
      </c>
      <c r="AB313" s="74">
        <v>0</v>
      </c>
      <c r="AC313" s="74">
        <v>0</v>
      </c>
      <c r="AD313" s="74">
        <v>0</v>
      </c>
      <c r="AE313" s="74">
        <v>0</v>
      </c>
      <c r="AF313" s="74">
        <v>0</v>
      </c>
      <c r="AG313" s="90">
        <f t="shared" si="17"/>
        <v>0</v>
      </c>
      <c r="AH313" s="90">
        <f t="shared" si="19"/>
        <v>0</v>
      </c>
      <c r="AI313" s="90">
        <f t="shared" si="18"/>
        <v>0</v>
      </c>
    </row>
    <row r="314" spans="1:35" x14ac:dyDescent="0.5">
      <c r="C314" s="96">
        <v>45947</v>
      </c>
      <c r="D314" s="97">
        <v>10</v>
      </c>
      <c r="E314" s="97" t="s">
        <v>55</v>
      </c>
      <c r="F314" s="10">
        <v>0</v>
      </c>
      <c r="G314" s="10">
        <v>0</v>
      </c>
      <c r="H314" s="10">
        <v>0</v>
      </c>
      <c r="I314" s="10">
        <v>0</v>
      </c>
      <c r="J314" s="74">
        <v>0</v>
      </c>
      <c r="K314" s="74">
        <v>0</v>
      </c>
      <c r="L314" s="74">
        <v>0</v>
      </c>
      <c r="M314" s="74">
        <v>0</v>
      </c>
      <c r="N314" s="74">
        <v>0</v>
      </c>
      <c r="O314" s="74">
        <v>0</v>
      </c>
      <c r="P314" s="74">
        <v>0</v>
      </c>
      <c r="Q314" s="74">
        <v>0</v>
      </c>
      <c r="R314" s="74">
        <v>0</v>
      </c>
      <c r="S314" s="97" t="s">
        <v>381</v>
      </c>
      <c r="T314" s="10">
        <v>4</v>
      </c>
      <c r="U314" s="10">
        <v>3</v>
      </c>
      <c r="V314" s="10">
        <v>0</v>
      </c>
      <c r="W314" s="10">
        <v>1</v>
      </c>
      <c r="X314" s="74">
        <v>0</v>
      </c>
      <c r="Y314" s="74">
        <v>0</v>
      </c>
      <c r="Z314" s="74">
        <v>0</v>
      </c>
      <c r="AA314" s="74">
        <v>1</v>
      </c>
      <c r="AB314" s="74">
        <v>0</v>
      </c>
      <c r="AC314" s="74">
        <v>0</v>
      </c>
      <c r="AD314" s="74">
        <v>0</v>
      </c>
      <c r="AE314" s="74">
        <v>0</v>
      </c>
      <c r="AF314" s="74">
        <v>0</v>
      </c>
      <c r="AG314" s="90">
        <f t="shared" si="17"/>
        <v>9</v>
      </c>
      <c r="AH314" s="90">
        <f t="shared" si="19"/>
        <v>8</v>
      </c>
      <c r="AI314" s="90">
        <f t="shared" si="18"/>
        <v>1</v>
      </c>
    </row>
    <row r="315" spans="1:35" x14ac:dyDescent="0.5">
      <c r="C315" s="96">
        <v>45951</v>
      </c>
      <c r="D315" s="97">
        <v>10</v>
      </c>
      <c r="E315" s="97" t="s">
        <v>409</v>
      </c>
      <c r="F315" s="10">
        <v>0</v>
      </c>
      <c r="G315" s="10">
        <v>2</v>
      </c>
      <c r="H315" s="10">
        <v>0</v>
      </c>
      <c r="I315" s="10">
        <v>0</v>
      </c>
      <c r="J315" s="74">
        <v>0</v>
      </c>
      <c r="K315" s="74">
        <v>0</v>
      </c>
      <c r="L315" s="74">
        <v>0</v>
      </c>
      <c r="M315" s="74">
        <v>1</v>
      </c>
      <c r="N315" s="74">
        <v>0</v>
      </c>
      <c r="O315" s="74">
        <v>0</v>
      </c>
      <c r="P315" s="74">
        <v>0</v>
      </c>
      <c r="Q315" s="74">
        <v>0</v>
      </c>
      <c r="R315" s="74">
        <v>0</v>
      </c>
      <c r="S315" s="97" t="s">
        <v>408</v>
      </c>
      <c r="T315" s="10">
        <v>5</v>
      </c>
      <c r="U315" s="10">
        <v>8</v>
      </c>
      <c r="V315" s="10">
        <v>0</v>
      </c>
      <c r="W315" s="10">
        <v>0</v>
      </c>
      <c r="X315" s="74">
        <v>0</v>
      </c>
      <c r="Y315" s="74">
        <v>0</v>
      </c>
      <c r="Z315" s="74">
        <v>0</v>
      </c>
      <c r="AA315" s="74">
        <v>0</v>
      </c>
      <c r="AB315" s="74">
        <v>0</v>
      </c>
      <c r="AC315" s="74">
        <v>0</v>
      </c>
      <c r="AD315" s="74">
        <v>0</v>
      </c>
      <c r="AE315" s="74">
        <v>0</v>
      </c>
      <c r="AF315" s="74">
        <v>0</v>
      </c>
      <c r="AG315" s="90">
        <f t="shared" si="17"/>
        <v>16</v>
      </c>
      <c r="AH315" s="90">
        <f t="shared" si="19"/>
        <v>15</v>
      </c>
      <c r="AI315" s="90">
        <f t="shared" si="18"/>
        <v>1</v>
      </c>
    </row>
    <row r="316" spans="1:35" s="104" customFormat="1" x14ac:dyDescent="0.35">
      <c r="A316" s="93"/>
      <c r="B316" s="95"/>
      <c r="C316" s="96">
        <v>45954</v>
      </c>
      <c r="D316" s="97">
        <v>10</v>
      </c>
      <c r="E316" s="97" t="s">
        <v>137</v>
      </c>
      <c r="F316" s="10">
        <v>3</v>
      </c>
      <c r="G316" s="10">
        <v>0</v>
      </c>
      <c r="H316" s="10">
        <v>0</v>
      </c>
      <c r="I316" s="10">
        <v>1</v>
      </c>
      <c r="J316" s="74">
        <v>0</v>
      </c>
      <c r="K316" s="74">
        <v>0</v>
      </c>
      <c r="L316" s="74">
        <v>0</v>
      </c>
      <c r="M316" s="74">
        <v>1</v>
      </c>
      <c r="N316" s="74">
        <v>0</v>
      </c>
      <c r="O316" s="74">
        <v>0</v>
      </c>
      <c r="P316" s="74">
        <v>0</v>
      </c>
      <c r="Q316" s="74">
        <v>0</v>
      </c>
      <c r="R316" s="74">
        <v>0</v>
      </c>
      <c r="S316" s="97" t="s">
        <v>55</v>
      </c>
      <c r="T316" s="10">
        <v>0</v>
      </c>
      <c r="U316" s="10">
        <v>0</v>
      </c>
      <c r="V316" s="10">
        <v>0</v>
      </c>
      <c r="W316" s="10">
        <v>0</v>
      </c>
      <c r="X316" s="74">
        <v>0</v>
      </c>
      <c r="Y316" s="74">
        <v>0</v>
      </c>
      <c r="Z316" s="74">
        <v>0</v>
      </c>
      <c r="AA316" s="74">
        <v>0</v>
      </c>
      <c r="AB316" s="74">
        <v>0</v>
      </c>
      <c r="AC316" s="74">
        <v>0</v>
      </c>
      <c r="AD316" s="74">
        <v>0</v>
      </c>
      <c r="AE316" s="74">
        <v>0</v>
      </c>
      <c r="AF316" s="74">
        <v>0</v>
      </c>
      <c r="AG316" s="90">
        <f t="shared" si="17"/>
        <v>5</v>
      </c>
      <c r="AH316" s="90">
        <f t="shared" si="19"/>
        <v>4</v>
      </c>
      <c r="AI316" s="90">
        <f t="shared" si="18"/>
        <v>1</v>
      </c>
    </row>
    <row r="317" spans="1:35" s="104" customFormat="1" x14ac:dyDescent="0.35">
      <c r="A317" s="93"/>
      <c r="B317" s="95"/>
      <c r="C317" s="96">
        <v>45958</v>
      </c>
      <c r="D317" s="97">
        <v>10</v>
      </c>
      <c r="E317" s="97" t="s">
        <v>472</v>
      </c>
      <c r="F317" s="10">
        <v>4</v>
      </c>
      <c r="G317" s="10">
        <v>1</v>
      </c>
      <c r="H317" s="10">
        <v>2</v>
      </c>
      <c r="I317" s="10">
        <v>0</v>
      </c>
      <c r="J317" s="74">
        <v>0</v>
      </c>
      <c r="K317" s="74">
        <v>0</v>
      </c>
      <c r="L317" s="74">
        <v>0</v>
      </c>
      <c r="M317" s="74">
        <v>0</v>
      </c>
      <c r="N317" s="74">
        <v>0</v>
      </c>
      <c r="O317" s="74">
        <v>0</v>
      </c>
      <c r="P317" s="74">
        <v>0</v>
      </c>
      <c r="Q317" s="74">
        <v>0</v>
      </c>
      <c r="R317" s="74">
        <v>0</v>
      </c>
      <c r="S317" s="97" t="s">
        <v>235</v>
      </c>
      <c r="T317" s="10">
        <v>6</v>
      </c>
      <c r="U317" s="10">
        <v>1</v>
      </c>
      <c r="V317" s="10">
        <v>0</v>
      </c>
      <c r="W317" s="10">
        <v>0</v>
      </c>
      <c r="X317" s="74">
        <v>0</v>
      </c>
      <c r="Y317" s="74">
        <v>0</v>
      </c>
      <c r="Z317" s="74">
        <v>0</v>
      </c>
      <c r="AA317" s="74">
        <v>0</v>
      </c>
      <c r="AB317" s="74">
        <v>0</v>
      </c>
      <c r="AC317" s="74">
        <v>0</v>
      </c>
      <c r="AD317" s="74">
        <v>0</v>
      </c>
      <c r="AE317" s="74">
        <v>0</v>
      </c>
      <c r="AF317" s="74">
        <v>0</v>
      </c>
      <c r="AG317" s="90">
        <f t="shared" si="17"/>
        <v>14</v>
      </c>
      <c r="AH317" s="90">
        <f t="shared" si="19"/>
        <v>14</v>
      </c>
      <c r="AI317" s="90">
        <f t="shared" si="18"/>
        <v>0</v>
      </c>
    </row>
    <row r="318" spans="1:35" s="104" customFormat="1" x14ac:dyDescent="0.35">
      <c r="A318" s="93"/>
      <c r="B318" s="95"/>
      <c r="C318" s="96">
        <v>45961</v>
      </c>
      <c r="D318" s="97">
        <v>10</v>
      </c>
      <c r="E318" s="97" t="s">
        <v>529</v>
      </c>
      <c r="F318" s="10">
        <v>3</v>
      </c>
      <c r="G318" s="10">
        <v>3</v>
      </c>
      <c r="H318" s="10">
        <v>0</v>
      </c>
      <c r="I318" s="10">
        <v>0</v>
      </c>
      <c r="J318" s="74">
        <v>0</v>
      </c>
      <c r="K318" s="74">
        <v>0</v>
      </c>
      <c r="L318" s="74">
        <v>0</v>
      </c>
      <c r="M318" s="74">
        <v>0</v>
      </c>
      <c r="N318" s="74">
        <v>0</v>
      </c>
      <c r="O318" s="74">
        <v>2</v>
      </c>
      <c r="P318" s="74">
        <v>0</v>
      </c>
      <c r="Q318" s="74">
        <v>0</v>
      </c>
      <c r="R318" s="74">
        <v>0</v>
      </c>
      <c r="S318" s="97" t="s">
        <v>355</v>
      </c>
      <c r="T318" s="10">
        <v>5</v>
      </c>
      <c r="U318" s="10">
        <v>1</v>
      </c>
      <c r="V318" s="10">
        <v>0</v>
      </c>
      <c r="W318" s="10">
        <v>0</v>
      </c>
      <c r="X318" s="74">
        <v>0</v>
      </c>
      <c r="Y318" s="74">
        <v>0</v>
      </c>
      <c r="Z318" s="74">
        <v>0</v>
      </c>
      <c r="AA318" s="74">
        <v>0</v>
      </c>
      <c r="AB318" s="74">
        <v>0</v>
      </c>
      <c r="AC318" s="74">
        <v>0</v>
      </c>
      <c r="AD318" s="74">
        <v>0</v>
      </c>
      <c r="AE318" s="74">
        <v>0</v>
      </c>
      <c r="AF318" s="74">
        <v>0</v>
      </c>
      <c r="AG318" s="90">
        <f t="shared" si="17"/>
        <v>14</v>
      </c>
      <c r="AH318" s="90">
        <f t="shared" si="19"/>
        <v>12</v>
      </c>
      <c r="AI318" s="90">
        <f t="shared" si="18"/>
        <v>2</v>
      </c>
    </row>
    <row r="319" spans="1:35" s="104" customFormat="1" x14ac:dyDescent="0.35">
      <c r="A319" s="93"/>
      <c r="B319" s="95"/>
      <c r="C319" s="96">
        <v>45964</v>
      </c>
      <c r="D319" s="97">
        <v>10</v>
      </c>
      <c r="E319" s="97" t="s">
        <v>557</v>
      </c>
      <c r="F319" s="10">
        <v>0</v>
      </c>
      <c r="G319" s="10">
        <v>3</v>
      </c>
      <c r="H319" s="10">
        <v>0</v>
      </c>
      <c r="I319" s="10">
        <v>1</v>
      </c>
      <c r="J319" s="74">
        <v>0</v>
      </c>
      <c r="K319" s="74">
        <v>0</v>
      </c>
      <c r="L319" s="74">
        <v>0</v>
      </c>
      <c r="M319" s="74">
        <v>0</v>
      </c>
      <c r="N319" s="74">
        <v>0</v>
      </c>
      <c r="O319" s="74">
        <v>0</v>
      </c>
      <c r="P319" s="74">
        <v>0</v>
      </c>
      <c r="Q319" s="74">
        <v>1</v>
      </c>
      <c r="R319" s="74">
        <v>0</v>
      </c>
      <c r="S319" s="97" t="s">
        <v>556</v>
      </c>
      <c r="T319" s="10">
        <v>6</v>
      </c>
      <c r="U319" s="10">
        <v>0</v>
      </c>
      <c r="V319" s="10">
        <v>0</v>
      </c>
      <c r="W319" s="10">
        <v>2</v>
      </c>
      <c r="X319" s="74">
        <v>0</v>
      </c>
      <c r="Y319" s="74">
        <v>0</v>
      </c>
      <c r="Z319" s="74">
        <v>0</v>
      </c>
      <c r="AA319" s="74">
        <v>0</v>
      </c>
      <c r="AB319" s="74">
        <v>0</v>
      </c>
      <c r="AC319" s="74">
        <v>0</v>
      </c>
      <c r="AD319" s="74">
        <v>0</v>
      </c>
      <c r="AE319" s="74">
        <v>0</v>
      </c>
      <c r="AF319" s="74">
        <v>0</v>
      </c>
      <c r="AG319" s="90">
        <f t="shared" si="17"/>
        <v>13</v>
      </c>
      <c r="AH319" s="90">
        <f t="shared" si="19"/>
        <v>12</v>
      </c>
      <c r="AI319" s="90">
        <f t="shared" si="18"/>
        <v>1</v>
      </c>
    </row>
    <row r="320" spans="1:35" s="104" customFormat="1" x14ac:dyDescent="0.35">
      <c r="A320" s="93"/>
      <c r="B320" s="95"/>
      <c r="C320" s="96">
        <v>45968</v>
      </c>
      <c r="D320" s="97">
        <v>10</v>
      </c>
      <c r="E320" s="97" t="s">
        <v>576</v>
      </c>
      <c r="F320" s="10">
        <v>0</v>
      </c>
      <c r="G320" s="10">
        <v>3</v>
      </c>
      <c r="H320" s="10">
        <v>0</v>
      </c>
      <c r="I320" s="10">
        <v>0</v>
      </c>
      <c r="J320" s="74">
        <v>0</v>
      </c>
      <c r="K320" s="74">
        <v>0</v>
      </c>
      <c r="L320" s="74">
        <v>0</v>
      </c>
      <c r="M320" s="74">
        <v>0</v>
      </c>
      <c r="N320" s="74">
        <v>0</v>
      </c>
      <c r="O320" s="74">
        <v>0</v>
      </c>
      <c r="P320" s="74">
        <v>0</v>
      </c>
      <c r="Q320" s="74">
        <v>0</v>
      </c>
      <c r="R320" s="74">
        <v>0</v>
      </c>
      <c r="S320" s="97" t="s">
        <v>577</v>
      </c>
      <c r="T320" s="10">
        <v>4</v>
      </c>
      <c r="U320" s="10">
        <v>2</v>
      </c>
      <c r="V320" s="10">
        <v>0</v>
      </c>
      <c r="W320" s="10">
        <v>1</v>
      </c>
      <c r="X320" s="74">
        <v>0</v>
      </c>
      <c r="Y320" s="74">
        <v>0</v>
      </c>
      <c r="Z320" s="74">
        <v>0</v>
      </c>
      <c r="AA320" s="74">
        <v>0</v>
      </c>
      <c r="AB320" s="74">
        <v>0</v>
      </c>
      <c r="AC320" s="74">
        <v>0</v>
      </c>
      <c r="AD320" s="74">
        <v>0</v>
      </c>
      <c r="AE320" s="74">
        <v>0</v>
      </c>
      <c r="AF320" s="74">
        <v>0</v>
      </c>
      <c r="AG320" s="90">
        <f t="shared" si="17"/>
        <v>10</v>
      </c>
      <c r="AH320" s="90">
        <f t="shared" si="19"/>
        <v>10</v>
      </c>
      <c r="AI320" s="90">
        <f t="shared" si="18"/>
        <v>0</v>
      </c>
    </row>
    <row r="321" spans="1:35" s="104" customFormat="1" x14ac:dyDescent="0.35">
      <c r="A321" s="93"/>
      <c r="B321" s="95"/>
      <c r="C321" s="96">
        <v>45972</v>
      </c>
      <c r="D321" s="97">
        <v>10</v>
      </c>
      <c r="E321" s="97" t="s">
        <v>589</v>
      </c>
      <c r="F321" s="10">
        <v>0</v>
      </c>
      <c r="G321" s="10">
        <v>1</v>
      </c>
      <c r="H321" s="10">
        <v>0</v>
      </c>
      <c r="I321" s="10">
        <v>0</v>
      </c>
      <c r="J321" s="74">
        <v>0</v>
      </c>
      <c r="K321" s="74">
        <v>0</v>
      </c>
      <c r="L321" s="74">
        <v>0</v>
      </c>
      <c r="M321" s="74">
        <v>1</v>
      </c>
      <c r="N321" s="74">
        <v>0</v>
      </c>
      <c r="O321" s="74">
        <v>0</v>
      </c>
      <c r="P321" s="74">
        <v>0</v>
      </c>
      <c r="Q321" s="74">
        <v>0</v>
      </c>
      <c r="R321" s="74">
        <v>0</v>
      </c>
      <c r="S321" s="97" t="s">
        <v>430</v>
      </c>
      <c r="T321" s="10">
        <v>3</v>
      </c>
      <c r="U321" s="10">
        <v>0</v>
      </c>
      <c r="V321" s="10">
        <v>0</v>
      </c>
      <c r="W321" s="10">
        <v>0</v>
      </c>
      <c r="X321" s="74">
        <v>0</v>
      </c>
      <c r="Y321" s="74">
        <v>0</v>
      </c>
      <c r="Z321" s="74">
        <v>0</v>
      </c>
      <c r="AA321" s="74">
        <v>2</v>
      </c>
      <c r="AB321" s="74">
        <v>0</v>
      </c>
      <c r="AC321" s="74">
        <v>0</v>
      </c>
      <c r="AD321" s="74">
        <v>0</v>
      </c>
      <c r="AE321" s="74">
        <v>0</v>
      </c>
      <c r="AF321" s="74">
        <v>0</v>
      </c>
      <c r="AG321" s="90">
        <f t="shared" si="17"/>
        <v>7</v>
      </c>
      <c r="AH321" s="90">
        <f t="shared" si="19"/>
        <v>4</v>
      </c>
      <c r="AI321" s="90">
        <f t="shared" si="18"/>
        <v>3</v>
      </c>
    </row>
    <row r="322" spans="1:35" s="104" customFormat="1" x14ac:dyDescent="0.35">
      <c r="A322" s="93"/>
      <c r="B322" s="95"/>
      <c r="C322" s="96">
        <v>45976</v>
      </c>
      <c r="D322" s="97">
        <v>10</v>
      </c>
      <c r="E322" s="97" t="s">
        <v>185</v>
      </c>
      <c r="F322" s="10">
        <v>0</v>
      </c>
      <c r="G322" s="10">
        <v>0</v>
      </c>
      <c r="H322" s="10">
        <v>0</v>
      </c>
      <c r="I322" s="10">
        <v>0</v>
      </c>
      <c r="J322" s="74">
        <v>0</v>
      </c>
      <c r="K322" s="74">
        <v>0</v>
      </c>
      <c r="L322" s="74">
        <v>0</v>
      </c>
      <c r="M322" s="74">
        <v>0</v>
      </c>
      <c r="N322" s="74">
        <v>0</v>
      </c>
      <c r="O322" s="74">
        <v>0</v>
      </c>
      <c r="P322" s="74">
        <v>0</v>
      </c>
      <c r="Q322" s="74">
        <v>0</v>
      </c>
      <c r="R322" s="74">
        <v>0</v>
      </c>
      <c r="S322" s="97" t="s">
        <v>603</v>
      </c>
      <c r="T322" s="10">
        <v>0</v>
      </c>
      <c r="U322" s="10">
        <v>1</v>
      </c>
      <c r="V322" s="10">
        <v>0</v>
      </c>
      <c r="W322" s="10">
        <v>0</v>
      </c>
      <c r="X322" s="74">
        <v>0</v>
      </c>
      <c r="Y322" s="74">
        <v>0</v>
      </c>
      <c r="Z322" s="74">
        <v>0</v>
      </c>
      <c r="AA322" s="74">
        <v>3</v>
      </c>
      <c r="AB322" s="74">
        <v>0</v>
      </c>
      <c r="AC322" s="74">
        <v>0</v>
      </c>
      <c r="AD322" s="74">
        <v>0</v>
      </c>
      <c r="AE322" s="74">
        <v>0</v>
      </c>
      <c r="AF322" s="74">
        <v>0</v>
      </c>
      <c r="AG322" s="90">
        <f t="shared" si="17"/>
        <v>4</v>
      </c>
      <c r="AH322" s="90">
        <f t="shared" si="19"/>
        <v>1</v>
      </c>
      <c r="AI322" s="90">
        <f t="shared" si="18"/>
        <v>3</v>
      </c>
    </row>
    <row r="323" spans="1:35" s="104" customFormat="1" x14ac:dyDescent="0.35">
      <c r="A323" s="93"/>
      <c r="B323" s="95"/>
      <c r="C323" s="96">
        <v>45979</v>
      </c>
      <c r="D323" s="97">
        <v>10</v>
      </c>
      <c r="E323" s="97" t="s">
        <v>616</v>
      </c>
      <c r="F323" s="10">
        <v>1</v>
      </c>
      <c r="G323" s="10">
        <v>0</v>
      </c>
      <c r="H323" s="10">
        <v>0</v>
      </c>
      <c r="I323" s="10">
        <v>0</v>
      </c>
      <c r="J323" s="74">
        <v>0</v>
      </c>
      <c r="K323" s="74">
        <v>0</v>
      </c>
      <c r="L323" s="74">
        <v>0</v>
      </c>
      <c r="M323" s="74">
        <v>0</v>
      </c>
      <c r="N323" s="74">
        <v>0</v>
      </c>
      <c r="O323" s="74">
        <v>0</v>
      </c>
      <c r="P323" s="74">
        <v>0</v>
      </c>
      <c r="Q323" s="74">
        <v>0</v>
      </c>
      <c r="R323" s="74">
        <v>0</v>
      </c>
      <c r="S323" s="97" t="s">
        <v>562</v>
      </c>
      <c r="T323" s="10">
        <v>0</v>
      </c>
      <c r="U323" s="10">
        <v>1</v>
      </c>
      <c r="V323" s="10">
        <v>0</v>
      </c>
      <c r="W323" s="10">
        <v>0</v>
      </c>
      <c r="X323" s="74">
        <v>0</v>
      </c>
      <c r="Y323" s="74">
        <v>0</v>
      </c>
      <c r="Z323" s="74">
        <v>0</v>
      </c>
      <c r="AA323" s="74">
        <v>0</v>
      </c>
      <c r="AB323" s="74">
        <v>0</v>
      </c>
      <c r="AC323" s="74">
        <v>0</v>
      </c>
      <c r="AD323" s="74">
        <v>0</v>
      </c>
      <c r="AE323" s="74">
        <v>0</v>
      </c>
      <c r="AF323" s="74">
        <v>0</v>
      </c>
      <c r="AG323" s="90">
        <f t="shared" si="17"/>
        <v>2</v>
      </c>
      <c r="AH323" s="90">
        <f t="shared" si="19"/>
        <v>2</v>
      </c>
      <c r="AI323" s="90">
        <f t="shared" si="18"/>
        <v>0</v>
      </c>
    </row>
    <row r="324" spans="1:35" s="104" customFormat="1" ht="29" x14ac:dyDescent="0.35">
      <c r="A324" s="93"/>
      <c r="B324" s="95"/>
      <c r="C324" s="96">
        <v>45983</v>
      </c>
      <c r="D324" s="97">
        <v>10</v>
      </c>
      <c r="E324" s="99" t="s">
        <v>621</v>
      </c>
      <c r="F324" s="10">
        <v>3</v>
      </c>
      <c r="G324" s="10">
        <v>1</v>
      </c>
      <c r="H324" s="10">
        <v>0</v>
      </c>
      <c r="I324" s="10">
        <v>1</v>
      </c>
      <c r="J324" s="74">
        <v>0</v>
      </c>
      <c r="K324" s="74">
        <v>0</v>
      </c>
      <c r="L324" s="74">
        <v>0</v>
      </c>
      <c r="M324" s="74">
        <v>0</v>
      </c>
      <c r="N324" s="74">
        <v>0</v>
      </c>
      <c r="O324" s="74">
        <v>0</v>
      </c>
      <c r="P324" s="74">
        <v>0</v>
      </c>
      <c r="Q324" s="74">
        <v>0</v>
      </c>
      <c r="R324" s="74">
        <v>0</v>
      </c>
      <c r="S324" s="97" t="s">
        <v>623</v>
      </c>
      <c r="T324" s="10">
        <v>2</v>
      </c>
      <c r="U324" s="10">
        <v>0</v>
      </c>
      <c r="V324" s="10">
        <v>0</v>
      </c>
      <c r="W324" s="10">
        <v>0</v>
      </c>
      <c r="X324" s="74">
        <v>0</v>
      </c>
      <c r="Y324" s="74">
        <v>0</v>
      </c>
      <c r="Z324" s="74">
        <v>0</v>
      </c>
      <c r="AA324" s="74">
        <v>0</v>
      </c>
      <c r="AB324" s="74">
        <v>0</v>
      </c>
      <c r="AC324" s="74">
        <v>0</v>
      </c>
      <c r="AD324" s="74">
        <v>0</v>
      </c>
      <c r="AE324" s="74">
        <v>0</v>
      </c>
      <c r="AF324" s="74">
        <v>0</v>
      </c>
      <c r="AG324" s="90">
        <f t="shared" si="17"/>
        <v>7</v>
      </c>
      <c r="AH324" s="90">
        <f t="shared" si="19"/>
        <v>7</v>
      </c>
      <c r="AI324" s="90">
        <f t="shared" si="18"/>
        <v>0</v>
      </c>
    </row>
    <row r="325" spans="1:35" x14ac:dyDescent="0.5">
      <c r="AG325" s="90"/>
      <c r="AH325" s="90"/>
      <c r="AI325" s="90"/>
    </row>
    <row r="326" spans="1:35" s="104" customFormat="1" x14ac:dyDescent="0.35">
      <c r="A326" s="93">
        <v>27</v>
      </c>
      <c r="B326" s="95" t="s">
        <v>585</v>
      </c>
      <c r="C326" s="96">
        <v>45972</v>
      </c>
      <c r="D326" s="97">
        <v>15</v>
      </c>
      <c r="E326" s="97" t="s">
        <v>596</v>
      </c>
      <c r="F326" s="10">
        <v>0</v>
      </c>
      <c r="G326" s="10">
        <v>1</v>
      </c>
      <c r="H326" s="10">
        <v>0</v>
      </c>
      <c r="I326" s="10">
        <v>0</v>
      </c>
      <c r="J326" s="74">
        <v>0</v>
      </c>
      <c r="K326" s="74">
        <v>0</v>
      </c>
      <c r="L326" s="74">
        <v>0</v>
      </c>
      <c r="M326" s="74">
        <v>1</v>
      </c>
      <c r="N326" s="74">
        <v>0</v>
      </c>
      <c r="O326" s="74">
        <v>0</v>
      </c>
      <c r="P326" s="74">
        <v>0</v>
      </c>
      <c r="Q326" s="74">
        <v>0</v>
      </c>
      <c r="R326" s="74">
        <v>0</v>
      </c>
      <c r="S326" s="97" t="s">
        <v>242</v>
      </c>
      <c r="T326" s="10">
        <v>2</v>
      </c>
      <c r="U326" s="10">
        <v>1</v>
      </c>
      <c r="V326" s="10">
        <v>0</v>
      </c>
      <c r="W326" s="10">
        <v>0</v>
      </c>
      <c r="X326" s="74">
        <v>0</v>
      </c>
      <c r="Y326" s="74">
        <v>0</v>
      </c>
      <c r="Z326" s="74">
        <v>0</v>
      </c>
      <c r="AA326" s="74">
        <v>0</v>
      </c>
      <c r="AB326" s="74">
        <v>0</v>
      </c>
      <c r="AC326" s="74">
        <v>0</v>
      </c>
      <c r="AD326" s="74">
        <v>0</v>
      </c>
      <c r="AE326" s="74">
        <v>0</v>
      </c>
      <c r="AF326" s="74">
        <v>0</v>
      </c>
      <c r="AG326" s="90">
        <f t="shared" si="17"/>
        <v>5</v>
      </c>
      <c r="AH326" s="90">
        <f t="shared" si="19"/>
        <v>4</v>
      </c>
      <c r="AI326" s="90">
        <f t="shared" si="18"/>
        <v>1</v>
      </c>
    </row>
    <row r="327" spans="1:35" s="104" customFormat="1" x14ac:dyDescent="0.35">
      <c r="A327" s="93"/>
      <c r="B327" s="95"/>
      <c r="C327" s="96">
        <v>45976</v>
      </c>
      <c r="D327" s="97">
        <v>15</v>
      </c>
      <c r="E327" s="97" t="s">
        <v>605</v>
      </c>
      <c r="F327" s="10">
        <v>0</v>
      </c>
      <c r="G327" s="10">
        <v>1</v>
      </c>
      <c r="H327" s="10">
        <v>0</v>
      </c>
      <c r="I327" s="10">
        <v>0</v>
      </c>
      <c r="J327" s="74">
        <v>0</v>
      </c>
      <c r="K327" s="74">
        <v>1</v>
      </c>
      <c r="L327" s="74">
        <v>0</v>
      </c>
      <c r="M327" s="74">
        <v>0</v>
      </c>
      <c r="N327" s="74">
        <v>0</v>
      </c>
      <c r="O327" s="74">
        <v>0</v>
      </c>
      <c r="P327" s="74">
        <v>0</v>
      </c>
      <c r="Q327" s="74">
        <v>0</v>
      </c>
      <c r="R327" s="74">
        <v>0</v>
      </c>
      <c r="S327" s="97" t="s">
        <v>185</v>
      </c>
      <c r="T327" s="10">
        <v>0</v>
      </c>
      <c r="U327" s="10">
        <v>0</v>
      </c>
      <c r="V327" s="10">
        <v>0</v>
      </c>
      <c r="W327" s="10">
        <v>0</v>
      </c>
      <c r="X327" s="74">
        <v>0</v>
      </c>
      <c r="Y327" s="74">
        <v>0</v>
      </c>
      <c r="Z327" s="74">
        <v>0</v>
      </c>
      <c r="AA327" s="74">
        <v>0</v>
      </c>
      <c r="AB327" s="74">
        <v>0</v>
      </c>
      <c r="AC327" s="74">
        <v>0</v>
      </c>
      <c r="AD327" s="74">
        <v>0</v>
      </c>
      <c r="AE327" s="74">
        <v>0</v>
      </c>
      <c r="AF327" s="74">
        <v>0</v>
      </c>
      <c r="AG327" s="90">
        <f t="shared" ref="AG327:AG332" si="20">F327+G327+H327+I327+J327+K327+L327+M327+N327+O327+P327+Q327+R327+T327+U327+V327+W327+X327+Y327+Z327+AA327+AB327+AC327+AD327+AE327+AF327</f>
        <v>2</v>
      </c>
      <c r="AH327" s="90">
        <f t="shared" si="19"/>
        <v>1</v>
      </c>
      <c r="AI327" s="90">
        <f t="shared" ref="AI327:AI332" si="21">J327+K327+L327+M327+N327+O327+P327+Q327+R327+X327+Y327+Z327+AA327+AB327+AC327+AD327+AE327+AF327</f>
        <v>1</v>
      </c>
    </row>
    <row r="328" spans="1:35" s="104" customFormat="1" x14ac:dyDescent="0.35">
      <c r="A328" s="93"/>
      <c r="B328" s="95"/>
      <c r="C328" s="96">
        <v>45979</v>
      </c>
      <c r="D328" s="97">
        <v>15</v>
      </c>
      <c r="E328" s="97" t="s">
        <v>613</v>
      </c>
      <c r="F328" s="10">
        <v>0</v>
      </c>
      <c r="G328" s="10">
        <v>0</v>
      </c>
      <c r="H328" s="10">
        <v>0</v>
      </c>
      <c r="I328" s="10">
        <v>1</v>
      </c>
      <c r="J328" s="74">
        <v>0</v>
      </c>
      <c r="K328" s="74">
        <v>0</v>
      </c>
      <c r="L328" s="74">
        <v>0</v>
      </c>
      <c r="M328" s="74">
        <v>0</v>
      </c>
      <c r="N328" s="74">
        <v>0</v>
      </c>
      <c r="O328" s="74">
        <v>0</v>
      </c>
      <c r="P328" s="74">
        <v>0</v>
      </c>
      <c r="Q328" s="74">
        <v>1</v>
      </c>
      <c r="R328" s="74">
        <v>0</v>
      </c>
      <c r="S328" s="97" t="s">
        <v>133</v>
      </c>
      <c r="T328" s="10">
        <v>5</v>
      </c>
      <c r="U328" s="10">
        <v>0</v>
      </c>
      <c r="V328" s="10">
        <v>0</v>
      </c>
      <c r="W328" s="10">
        <v>0</v>
      </c>
      <c r="X328" s="74">
        <v>0</v>
      </c>
      <c r="Y328" s="74">
        <v>0</v>
      </c>
      <c r="Z328" s="74">
        <v>0</v>
      </c>
      <c r="AA328" s="74">
        <v>0</v>
      </c>
      <c r="AB328" s="74">
        <v>0</v>
      </c>
      <c r="AC328" s="74">
        <v>0</v>
      </c>
      <c r="AD328" s="74">
        <v>0</v>
      </c>
      <c r="AE328" s="74">
        <v>0</v>
      </c>
      <c r="AF328" s="74">
        <v>0</v>
      </c>
      <c r="AG328" s="90">
        <f t="shared" si="20"/>
        <v>7</v>
      </c>
      <c r="AH328" s="90">
        <f t="shared" si="19"/>
        <v>6</v>
      </c>
      <c r="AI328" s="90">
        <f t="shared" si="21"/>
        <v>1</v>
      </c>
    </row>
    <row r="329" spans="1:35" s="104" customFormat="1" x14ac:dyDescent="0.35">
      <c r="A329" s="93"/>
      <c r="B329" s="95"/>
      <c r="C329" s="96">
        <v>45983</v>
      </c>
      <c r="D329" s="97">
        <v>15</v>
      </c>
      <c r="E329" s="97" t="s">
        <v>618</v>
      </c>
      <c r="F329" s="10">
        <v>1</v>
      </c>
      <c r="G329" s="10">
        <v>0</v>
      </c>
      <c r="H329" s="10">
        <v>0</v>
      </c>
      <c r="I329" s="10">
        <v>2</v>
      </c>
      <c r="J329" s="74">
        <v>0</v>
      </c>
      <c r="K329" s="74">
        <v>0</v>
      </c>
      <c r="L329" s="74">
        <v>0</v>
      </c>
      <c r="M329" s="74">
        <v>5</v>
      </c>
      <c r="N329" s="74">
        <v>0</v>
      </c>
      <c r="O329" s="74">
        <v>0</v>
      </c>
      <c r="P329" s="74">
        <v>0</v>
      </c>
      <c r="Q329" s="74">
        <v>0</v>
      </c>
      <c r="R329" s="74">
        <v>0</v>
      </c>
      <c r="S329" s="97" t="s">
        <v>619</v>
      </c>
      <c r="T329" s="10">
        <v>0</v>
      </c>
      <c r="U329" s="10">
        <v>5</v>
      </c>
      <c r="V329" s="10">
        <v>0</v>
      </c>
      <c r="W329" s="10">
        <v>1</v>
      </c>
      <c r="X329" s="74">
        <v>0</v>
      </c>
      <c r="Y329" s="74">
        <v>0</v>
      </c>
      <c r="Z329" s="74">
        <v>0</v>
      </c>
      <c r="AA329" s="74">
        <v>0</v>
      </c>
      <c r="AB329" s="74">
        <v>0</v>
      </c>
      <c r="AC329" s="74">
        <v>0</v>
      </c>
      <c r="AD329" s="74">
        <v>0</v>
      </c>
      <c r="AE329" s="74">
        <v>0</v>
      </c>
      <c r="AF329" s="74">
        <v>0</v>
      </c>
      <c r="AG329" s="90">
        <f t="shared" si="20"/>
        <v>14</v>
      </c>
      <c r="AH329" s="90">
        <f t="shared" si="19"/>
        <v>9</v>
      </c>
      <c r="AI329" s="90">
        <f t="shared" si="21"/>
        <v>5</v>
      </c>
    </row>
    <row r="330" spans="1:35" s="104" customFormat="1" x14ac:dyDescent="0.35">
      <c r="A330" s="93"/>
      <c r="B330" s="95"/>
      <c r="C330" s="96">
        <v>45985</v>
      </c>
      <c r="D330" s="97">
        <v>15</v>
      </c>
      <c r="E330" s="97" t="s">
        <v>113</v>
      </c>
      <c r="F330" s="10">
        <v>0</v>
      </c>
      <c r="G330" s="10">
        <v>2</v>
      </c>
      <c r="H330" s="10">
        <v>0</v>
      </c>
      <c r="I330" s="10">
        <v>1</v>
      </c>
      <c r="J330" s="74">
        <v>0</v>
      </c>
      <c r="K330" s="74">
        <v>0</v>
      </c>
      <c r="L330" s="74">
        <v>0</v>
      </c>
      <c r="M330" s="74">
        <v>0</v>
      </c>
      <c r="N330" s="74">
        <v>0</v>
      </c>
      <c r="O330" s="74">
        <v>0</v>
      </c>
      <c r="P330" s="74">
        <v>0</v>
      </c>
      <c r="Q330" s="74">
        <v>0</v>
      </c>
      <c r="R330" s="74">
        <v>0</v>
      </c>
      <c r="S330" s="97" t="s">
        <v>129</v>
      </c>
      <c r="T330" s="10">
        <v>1</v>
      </c>
      <c r="U330" s="10">
        <v>1</v>
      </c>
      <c r="V330" s="10">
        <v>0</v>
      </c>
      <c r="W330" s="10">
        <v>1</v>
      </c>
      <c r="X330" s="74">
        <v>0</v>
      </c>
      <c r="Y330" s="74">
        <v>0</v>
      </c>
      <c r="Z330" s="74">
        <v>0</v>
      </c>
      <c r="AA330" s="74">
        <v>0</v>
      </c>
      <c r="AB330" s="74">
        <v>0</v>
      </c>
      <c r="AC330" s="74">
        <v>0</v>
      </c>
      <c r="AD330" s="74">
        <v>0</v>
      </c>
      <c r="AE330" s="74">
        <v>0</v>
      </c>
      <c r="AF330" s="74">
        <v>0</v>
      </c>
      <c r="AG330" s="90">
        <f t="shared" si="20"/>
        <v>6</v>
      </c>
      <c r="AH330" s="90">
        <f t="shared" si="19"/>
        <v>6</v>
      </c>
      <c r="AI330" s="90">
        <f t="shared" si="21"/>
        <v>0</v>
      </c>
    </row>
    <row r="331" spans="1:35" s="104" customFormat="1" ht="29" x14ac:dyDescent="0.35">
      <c r="A331" s="93"/>
      <c r="B331" s="95"/>
      <c r="C331" s="96">
        <v>45990</v>
      </c>
      <c r="D331" s="97">
        <v>15</v>
      </c>
      <c r="E331" s="99" t="s">
        <v>624</v>
      </c>
      <c r="F331" s="10">
        <v>6</v>
      </c>
      <c r="G331" s="10">
        <v>0</v>
      </c>
      <c r="H331" s="10">
        <v>0</v>
      </c>
      <c r="I331" s="10">
        <v>0</v>
      </c>
      <c r="J331" s="74">
        <v>0</v>
      </c>
      <c r="K331" s="74">
        <v>0</v>
      </c>
      <c r="L331" s="74">
        <v>0</v>
      </c>
      <c r="M331" s="74">
        <v>0</v>
      </c>
      <c r="N331" s="74">
        <v>0</v>
      </c>
      <c r="O331" s="74">
        <v>0</v>
      </c>
      <c r="P331" s="74">
        <v>0</v>
      </c>
      <c r="Q331" s="74">
        <v>0</v>
      </c>
      <c r="R331" s="74">
        <v>0</v>
      </c>
      <c r="S331" s="97" t="s">
        <v>625</v>
      </c>
      <c r="T331" s="10">
        <v>0</v>
      </c>
      <c r="U331" s="10">
        <v>3</v>
      </c>
      <c r="V331" s="10">
        <v>0</v>
      </c>
      <c r="W331" s="10">
        <v>1</v>
      </c>
      <c r="X331" s="74">
        <v>0</v>
      </c>
      <c r="Y331" s="74">
        <v>0</v>
      </c>
      <c r="Z331" s="74">
        <v>0</v>
      </c>
      <c r="AA331" s="74">
        <v>0</v>
      </c>
      <c r="AB331" s="74">
        <v>0</v>
      </c>
      <c r="AC331" s="74">
        <v>0</v>
      </c>
      <c r="AD331" s="74">
        <v>0</v>
      </c>
      <c r="AE331" s="74">
        <v>0</v>
      </c>
      <c r="AF331" s="74">
        <v>0</v>
      </c>
      <c r="AG331" s="90">
        <f t="shared" si="20"/>
        <v>10</v>
      </c>
      <c r="AH331" s="90">
        <f t="shared" si="19"/>
        <v>10</v>
      </c>
      <c r="AI331" s="90">
        <f t="shared" si="21"/>
        <v>0</v>
      </c>
    </row>
    <row r="332" spans="1:35" s="104" customFormat="1" ht="29" x14ac:dyDescent="0.35">
      <c r="A332" s="93"/>
      <c r="B332" s="95"/>
      <c r="C332" s="96">
        <v>45992</v>
      </c>
      <c r="D332" s="97">
        <v>15</v>
      </c>
      <c r="E332" s="97" t="s">
        <v>629</v>
      </c>
      <c r="F332" s="10">
        <v>4</v>
      </c>
      <c r="G332" s="10">
        <v>1</v>
      </c>
      <c r="H332" s="10">
        <v>0</v>
      </c>
      <c r="I332" s="10">
        <v>0</v>
      </c>
      <c r="J332" s="74">
        <v>0</v>
      </c>
      <c r="K332" s="74">
        <v>0</v>
      </c>
      <c r="L332" s="74">
        <v>0</v>
      </c>
      <c r="M332" s="74">
        <v>0</v>
      </c>
      <c r="N332" s="74">
        <v>0</v>
      </c>
      <c r="O332" s="74">
        <v>0</v>
      </c>
      <c r="P332" s="74">
        <v>0</v>
      </c>
      <c r="Q332" s="74">
        <v>0</v>
      </c>
      <c r="R332" s="74">
        <v>0</v>
      </c>
      <c r="S332" s="99" t="s">
        <v>627</v>
      </c>
      <c r="T332" s="10">
        <v>1</v>
      </c>
      <c r="U332" s="10">
        <v>2</v>
      </c>
      <c r="V332" s="10">
        <v>0</v>
      </c>
      <c r="W332" s="10">
        <v>0</v>
      </c>
      <c r="X332" s="74">
        <v>0</v>
      </c>
      <c r="Y332" s="74">
        <v>0</v>
      </c>
      <c r="Z332" s="74">
        <v>0</v>
      </c>
      <c r="AA332" s="74">
        <v>0</v>
      </c>
      <c r="AB332" s="74">
        <v>0</v>
      </c>
      <c r="AC332" s="74">
        <v>0</v>
      </c>
      <c r="AD332" s="74">
        <v>0</v>
      </c>
      <c r="AE332" s="74">
        <v>0</v>
      </c>
      <c r="AF332" s="74">
        <v>0</v>
      </c>
      <c r="AG332" s="90">
        <f t="shared" si="20"/>
        <v>8</v>
      </c>
      <c r="AH332" s="90">
        <f t="shared" si="19"/>
        <v>8</v>
      </c>
      <c r="AI332" s="90">
        <f t="shared" si="21"/>
        <v>0</v>
      </c>
    </row>
  </sheetData>
  <mergeCells count="2">
    <mergeCell ref="F1:Q1"/>
    <mergeCell ref="T1:A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A6C6-D7E7-43AB-BF2B-354B855FD2CD}">
  <dimension ref="A1:BF1993"/>
  <sheetViews>
    <sheetView topLeftCell="S1" zoomScale="57" zoomScaleNormal="55" workbookViewId="0">
      <pane ySplit="2" topLeftCell="A408" activePane="bottomLeft" state="frozen"/>
      <selection pane="bottomLeft" activeCell="AA410" sqref="AA410"/>
    </sheetView>
  </sheetViews>
  <sheetFormatPr defaultColWidth="8.6328125" defaultRowHeight="18.5" x14ac:dyDescent="0.35"/>
  <cols>
    <col min="1" max="1" width="4.453125" style="22" customWidth="1"/>
    <col min="2" max="2" width="26.6328125" style="20" customWidth="1"/>
    <col min="3" max="3" width="11.36328125" style="2" customWidth="1"/>
    <col min="4" max="4" width="14.453125" style="2" customWidth="1"/>
    <col min="5" max="5" width="12" style="2" customWidth="1"/>
    <col min="6" max="6" width="11.81640625" style="2" customWidth="1"/>
    <col min="7" max="7" width="12" style="2" customWidth="1"/>
    <col min="8" max="8" width="7.1796875" style="2" customWidth="1"/>
    <col min="9" max="9" width="7.6328125" style="2" customWidth="1"/>
    <col min="10" max="10" width="15.453125" style="2" customWidth="1"/>
    <col min="11" max="11" width="7.1796875" style="2" customWidth="1"/>
    <col min="12" max="12" width="7.6328125" style="2" customWidth="1"/>
    <col min="13" max="13" width="15.453125" style="2" customWidth="1"/>
    <col min="14" max="15" width="12.81640625" style="2" customWidth="1"/>
    <col min="16" max="16" width="22.36328125" style="2" customWidth="1"/>
    <col min="17" max="20" width="25.6328125" style="2" customWidth="1"/>
    <col min="21" max="21" width="17.453125" style="27" customWidth="1"/>
    <col min="22" max="22" width="15.36328125" style="27" customWidth="1"/>
    <col min="23" max="23" width="12.453125" style="27" customWidth="1"/>
    <col min="24" max="24" width="12.6328125" style="27" customWidth="1"/>
    <col min="25" max="25" width="14.453125" style="27" customWidth="1"/>
    <col min="26" max="26" width="15.36328125" style="27" customWidth="1"/>
    <col min="27" max="28" width="12.6328125" style="27" customWidth="1"/>
    <col min="29" max="29" width="17.453125" style="27" customWidth="1"/>
    <col min="30" max="30" width="12.6328125" style="27" customWidth="1"/>
    <col min="31" max="31" width="16.81640625" style="27" customWidth="1"/>
    <col min="32" max="33" width="12.6328125" style="118" customWidth="1"/>
    <col min="34" max="34" width="12.453125" style="118" customWidth="1"/>
    <col min="35" max="41" width="12.6328125" style="118" customWidth="1"/>
    <col min="42" max="42" width="11.453125" style="118" customWidth="1"/>
    <col min="43" max="43" width="12.6328125" style="118" customWidth="1"/>
    <col min="44" max="57" width="14.6328125" style="2" customWidth="1"/>
    <col min="58" max="58" width="59.453125" style="2" customWidth="1"/>
    <col min="59" max="16384" width="8.6328125" style="2"/>
  </cols>
  <sheetData>
    <row r="1" spans="1:58" s="6" customFormat="1" ht="83.5" customHeight="1" x14ac:dyDescent="0.35">
      <c r="A1" s="122" t="s">
        <v>0</v>
      </c>
      <c r="B1" s="29" t="s">
        <v>1</v>
      </c>
      <c r="C1" s="4" t="s">
        <v>7</v>
      </c>
      <c r="D1" s="5" t="s">
        <v>2</v>
      </c>
      <c r="E1" s="4" t="s">
        <v>159</v>
      </c>
      <c r="F1" s="4" t="s">
        <v>160</v>
      </c>
      <c r="G1" s="5" t="s">
        <v>144</v>
      </c>
      <c r="H1" s="4" t="s">
        <v>5</v>
      </c>
      <c r="I1" s="4" t="s">
        <v>12</v>
      </c>
      <c r="J1" s="4" t="s">
        <v>8</v>
      </c>
      <c r="K1" s="4" t="s">
        <v>6</v>
      </c>
      <c r="L1" s="4" t="s">
        <v>13</v>
      </c>
      <c r="M1" s="5" t="s">
        <v>9</v>
      </c>
      <c r="N1" s="4" t="s">
        <v>4</v>
      </c>
      <c r="O1" s="4" t="s">
        <v>215</v>
      </c>
      <c r="P1" s="5" t="s">
        <v>3</v>
      </c>
      <c r="Q1" s="24" t="s">
        <v>39</v>
      </c>
      <c r="R1" s="24" t="s">
        <v>368</v>
      </c>
      <c r="S1" s="114" t="s">
        <v>399</v>
      </c>
      <c r="T1" s="24" t="s">
        <v>49</v>
      </c>
      <c r="U1" s="144" t="s">
        <v>40</v>
      </c>
      <c r="V1" s="145"/>
      <c r="W1" s="145"/>
      <c r="X1" s="145"/>
      <c r="Y1" s="145"/>
      <c r="Z1" s="145"/>
      <c r="AA1" s="145"/>
      <c r="AB1" s="145"/>
      <c r="AC1" s="145"/>
      <c r="AD1" s="146"/>
      <c r="AE1" s="115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47" t="s">
        <v>41</v>
      </c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9"/>
      <c r="BF1" s="16" t="s">
        <v>34</v>
      </c>
    </row>
    <row r="2" spans="1:58" s="6" customFormat="1" ht="80" customHeight="1" x14ac:dyDescent="0.35">
      <c r="A2" s="122"/>
      <c r="B2" s="29"/>
      <c r="C2" s="13"/>
      <c r="D2" s="12"/>
      <c r="E2" s="12"/>
      <c r="F2" s="12"/>
      <c r="G2" s="12"/>
      <c r="H2" s="13"/>
      <c r="I2" s="13"/>
      <c r="J2" s="13"/>
      <c r="K2" s="13"/>
      <c r="L2" s="13"/>
      <c r="M2" s="12"/>
      <c r="N2" s="13"/>
      <c r="O2" s="13"/>
      <c r="P2" s="12"/>
      <c r="Q2" s="2"/>
      <c r="R2" s="2"/>
      <c r="S2" s="2"/>
      <c r="T2" s="2"/>
      <c r="U2" s="25" t="s">
        <v>56</v>
      </c>
      <c r="V2" s="25" t="s">
        <v>43</v>
      </c>
      <c r="W2" s="25" t="s">
        <v>90</v>
      </c>
      <c r="X2" s="25" t="s">
        <v>44</v>
      </c>
      <c r="Y2" s="25" t="s">
        <v>45</v>
      </c>
      <c r="Z2" s="26" t="s">
        <v>28</v>
      </c>
      <c r="AA2" s="26" t="s">
        <v>29</v>
      </c>
      <c r="AB2" s="25" t="s">
        <v>33</v>
      </c>
      <c r="AC2" s="25" t="s">
        <v>46</v>
      </c>
      <c r="AD2" s="25" t="s">
        <v>47</v>
      </c>
      <c r="AE2" s="25" t="s">
        <v>481</v>
      </c>
      <c r="AF2" s="75" t="s">
        <v>473</v>
      </c>
      <c r="AG2" s="75" t="s">
        <v>476</v>
      </c>
      <c r="AH2" s="75" t="s">
        <v>483</v>
      </c>
      <c r="AI2" s="75" t="s">
        <v>477</v>
      </c>
      <c r="AJ2" s="75" t="s">
        <v>478</v>
      </c>
      <c r="AK2" s="75" t="s">
        <v>484</v>
      </c>
      <c r="AL2" s="75" t="s">
        <v>474</v>
      </c>
      <c r="AM2" s="75" t="s">
        <v>479</v>
      </c>
      <c r="AN2" s="75" t="s">
        <v>485</v>
      </c>
      <c r="AO2" s="75" t="s">
        <v>475</v>
      </c>
      <c r="AP2" s="75" t="s">
        <v>480</v>
      </c>
      <c r="AQ2" s="75" t="s">
        <v>486</v>
      </c>
      <c r="AR2" s="15" t="s">
        <v>42</v>
      </c>
      <c r="AS2" s="14" t="s">
        <v>30</v>
      </c>
      <c r="AT2" s="14" t="s">
        <v>31</v>
      </c>
      <c r="AU2" s="15" t="s">
        <v>60</v>
      </c>
      <c r="AV2" s="14" t="s">
        <v>32</v>
      </c>
      <c r="AW2" s="15" t="s">
        <v>61</v>
      </c>
      <c r="AX2" s="15" t="s">
        <v>62</v>
      </c>
      <c r="AY2" s="15" t="s">
        <v>58</v>
      </c>
      <c r="AZ2" s="15" t="s">
        <v>63</v>
      </c>
      <c r="BA2" s="15" t="s">
        <v>64</v>
      </c>
      <c r="BB2" s="15" t="s">
        <v>65</v>
      </c>
      <c r="BC2" s="15" t="s">
        <v>66</v>
      </c>
      <c r="BD2" s="15" t="s">
        <v>59</v>
      </c>
      <c r="BE2" s="14" t="s">
        <v>48</v>
      </c>
      <c r="BF2" s="116"/>
    </row>
    <row r="3" spans="1:58" ht="60" customHeight="1" x14ac:dyDescent="0.35">
      <c r="A3" s="22">
        <v>1</v>
      </c>
      <c r="B3" s="137" t="s">
        <v>1038</v>
      </c>
      <c r="C3" s="43">
        <v>45231</v>
      </c>
      <c r="D3" s="3">
        <v>45983</v>
      </c>
      <c r="E3" s="44">
        <f t="shared" ref="E3:E9" si="0">D3-C3</f>
        <v>752</v>
      </c>
      <c r="F3" s="44">
        <f t="shared" ref="F3:F9" si="1">E3/365</f>
        <v>2.0602739726027397</v>
      </c>
      <c r="G3" s="44">
        <f t="shared" ref="G3:G9" si="2">(E3-180)/240</f>
        <v>2.3833333333333333</v>
      </c>
      <c r="H3" s="38" t="s">
        <v>10</v>
      </c>
      <c r="I3" s="56">
        <v>6.9950000000000001</v>
      </c>
      <c r="J3" s="2">
        <v>4109</v>
      </c>
      <c r="O3" s="2">
        <v>2.75</v>
      </c>
      <c r="Q3" s="3">
        <v>46000</v>
      </c>
      <c r="R3" s="58">
        <v>0.7729166666666667</v>
      </c>
      <c r="T3" s="2">
        <f>Q3-$D$3</f>
        <v>17</v>
      </c>
      <c r="U3" s="27">
        <v>18.78</v>
      </c>
      <c r="V3" s="27">
        <v>8.1999999999999993</v>
      </c>
      <c r="W3" s="27">
        <v>2.41</v>
      </c>
      <c r="X3" s="27">
        <v>6.29</v>
      </c>
      <c r="Y3" s="27">
        <v>1.1299999999999999</v>
      </c>
      <c r="Z3" s="37" t="s">
        <v>646</v>
      </c>
      <c r="AA3" s="27" t="s">
        <v>101</v>
      </c>
      <c r="AB3" s="27">
        <v>17</v>
      </c>
      <c r="AC3" s="27" t="s">
        <v>55</v>
      </c>
      <c r="AD3" s="27" t="s">
        <v>55</v>
      </c>
      <c r="AE3" s="27" t="s">
        <v>55</v>
      </c>
      <c r="AR3" s="2" t="s">
        <v>52</v>
      </c>
      <c r="AS3" s="2">
        <v>1</v>
      </c>
      <c r="AT3" s="2">
        <v>3.6</v>
      </c>
      <c r="AU3" s="2">
        <v>0</v>
      </c>
      <c r="AV3" s="2" t="s">
        <v>89</v>
      </c>
      <c r="AW3" s="2">
        <v>44.74</v>
      </c>
      <c r="AX3" s="2">
        <v>12.23</v>
      </c>
      <c r="AY3" s="2">
        <v>4.22</v>
      </c>
      <c r="AZ3" s="2">
        <v>0.34</v>
      </c>
      <c r="BA3" s="2">
        <v>0.8</v>
      </c>
      <c r="BB3" s="2">
        <v>0</v>
      </c>
      <c r="BC3" s="2">
        <v>0.06</v>
      </c>
      <c r="BD3" s="2">
        <v>50</v>
      </c>
      <c r="BE3" s="2">
        <v>140</v>
      </c>
    </row>
    <row r="4" spans="1:58" ht="60" customHeight="1" x14ac:dyDescent="0.35">
      <c r="E4" s="44"/>
      <c r="F4" s="44"/>
      <c r="G4" s="44"/>
      <c r="O4" s="2">
        <v>2.75</v>
      </c>
      <c r="Q4" s="3">
        <v>46003</v>
      </c>
      <c r="R4" s="58">
        <v>0.67638888888888893</v>
      </c>
      <c r="T4" s="2">
        <f>Q4-$D$3</f>
        <v>20</v>
      </c>
      <c r="U4" s="27">
        <v>21.62</v>
      </c>
      <c r="V4" s="27">
        <v>11.32</v>
      </c>
      <c r="W4" s="27">
        <v>1.62</v>
      </c>
      <c r="X4" s="27">
        <v>8.19</v>
      </c>
      <c r="Y4" s="27">
        <v>1.37</v>
      </c>
      <c r="Z4" s="27" t="s">
        <v>653</v>
      </c>
      <c r="AA4" s="27" t="s">
        <v>133</v>
      </c>
      <c r="AB4" s="27">
        <v>17</v>
      </c>
      <c r="AC4" s="27" t="s">
        <v>55</v>
      </c>
      <c r="AD4" s="27" t="s">
        <v>55</v>
      </c>
      <c r="AE4" s="27" t="s">
        <v>55</v>
      </c>
      <c r="AR4" s="2" t="s">
        <v>52</v>
      </c>
      <c r="AS4" s="2">
        <v>0.63</v>
      </c>
      <c r="AT4" s="2">
        <v>1.28</v>
      </c>
      <c r="AU4" s="2">
        <v>20.46</v>
      </c>
      <c r="AV4" s="2">
        <v>2.67</v>
      </c>
      <c r="AW4" s="2">
        <v>54.7</v>
      </c>
      <c r="AX4" s="2">
        <v>26.49</v>
      </c>
      <c r="AY4" s="2">
        <v>13.11</v>
      </c>
      <c r="AZ4" s="2">
        <v>0.49</v>
      </c>
      <c r="BA4" s="2">
        <v>1.2</v>
      </c>
      <c r="BB4" s="2">
        <v>0.17</v>
      </c>
      <c r="BC4" s="2">
        <v>0.28000000000000003</v>
      </c>
      <c r="BD4" s="2">
        <v>54</v>
      </c>
      <c r="BE4" s="2">
        <v>109</v>
      </c>
    </row>
    <row r="5" spans="1:58" ht="60" customHeight="1" x14ac:dyDescent="0.35">
      <c r="E5" s="44"/>
      <c r="F5" s="44"/>
      <c r="G5" s="44"/>
      <c r="O5" s="2">
        <v>2.75</v>
      </c>
      <c r="Q5" s="3">
        <v>46007</v>
      </c>
      <c r="R5" s="61">
        <v>46007.809027777781</v>
      </c>
      <c r="T5" s="2">
        <f>Q5-$D$3</f>
        <v>24</v>
      </c>
      <c r="U5" s="27">
        <v>13.8</v>
      </c>
      <c r="V5" s="27">
        <v>7.9</v>
      </c>
      <c r="W5" s="27">
        <v>1.43</v>
      </c>
      <c r="X5" s="27">
        <v>5.39</v>
      </c>
      <c r="Y5" s="27">
        <v>5.12</v>
      </c>
      <c r="Z5" s="37" t="s">
        <v>660</v>
      </c>
      <c r="AA5" s="27" t="s">
        <v>659</v>
      </c>
      <c r="AB5" s="27">
        <v>17</v>
      </c>
      <c r="AC5" s="27" t="s">
        <v>55</v>
      </c>
      <c r="AD5" s="27" t="s">
        <v>55</v>
      </c>
      <c r="AE5" s="27" t="s">
        <v>55</v>
      </c>
      <c r="AR5" s="2" t="s">
        <v>50</v>
      </c>
    </row>
    <row r="6" spans="1:58" ht="60" customHeight="1" x14ac:dyDescent="0.35">
      <c r="E6" s="44"/>
      <c r="F6" s="44"/>
      <c r="G6" s="44"/>
      <c r="O6" s="2">
        <v>2.75</v>
      </c>
      <c r="Q6" s="3">
        <v>46010</v>
      </c>
      <c r="R6" s="61">
        <v>46010.692361111112</v>
      </c>
      <c r="S6" s="2">
        <f>R6-R5</f>
        <v>2.8833333333313931</v>
      </c>
      <c r="T6" s="2">
        <f>Q6-$D$3</f>
        <v>27</v>
      </c>
      <c r="U6" s="27">
        <v>15.28</v>
      </c>
      <c r="V6" s="27">
        <v>8.35</v>
      </c>
      <c r="W6" s="27">
        <v>2.41</v>
      </c>
      <c r="X6" s="27">
        <v>4.18</v>
      </c>
      <c r="Y6" s="27">
        <v>3.35</v>
      </c>
      <c r="Z6" s="27" t="s">
        <v>666</v>
      </c>
      <c r="AA6" s="27" t="s">
        <v>665</v>
      </c>
      <c r="AB6" s="27">
        <v>17</v>
      </c>
      <c r="AC6" s="124">
        <f>$R$5+($S$6/2)</f>
        <v>46009.250694444447</v>
      </c>
      <c r="AD6" s="56">
        <f>$T$5+($S$6/2)</f>
        <v>25.441666666665697</v>
      </c>
      <c r="AE6" s="37" t="s">
        <v>664</v>
      </c>
      <c r="AF6" s="118">
        <v>113.78</v>
      </c>
      <c r="AG6" s="118">
        <v>28.3</v>
      </c>
      <c r="AH6" s="118">
        <f>AF6-AG6</f>
        <v>85.48</v>
      </c>
      <c r="AI6" s="118">
        <v>0</v>
      </c>
      <c r="AJ6" s="118">
        <v>0</v>
      </c>
      <c r="AK6" s="118">
        <v>0</v>
      </c>
      <c r="AL6" s="118">
        <v>0</v>
      </c>
      <c r="AM6" s="118">
        <v>0</v>
      </c>
      <c r="AN6" s="118">
        <v>0</v>
      </c>
      <c r="AO6" s="118">
        <v>0</v>
      </c>
      <c r="AP6" s="118">
        <v>0</v>
      </c>
      <c r="AQ6" s="118">
        <v>0</v>
      </c>
      <c r="AR6" s="2" t="s">
        <v>52</v>
      </c>
      <c r="AS6" s="2">
        <v>1</v>
      </c>
      <c r="AT6" s="2">
        <v>2.82</v>
      </c>
      <c r="AU6" s="2">
        <v>0</v>
      </c>
      <c r="AV6" s="2" t="s">
        <v>89</v>
      </c>
      <c r="AW6" s="2">
        <v>39.51</v>
      </c>
      <c r="AX6" s="2">
        <v>13.84</v>
      </c>
      <c r="AY6" s="2">
        <v>4.9800000000000004</v>
      </c>
      <c r="AZ6" s="2">
        <v>0.35499999999999998</v>
      </c>
      <c r="BA6" s="2">
        <v>0.62</v>
      </c>
      <c r="BB6" s="2">
        <v>0</v>
      </c>
      <c r="BC6" s="2">
        <v>0.08</v>
      </c>
      <c r="BD6" s="2">
        <v>46</v>
      </c>
      <c r="BE6" s="2">
        <v>154</v>
      </c>
    </row>
    <row r="7" spans="1:58" ht="60" customHeight="1" x14ac:dyDescent="0.35">
      <c r="E7" s="44"/>
      <c r="F7" s="44"/>
      <c r="G7" s="44"/>
      <c r="O7" s="2">
        <v>2.5</v>
      </c>
      <c r="Q7" s="3">
        <v>46013</v>
      </c>
      <c r="R7" s="58">
        <v>0.49861111111111112</v>
      </c>
      <c r="T7" s="2">
        <f>Q7-$D$3</f>
        <v>30</v>
      </c>
      <c r="U7" s="27">
        <v>20.37</v>
      </c>
      <c r="V7" s="27">
        <v>11.11</v>
      </c>
      <c r="W7" s="27">
        <v>2.2599999999999998</v>
      </c>
      <c r="X7" s="27">
        <v>9.06</v>
      </c>
      <c r="Y7" s="27">
        <v>2.2599999999999998</v>
      </c>
      <c r="Z7" s="27" t="s">
        <v>675</v>
      </c>
      <c r="AA7" s="27" t="s">
        <v>683</v>
      </c>
      <c r="AB7" s="27">
        <v>17</v>
      </c>
      <c r="AC7" s="124">
        <f>$R$5+($S$6/2)</f>
        <v>46009.250694444447</v>
      </c>
      <c r="AD7" s="56">
        <f>$T$5+($S$6/2)</f>
        <v>25.441666666665697</v>
      </c>
      <c r="AE7" s="27" t="s">
        <v>674</v>
      </c>
      <c r="AF7" s="118">
        <v>132.88</v>
      </c>
      <c r="AG7" s="118">
        <v>14.97</v>
      </c>
      <c r="AH7" s="118">
        <f>AF7-AG7</f>
        <v>117.91</v>
      </c>
      <c r="AI7" s="118">
        <v>0</v>
      </c>
      <c r="AJ7" s="118">
        <v>0</v>
      </c>
      <c r="AK7" s="118">
        <v>0</v>
      </c>
      <c r="AL7" s="118">
        <v>0</v>
      </c>
      <c r="AM7" s="118">
        <v>0</v>
      </c>
      <c r="AN7" s="118">
        <v>0</v>
      </c>
      <c r="AO7" s="118">
        <v>0</v>
      </c>
      <c r="AP7" s="118">
        <v>0</v>
      </c>
      <c r="AQ7" s="118">
        <v>0</v>
      </c>
      <c r="AR7" s="38" t="s">
        <v>52</v>
      </c>
      <c r="AS7" s="2">
        <v>0.17</v>
      </c>
      <c r="AT7" s="2">
        <v>0.3</v>
      </c>
      <c r="AU7" s="2">
        <v>18.03</v>
      </c>
      <c r="AV7" s="2">
        <v>1.21</v>
      </c>
      <c r="AW7" s="2">
        <v>21.75</v>
      </c>
      <c r="AX7" s="2">
        <v>12.12</v>
      </c>
      <c r="AY7" s="2">
        <v>7.09</v>
      </c>
      <c r="AZ7" s="2">
        <v>0.57999999999999996</v>
      </c>
      <c r="BA7" s="2">
        <v>0.19</v>
      </c>
      <c r="BB7" s="2">
        <v>0.13</v>
      </c>
      <c r="BC7" s="2">
        <v>0.06</v>
      </c>
      <c r="BD7" s="2">
        <v>24</v>
      </c>
      <c r="BE7" s="2">
        <v>102</v>
      </c>
    </row>
    <row r="8" spans="1:58" ht="60" customHeight="1" x14ac:dyDescent="0.35">
      <c r="E8" s="44"/>
      <c r="F8" s="44"/>
      <c r="G8" s="44"/>
      <c r="Q8" s="3"/>
    </row>
    <row r="9" spans="1:58" ht="60" customHeight="1" x14ac:dyDescent="0.35">
      <c r="A9" s="22">
        <v>2</v>
      </c>
      <c r="B9" s="137" t="s">
        <v>1037</v>
      </c>
      <c r="C9" s="43">
        <v>44428</v>
      </c>
      <c r="D9" s="3">
        <v>45989</v>
      </c>
      <c r="E9" s="44">
        <f t="shared" si="0"/>
        <v>1561</v>
      </c>
      <c r="F9" s="44">
        <f t="shared" si="1"/>
        <v>4.2767123287671236</v>
      </c>
      <c r="G9" s="44">
        <f t="shared" si="2"/>
        <v>5.7541666666666664</v>
      </c>
      <c r="H9" s="38" t="s">
        <v>11</v>
      </c>
      <c r="I9" s="56">
        <v>6.3250000000000002</v>
      </c>
      <c r="J9" s="2">
        <v>4110</v>
      </c>
      <c r="K9" s="38" t="s">
        <v>11</v>
      </c>
      <c r="L9" s="2">
        <v>5.5</v>
      </c>
      <c r="M9" s="2">
        <v>4112</v>
      </c>
      <c r="O9" s="2">
        <v>3.5</v>
      </c>
      <c r="Q9" s="3">
        <v>46000</v>
      </c>
      <c r="R9" s="58">
        <v>0.76041666666666663</v>
      </c>
      <c r="T9" s="2">
        <f t="shared" ref="T9:T17" si="3">Q9-$D$9</f>
        <v>11</v>
      </c>
      <c r="U9" s="27">
        <v>27.14</v>
      </c>
      <c r="V9" s="27">
        <v>13.76</v>
      </c>
      <c r="W9" s="27">
        <v>1.36</v>
      </c>
      <c r="X9" s="27">
        <v>12.72</v>
      </c>
      <c r="Y9" s="27">
        <v>3.78</v>
      </c>
      <c r="Z9" s="27" t="s">
        <v>55</v>
      </c>
      <c r="AA9" s="27" t="s">
        <v>55</v>
      </c>
      <c r="AB9" s="27" t="s">
        <v>55</v>
      </c>
      <c r="AC9" s="27" t="s">
        <v>55</v>
      </c>
      <c r="AD9" s="27" t="s">
        <v>55</v>
      </c>
      <c r="AE9" s="27" t="s">
        <v>55</v>
      </c>
      <c r="AR9" s="2" t="s">
        <v>638</v>
      </c>
      <c r="AS9" s="2">
        <v>1</v>
      </c>
      <c r="AT9" s="2">
        <v>4.41</v>
      </c>
      <c r="AU9" s="2">
        <v>0</v>
      </c>
      <c r="AV9" s="2" t="s">
        <v>89</v>
      </c>
      <c r="AW9" s="2">
        <v>35.94</v>
      </c>
      <c r="AX9" s="2">
        <v>8.06</v>
      </c>
      <c r="AY9" s="2">
        <v>3.79</v>
      </c>
      <c r="AZ9" s="2">
        <v>0.46500000000000002</v>
      </c>
      <c r="BA9" s="2">
        <v>0.52</v>
      </c>
      <c r="BB9" s="2">
        <v>0</v>
      </c>
      <c r="BC9" s="2">
        <v>0.03</v>
      </c>
      <c r="BD9" s="2">
        <v>48</v>
      </c>
      <c r="BE9" s="2">
        <v>113</v>
      </c>
    </row>
    <row r="10" spans="1:58" ht="60" customHeight="1" x14ac:dyDescent="0.35">
      <c r="E10" s="44"/>
      <c r="O10" s="2">
        <v>3.5</v>
      </c>
      <c r="Q10" s="3">
        <v>46003</v>
      </c>
      <c r="R10" s="58">
        <v>0.6645833333333333</v>
      </c>
      <c r="T10" s="2">
        <f t="shared" si="3"/>
        <v>14</v>
      </c>
      <c r="U10" s="27">
        <v>24.75</v>
      </c>
      <c r="V10" s="27">
        <v>11.98</v>
      </c>
      <c r="W10" s="27">
        <v>1.89</v>
      </c>
      <c r="X10" s="27">
        <v>9.34</v>
      </c>
      <c r="Y10" s="27">
        <v>2.4700000000000002</v>
      </c>
      <c r="Z10" s="27" t="s">
        <v>648</v>
      </c>
      <c r="AA10" s="27" t="s">
        <v>55</v>
      </c>
      <c r="AB10" s="27">
        <v>14</v>
      </c>
      <c r="AC10" s="27" t="s">
        <v>55</v>
      </c>
      <c r="AD10" s="27" t="s">
        <v>55</v>
      </c>
      <c r="AE10" s="27" t="s">
        <v>55</v>
      </c>
      <c r="AR10" s="2" t="s">
        <v>52</v>
      </c>
      <c r="AS10" s="2">
        <v>1</v>
      </c>
      <c r="AT10" s="2">
        <v>2.71</v>
      </c>
      <c r="AU10" s="2">
        <v>0</v>
      </c>
      <c r="AV10" s="2" t="s">
        <v>89</v>
      </c>
      <c r="AW10" s="2">
        <v>38.479999999999997</v>
      </c>
      <c r="AX10" s="2">
        <v>14.05</v>
      </c>
      <c r="AY10" s="2">
        <v>6.39</v>
      </c>
      <c r="AZ10" s="2">
        <v>0.45</v>
      </c>
      <c r="BA10" s="2">
        <v>0.59</v>
      </c>
      <c r="BB10" s="2">
        <v>0</v>
      </c>
      <c r="BC10" s="2">
        <v>0.08</v>
      </c>
      <c r="BD10" s="2">
        <v>38</v>
      </c>
      <c r="BE10" s="2">
        <v>112</v>
      </c>
    </row>
    <row r="11" spans="1:58" ht="60" customHeight="1" x14ac:dyDescent="0.35">
      <c r="O11" s="2">
        <v>3.25</v>
      </c>
      <c r="Q11" s="3">
        <v>46007</v>
      </c>
      <c r="R11" s="58">
        <v>0.78888888888888886</v>
      </c>
      <c r="T11" s="2">
        <f t="shared" si="3"/>
        <v>18</v>
      </c>
      <c r="U11" s="27">
        <v>22.01</v>
      </c>
      <c r="V11" s="27">
        <v>12.43</v>
      </c>
      <c r="W11" s="27">
        <v>2.13</v>
      </c>
      <c r="X11" s="27">
        <v>10</v>
      </c>
      <c r="Y11" s="27">
        <v>4.16</v>
      </c>
      <c r="Z11" s="27" t="s">
        <v>657</v>
      </c>
      <c r="AA11" s="27" t="s">
        <v>658</v>
      </c>
      <c r="AB11" s="27">
        <v>14</v>
      </c>
      <c r="AC11" s="27" t="s">
        <v>55</v>
      </c>
      <c r="AD11" s="27" t="s">
        <v>55</v>
      </c>
      <c r="AE11" s="27" t="s">
        <v>55</v>
      </c>
      <c r="AR11" s="2" t="s">
        <v>52</v>
      </c>
      <c r="AS11" s="2">
        <v>1</v>
      </c>
      <c r="AT11" s="2">
        <v>2.79</v>
      </c>
      <c r="AU11" s="2">
        <v>0</v>
      </c>
      <c r="AV11" s="2">
        <v>6.98365090815646E+18</v>
      </c>
      <c r="AW11" s="2">
        <v>24.23</v>
      </c>
      <c r="AX11" s="2">
        <v>8.61</v>
      </c>
      <c r="AY11" s="2">
        <v>4.82</v>
      </c>
      <c r="AZ11" s="2">
        <v>0.55500000000000005</v>
      </c>
      <c r="BA11" s="2">
        <v>0.23</v>
      </c>
      <c r="BB11" s="2">
        <v>0</v>
      </c>
      <c r="BC11" s="2">
        <v>0.03</v>
      </c>
      <c r="BD11" s="2">
        <v>40</v>
      </c>
      <c r="BE11" s="2">
        <v>99</v>
      </c>
    </row>
    <row r="12" spans="1:58" ht="60" customHeight="1" x14ac:dyDescent="0.35">
      <c r="O12" s="2">
        <v>3.25</v>
      </c>
      <c r="Q12" s="3">
        <v>46010</v>
      </c>
      <c r="R12" s="58">
        <v>0.72916666666666663</v>
      </c>
      <c r="T12" s="2">
        <f t="shared" si="3"/>
        <v>21</v>
      </c>
      <c r="U12" s="27">
        <v>18.100000000000001</v>
      </c>
      <c r="V12" s="27">
        <v>10.94</v>
      </c>
      <c r="W12" s="27">
        <v>1.6</v>
      </c>
      <c r="X12" s="27">
        <v>7.49</v>
      </c>
      <c r="Y12" s="27">
        <v>1.88</v>
      </c>
      <c r="Z12" s="27" t="s">
        <v>672</v>
      </c>
      <c r="AA12" s="27" t="s">
        <v>233</v>
      </c>
      <c r="AB12" s="27">
        <v>14</v>
      </c>
      <c r="AC12" s="27" t="s">
        <v>55</v>
      </c>
      <c r="AD12" s="27" t="s">
        <v>55</v>
      </c>
      <c r="AE12" s="27" t="s">
        <v>55</v>
      </c>
      <c r="AR12" s="2" t="s">
        <v>50</v>
      </c>
    </row>
    <row r="13" spans="1:58" ht="60" customHeight="1" x14ac:dyDescent="0.35">
      <c r="O13" s="2">
        <v>3.25</v>
      </c>
      <c r="Q13" s="3">
        <v>46013</v>
      </c>
      <c r="R13" s="58">
        <v>0.51527777777777783</v>
      </c>
      <c r="T13" s="2">
        <f t="shared" si="3"/>
        <v>24</v>
      </c>
      <c r="U13" s="27">
        <v>19.059999999999999</v>
      </c>
      <c r="V13" s="27">
        <v>9.39</v>
      </c>
      <c r="W13" s="27">
        <v>1.1399999999999999</v>
      </c>
      <c r="X13" s="27">
        <v>7.35</v>
      </c>
      <c r="Y13" s="27">
        <v>4.7</v>
      </c>
      <c r="Z13" s="27" t="s">
        <v>684</v>
      </c>
      <c r="AA13" s="27" t="s">
        <v>55</v>
      </c>
      <c r="AB13" s="27">
        <v>14</v>
      </c>
      <c r="AC13" s="27" t="s">
        <v>55</v>
      </c>
      <c r="AD13" s="27" t="s">
        <v>55</v>
      </c>
      <c r="AE13" s="27" t="s">
        <v>55</v>
      </c>
      <c r="AR13" s="121" t="s">
        <v>52</v>
      </c>
      <c r="AS13" s="2">
        <v>1</v>
      </c>
      <c r="AT13" s="2">
        <v>4.47</v>
      </c>
      <c r="AU13" s="2">
        <v>0</v>
      </c>
      <c r="AV13" s="2" t="s">
        <v>89</v>
      </c>
      <c r="AW13" s="2">
        <v>28.13</v>
      </c>
      <c r="AX13" s="2">
        <v>6.23</v>
      </c>
      <c r="AY13" s="2">
        <v>3.3</v>
      </c>
      <c r="AZ13" s="2">
        <v>0.52500000000000002</v>
      </c>
      <c r="BA13" s="2">
        <v>0.32</v>
      </c>
      <c r="BB13" s="2">
        <v>0</v>
      </c>
      <c r="BC13" s="2">
        <v>0.02</v>
      </c>
      <c r="BD13" s="2">
        <v>48</v>
      </c>
      <c r="BE13" s="2">
        <v>106</v>
      </c>
    </row>
    <row r="14" spans="1:58" ht="60" customHeight="1" x14ac:dyDescent="0.35">
      <c r="O14" s="2">
        <v>3</v>
      </c>
      <c r="Q14" s="3">
        <v>46018</v>
      </c>
      <c r="R14" s="58">
        <v>0.5180555555555556</v>
      </c>
      <c r="T14" s="2">
        <f t="shared" si="3"/>
        <v>29</v>
      </c>
      <c r="U14" s="27">
        <v>21.73</v>
      </c>
      <c r="V14" s="27">
        <v>11.88</v>
      </c>
      <c r="W14" s="27">
        <v>1.73</v>
      </c>
      <c r="X14" s="27">
        <v>8.94</v>
      </c>
      <c r="Y14" s="56" t="s">
        <v>668</v>
      </c>
      <c r="Z14" s="27" t="s">
        <v>88</v>
      </c>
      <c r="AA14" s="27" t="s">
        <v>690</v>
      </c>
      <c r="AB14" s="27">
        <v>14</v>
      </c>
      <c r="AC14" s="27" t="s">
        <v>55</v>
      </c>
      <c r="AD14" s="27" t="s">
        <v>55</v>
      </c>
      <c r="AE14" s="27" t="s">
        <v>55</v>
      </c>
      <c r="AR14" s="2" t="s">
        <v>52</v>
      </c>
      <c r="AS14" s="2">
        <v>0.69</v>
      </c>
      <c r="AT14" s="2">
        <v>1.71</v>
      </c>
      <c r="AU14" s="2">
        <v>10.94</v>
      </c>
      <c r="AV14" s="2">
        <v>3.18</v>
      </c>
      <c r="AW14" s="2">
        <v>34.770000000000003</v>
      </c>
      <c r="AX14" s="2">
        <v>13.83</v>
      </c>
      <c r="AY14" s="2">
        <v>8.3000000000000007</v>
      </c>
      <c r="AZ14" s="2">
        <v>0.59499999999999997</v>
      </c>
      <c r="BA14" s="2">
        <v>0.48</v>
      </c>
      <c r="BB14" s="2">
        <v>0.05</v>
      </c>
      <c r="BC14" s="2">
        <v>0.08</v>
      </c>
      <c r="BD14" s="2">
        <v>48</v>
      </c>
      <c r="BE14" s="2">
        <v>93</v>
      </c>
    </row>
    <row r="15" spans="1:58" ht="60" customHeight="1" x14ac:dyDescent="0.35">
      <c r="O15" s="2">
        <v>3</v>
      </c>
      <c r="Q15" s="3">
        <v>46021</v>
      </c>
      <c r="R15" s="61">
        <v>46021.768750000003</v>
      </c>
      <c r="T15" s="2">
        <f t="shared" si="3"/>
        <v>32</v>
      </c>
      <c r="U15" s="27">
        <v>19.21</v>
      </c>
      <c r="V15" s="27">
        <v>9.2899999999999991</v>
      </c>
      <c r="W15" s="27">
        <v>2.78</v>
      </c>
      <c r="X15" s="27">
        <v>7.94</v>
      </c>
      <c r="Y15" s="27">
        <v>5.94</v>
      </c>
      <c r="Z15" s="27" t="s">
        <v>124</v>
      </c>
      <c r="AA15" s="27" t="s">
        <v>706</v>
      </c>
      <c r="AB15" s="27">
        <v>14</v>
      </c>
      <c r="AC15" s="27" t="s">
        <v>55</v>
      </c>
      <c r="AD15" s="27" t="s">
        <v>55</v>
      </c>
      <c r="AE15" s="27" t="s">
        <v>55</v>
      </c>
      <c r="AR15" s="2" t="s">
        <v>52</v>
      </c>
      <c r="AS15" s="2">
        <v>0.7</v>
      </c>
      <c r="AT15" s="2">
        <v>2.0499999999999998</v>
      </c>
      <c r="AU15" s="2">
        <v>6.8</v>
      </c>
      <c r="AV15" s="2">
        <v>3.28</v>
      </c>
      <c r="AW15" s="2">
        <v>22.3</v>
      </c>
      <c r="AX15" s="2">
        <v>7.47</v>
      </c>
      <c r="AY15" s="2">
        <v>3.96</v>
      </c>
      <c r="AZ15" s="2" t="s">
        <v>709</v>
      </c>
      <c r="BA15" s="2">
        <v>0.2</v>
      </c>
      <c r="BB15" s="2">
        <v>0.02</v>
      </c>
      <c r="BC15" s="2">
        <v>0.02</v>
      </c>
      <c r="BD15" s="2">
        <v>16</v>
      </c>
      <c r="BE15" s="2">
        <v>103</v>
      </c>
    </row>
    <row r="16" spans="1:58" ht="60" customHeight="1" x14ac:dyDescent="0.35">
      <c r="O16" s="2">
        <v>3</v>
      </c>
      <c r="Q16" s="3">
        <v>46024</v>
      </c>
      <c r="R16" s="61">
        <v>46024.668749999997</v>
      </c>
      <c r="S16" s="2">
        <f>R16-R15</f>
        <v>2.8999999999941792</v>
      </c>
      <c r="T16" s="2">
        <f t="shared" si="3"/>
        <v>35</v>
      </c>
      <c r="U16" s="27">
        <v>14.25</v>
      </c>
      <c r="V16" s="27">
        <v>7.2</v>
      </c>
      <c r="W16" s="27">
        <v>1.68</v>
      </c>
      <c r="X16" s="27">
        <v>5.58</v>
      </c>
      <c r="Y16" s="27">
        <v>0.59</v>
      </c>
      <c r="Z16" s="27" t="s">
        <v>712</v>
      </c>
      <c r="AA16" s="27" t="s">
        <v>722</v>
      </c>
      <c r="AB16" s="27">
        <v>14</v>
      </c>
      <c r="AC16" s="124">
        <f>$R$15+($S$16/2)</f>
        <v>46023.21875</v>
      </c>
      <c r="AD16" s="56">
        <f>$T$15+($S$16/2)</f>
        <v>33.44999999999709</v>
      </c>
      <c r="AE16" s="27">
        <v>43</v>
      </c>
      <c r="AF16" s="118" t="s">
        <v>55</v>
      </c>
      <c r="AG16" s="118" t="s">
        <v>55</v>
      </c>
      <c r="AH16" s="118" t="s">
        <v>55</v>
      </c>
      <c r="AI16" s="118" t="s">
        <v>55</v>
      </c>
      <c r="AJ16" s="118" t="s">
        <v>55</v>
      </c>
      <c r="AK16" s="118" t="s">
        <v>55</v>
      </c>
      <c r="AL16" s="118">
        <v>43</v>
      </c>
      <c r="AM16" s="118">
        <v>0</v>
      </c>
      <c r="AN16" s="118">
        <f>AL16-AM16</f>
        <v>43</v>
      </c>
      <c r="AO16" s="118" t="s">
        <v>55</v>
      </c>
      <c r="AP16" s="118" t="s">
        <v>55</v>
      </c>
      <c r="AQ16" s="118" t="s">
        <v>55</v>
      </c>
      <c r="AR16" s="2" t="s">
        <v>107</v>
      </c>
      <c r="AS16" s="2">
        <v>1</v>
      </c>
      <c r="AT16" s="2">
        <v>4.1900000000000004</v>
      </c>
      <c r="AU16" s="2">
        <v>0</v>
      </c>
      <c r="AV16" s="2" t="s">
        <v>89</v>
      </c>
      <c r="AW16" s="2">
        <v>29.69</v>
      </c>
      <c r="AX16" s="2">
        <v>7.02</v>
      </c>
      <c r="AY16" s="2">
        <v>3.55</v>
      </c>
      <c r="AZ16" s="2">
        <v>0.5</v>
      </c>
      <c r="BA16" s="2">
        <v>0.35</v>
      </c>
      <c r="BB16" s="2">
        <v>0</v>
      </c>
      <c r="BC16" s="2">
        <v>0.02</v>
      </c>
      <c r="BD16" s="2">
        <v>48</v>
      </c>
      <c r="BE16" s="2">
        <v>108</v>
      </c>
      <c r="BF16" s="2" t="s">
        <v>713</v>
      </c>
    </row>
    <row r="17" spans="1:58" ht="60" customHeight="1" x14ac:dyDescent="0.35">
      <c r="O17" s="2">
        <v>3</v>
      </c>
      <c r="Q17" s="3">
        <v>46027</v>
      </c>
      <c r="R17" s="58">
        <v>0.70277777777777783</v>
      </c>
      <c r="T17" s="2">
        <f t="shared" si="3"/>
        <v>38</v>
      </c>
      <c r="U17" s="27" t="s">
        <v>55</v>
      </c>
      <c r="V17" s="27" t="s">
        <v>55</v>
      </c>
      <c r="W17" s="27" t="s">
        <v>55</v>
      </c>
      <c r="X17" s="27" t="s">
        <v>55</v>
      </c>
      <c r="Y17" s="27" t="s">
        <v>55</v>
      </c>
      <c r="Z17" s="27" t="s">
        <v>55</v>
      </c>
      <c r="AA17" s="27" t="s">
        <v>729</v>
      </c>
      <c r="AB17" s="27">
        <v>14</v>
      </c>
      <c r="AC17" s="124">
        <f>$R$15+($S$16/2)</f>
        <v>46023.21875</v>
      </c>
      <c r="AD17" s="56">
        <f>$T$15+($S$16/2)</f>
        <v>33.44999999999709</v>
      </c>
      <c r="AE17" s="27" t="s">
        <v>735</v>
      </c>
      <c r="AF17" s="118" t="s">
        <v>55</v>
      </c>
      <c r="AG17" s="118" t="s">
        <v>55</v>
      </c>
      <c r="AH17" s="118" t="s">
        <v>55</v>
      </c>
      <c r="AI17" s="118" t="s">
        <v>55</v>
      </c>
      <c r="AJ17" s="118" t="s">
        <v>55</v>
      </c>
      <c r="AK17" s="118" t="s">
        <v>55</v>
      </c>
      <c r="AL17" s="118">
        <v>75.849999999999994</v>
      </c>
      <c r="AM17" s="118">
        <v>0</v>
      </c>
      <c r="AN17" s="118">
        <f>AL17-AM17</f>
        <v>75.849999999999994</v>
      </c>
      <c r="AO17" s="118">
        <v>82.29</v>
      </c>
      <c r="AP17" s="118">
        <v>0</v>
      </c>
      <c r="AQ17" s="118">
        <f>AO17-AP17</f>
        <v>82.29</v>
      </c>
      <c r="AR17" s="2" t="s">
        <v>55</v>
      </c>
      <c r="BF17" s="2" t="s">
        <v>733</v>
      </c>
    </row>
    <row r="18" spans="1:58" ht="60" customHeight="1" x14ac:dyDescent="0.35">
      <c r="Q18" s="3"/>
      <c r="R18" s="58"/>
    </row>
    <row r="19" spans="1:58" ht="60" customHeight="1" x14ac:dyDescent="0.35">
      <c r="A19" s="22">
        <v>3</v>
      </c>
      <c r="B19" s="136" t="s">
        <v>649</v>
      </c>
      <c r="C19" s="43">
        <v>43466</v>
      </c>
      <c r="D19" s="3">
        <v>45983</v>
      </c>
      <c r="E19" s="44">
        <f t="shared" ref="E19:E194" si="4">D19-C19</f>
        <v>2517</v>
      </c>
      <c r="F19" s="44">
        <f t="shared" ref="F19:F194" si="5">E19/365</f>
        <v>6.8958904109589039</v>
      </c>
      <c r="G19" s="44">
        <f t="shared" ref="G19:G194" si="6">(E19-180)/240</f>
        <v>9.7375000000000007</v>
      </c>
      <c r="H19" s="38" t="s">
        <v>11</v>
      </c>
      <c r="I19" s="56">
        <v>8.0050000000000008</v>
      </c>
      <c r="J19" s="2">
        <v>4113</v>
      </c>
      <c r="O19" s="2">
        <v>2.5</v>
      </c>
      <c r="P19" s="56" t="s">
        <v>634</v>
      </c>
      <c r="Q19" s="3">
        <v>46000</v>
      </c>
      <c r="R19" s="58">
        <v>0.75</v>
      </c>
      <c r="T19" s="2">
        <f t="shared" ref="T19:T48" si="7">Q19-$D$19</f>
        <v>17</v>
      </c>
      <c r="U19" s="27">
        <v>16.5</v>
      </c>
      <c r="V19" s="27">
        <v>6.98</v>
      </c>
      <c r="W19" s="27">
        <v>2.64</v>
      </c>
      <c r="X19" s="27">
        <v>7.26</v>
      </c>
      <c r="Y19" s="27">
        <v>2.92</v>
      </c>
      <c r="Z19" s="27" t="s">
        <v>635</v>
      </c>
      <c r="AA19" s="27" t="s">
        <v>636</v>
      </c>
      <c r="AB19" s="27">
        <v>17</v>
      </c>
      <c r="AC19" s="27" t="s">
        <v>55</v>
      </c>
      <c r="AD19" s="27" t="s">
        <v>55</v>
      </c>
      <c r="AE19" s="27" t="s">
        <v>55</v>
      </c>
      <c r="AR19" s="2" t="s">
        <v>84</v>
      </c>
      <c r="AS19" s="2">
        <v>0.74</v>
      </c>
      <c r="AT19" s="2">
        <v>2.34</v>
      </c>
      <c r="AU19" s="2">
        <v>13.87</v>
      </c>
      <c r="AV19" s="2">
        <v>3.89</v>
      </c>
      <c r="AW19" s="2">
        <v>53.95</v>
      </c>
      <c r="AX19" s="2">
        <v>16.95</v>
      </c>
      <c r="AY19" s="2">
        <v>8.39</v>
      </c>
      <c r="AZ19" s="2">
        <v>0.49</v>
      </c>
      <c r="BA19" s="2">
        <v>1.1599999999999999</v>
      </c>
      <c r="BB19" s="2">
        <v>0.08</v>
      </c>
      <c r="BC19" s="2">
        <v>0.11</v>
      </c>
      <c r="BD19" s="2">
        <v>32</v>
      </c>
      <c r="BE19" s="2">
        <v>108</v>
      </c>
      <c r="BF19" s="38" t="s">
        <v>645</v>
      </c>
    </row>
    <row r="20" spans="1:58" ht="60" customHeight="1" x14ac:dyDescent="0.35">
      <c r="B20" s="20" t="s">
        <v>850</v>
      </c>
      <c r="E20" s="44"/>
      <c r="F20" s="44"/>
      <c r="G20" s="44"/>
      <c r="O20" s="2">
        <v>2.5</v>
      </c>
      <c r="P20" s="2" t="s">
        <v>650</v>
      </c>
      <c r="Q20" s="3">
        <v>46003</v>
      </c>
      <c r="R20" s="58">
        <v>0.66805555555555551</v>
      </c>
      <c r="T20" s="2">
        <f t="shared" si="7"/>
        <v>20</v>
      </c>
      <c r="U20" s="27">
        <v>14.19</v>
      </c>
      <c r="V20" s="27">
        <v>7.2</v>
      </c>
      <c r="W20" s="27">
        <v>1.52</v>
      </c>
      <c r="X20" s="27">
        <v>5.84</v>
      </c>
      <c r="Y20" s="27">
        <v>2.67</v>
      </c>
      <c r="Z20" s="27" t="s">
        <v>651</v>
      </c>
      <c r="AA20" s="27" t="s">
        <v>652</v>
      </c>
      <c r="AB20" s="27">
        <v>17</v>
      </c>
      <c r="AC20" s="27" t="s">
        <v>55</v>
      </c>
      <c r="AD20" s="27" t="s">
        <v>55</v>
      </c>
      <c r="AE20" s="27" t="s">
        <v>55</v>
      </c>
      <c r="AR20" s="2" t="s">
        <v>52</v>
      </c>
      <c r="AS20" s="2">
        <v>1</v>
      </c>
      <c r="AT20" s="2">
        <v>3.41</v>
      </c>
      <c r="AU20" s="2">
        <v>0</v>
      </c>
      <c r="AV20" s="2" t="s">
        <v>89</v>
      </c>
      <c r="AW20" s="2">
        <v>31.99</v>
      </c>
      <c r="AX20" s="2">
        <v>9.3000000000000007</v>
      </c>
      <c r="AY20" s="2">
        <v>5.62</v>
      </c>
      <c r="AZ20" s="2">
        <v>0.6</v>
      </c>
      <c r="BA20" s="2">
        <v>0.41</v>
      </c>
      <c r="BB20" s="2">
        <v>0</v>
      </c>
      <c r="BC20" s="2">
        <v>0.03</v>
      </c>
      <c r="BD20" s="2">
        <v>36</v>
      </c>
      <c r="BE20" s="2">
        <v>92</v>
      </c>
    </row>
    <row r="21" spans="1:58" ht="60" customHeight="1" x14ac:dyDescent="0.35">
      <c r="B21" s="20" t="s">
        <v>1171</v>
      </c>
      <c r="E21" s="44"/>
      <c r="F21" s="44"/>
      <c r="G21" s="44"/>
      <c r="O21" s="2">
        <v>2.5</v>
      </c>
      <c r="Q21" s="3">
        <v>46007</v>
      </c>
      <c r="R21" s="58">
        <v>0.82499999999999996</v>
      </c>
      <c r="T21" s="2">
        <f t="shared" si="7"/>
        <v>24</v>
      </c>
      <c r="U21" s="27">
        <v>17.239999999999998</v>
      </c>
      <c r="V21" s="27">
        <v>8.1199999999999992</v>
      </c>
      <c r="W21" s="27">
        <v>1.33</v>
      </c>
      <c r="X21" s="27">
        <v>5.86</v>
      </c>
      <c r="Y21" s="27">
        <v>2.82</v>
      </c>
      <c r="Z21" s="27" t="s">
        <v>663</v>
      </c>
      <c r="AA21" s="27" t="s">
        <v>662</v>
      </c>
      <c r="AB21" s="27">
        <v>17</v>
      </c>
      <c r="AC21" s="27" t="s">
        <v>55</v>
      </c>
      <c r="AD21" s="27" t="s">
        <v>55</v>
      </c>
      <c r="AE21" s="27" t="s">
        <v>55</v>
      </c>
      <c r="AR21" s="2" t="s">
        <v>52</v>
      </c>
      <c r="AS21" s="2">
        <v>0.79</v>
      </c>
      <c r="AT21" s="2">
        <v>2.66</v>
      </c>
      <c r="AU21" s="2">
        <v>11.79</v>
      </c>
      <c r="AV21" s="2">
        <v>4.8600000000000003</v>
      </c>
      <c r="AW21" s="2">
        <v>57.34</v>
      </c>
      <c r="AX21" s="2">
        <v>16.93</v>
      </c>
      <c r="AY21" s="2">
        <v>7.79</v>
      </c>
      <c r="AZ21" s="2">
        <v>0.45500000000000002</v>
      </c>
      <c r="BA21" s="2">
        <v>1.32</v>
      </c>
      <c r="BB21" s="2">
        <v>0.06</v>
      </c>
      <c r="BC21" s="2">
        <v>0.11</v>
      </c>
      <c r="BD21" s="2">
        <v>50</v>
      </c>
      <c r="BE21" s="2">
        <v>115</v>
      </c>
    </row>
    <row r="22" spans="1:58" ht="60" customHeight="1" x14ac:dyDescent="0.35">
      <c r="E22" s="44"/>
      <c r="F22" s="44"/>
      <c r="G22" s="44"/>
      <c r="O22" s="2">
        <v>2.25</v>
      </c>
      <c r="Q22" s="3">
        <v>46010</v>
      </c>
      <c r="R22" s="58">
        <v>0.71527777777777779</v>
      </c>
      <c r="T22" s="2">
        <f t="shared" si="7"/>
        <v>27</v>
      </c>
      <c r="U22" s="27">
        <v>14.06</v>
      </c>
      <c r="V22" s="27">
        <v>5.65</v>
      </c>
      <c r="W22" s="27">
        <v>1.52</v>
      </c>
      <c r="X22" s="27">
        <v>4.07</v>
      </c>
      <c r="Y22" s="56" t="s">
        <v>668</v>
      </c>
      <c r="Z22" s="27" t="s">
        <v>669</v>
      </c>
      <c r="AA22" s="27" t="s">
        <v>670</v>
      </c>
      <c r="AB22" s="27">
        <v>17</v>
      </c>
      <c r="AC22" s="27" t="s">
        <v>55</v>
      </c>
      <c r="AD22" s="27" t="s">
        <v>55</v>
      </c>
      <c r="AE22" s="27" t="s">
        <v>55</v>
      </c>
      <c r="AR22" s="2" t="s">
        <v>52</v>
      </c>
      <c r="AS22" s="2">
        <v>1</v>
      </c>
      <c r="AT22" s="2">
        <v>4.46</v>
      </c>
      <c r="AU22" s="2">
        <v>0</v>
      </c>
      <c r="AV22" s="2" t="s">
        <v>89</v>
      </c>
      <c r="AW22" s="2">
        <v>34.130000000000003</v>
      </c>
      <c r="AX22" s="2">
        <v>7.58</v>
      </c>
      <c r="AY22" s="2">
        <v>4.13</v>
      </c>
      <c r="AZ22" s="2">
        <v>0.54</v>
      </c>
      <c r="BA22" s="2">
        <v>0.47</v>
      </c>
      <c r="BB22" s="2">
        <v>0</v>
      </c>
      <c r="BC22" s="2">
        <v>0.02</v>
      </c>
      <c r="BD22" s="2">
        <v>56</v>
      </c>
      <c r="BE22" s="2">
        <v>102</v>
      </c>
      <c r="BF22" s="2" t="s">
        <v>389</v>
      </c>
    </row>
    <row r="23" spans="1:58" ht="60" customHeight="1" x14ac:dyDescent="0.35">
      <c r="E23" s="44"/>
      <c r="F23" s="44"/>
      <c r="G23" s="44"/>
      <c r="O23" s="2">
        <v>2</v>
      </c>
      <c r="Q23" s="3">
        <v>46013</v>
      </c>
      <c r="R23" s="58">
        <v>0.5229166666666667</v>
      </c>
      <c r="T23" s="2">
        <f t="shared" si="7"/>
        <v>30</v>
      </c>
      <c r="U23" s="27">
        <v>14.39</v>
      </c>
      <c r="V23" s="27">
        <v>8.0399999999999991</v>
      </c>
      <c r="W23" s="27">
        <v>2.14</v>
      </c>
      <c r="X23" s="27">
        <v>5.65</v>
      </c>
      <c r="Y23" s="27">
        <v>2.92</v>
      </c>
      <c r="Z23" s="27" t="s">
        <v>676</v>
      </c>
      <c r="AA23" s="27" t="s">
        <v>685</v>
      </c>
      <c r="AB23" s="27">
        <v>17</v>
      </c>
      <c r="AC23" s="27" t="s">
        <v>55</v>
      </c>
      <c r="AD23" s="27" t="s">
        <v>55</v>
      </c>
      <c r="AE23" s="27" t="s">
        <v>55</v>
      </c>
      <c r="AR23" s="38" t="s">
        <v>107</v>
      </c>
      <c r="AS23" s="2">
        <v>0.81</v>
      </c>
      <c r="AT23" s="2">
        <v>2.5099999999999998</v>
      </c>
      <c r="AU23" s="2">
        <v>9.0299999999999994</v>
      </c>
      <c r="AV23" s="2">
        <v>5.29</v>
      </c>
      <c r="AW23" s="2">
        <v>47.79</v>
      </c>
      <c r="AX23" s="2">
        <v>15.34</v>
      </c>
      <c r="AY23" s="2">
        <v>9.9</v>
      </c>
      <c r="AZ23" s="2">
        <v>0.64</v>
      </c>
      <c r="BA23" s="2">
        <v>0.91</v>
      </c>
      <c r="BB23" s="2">
        <v>0.03</v>
      </c>
      <c r="BC23" s="2">
        <v>0.09</v>
      </c>
      <c r="BD23" s="2">
        <v>46</v>
      </c>
      <c r="BE23" s="2">
        <v>83</v>
      </c>
    </row>
    <row r="24" spans="1:58" ht="60" customHeight="1" x14ac:dyDescent="0.35">
      <c r="E24" s="44"/>
      <c r="F24" s="44"/>
      <c r="G24" s="44"/>
      <c r="O24" s="2">
        <v>2</v>
      </c>
      <c r="Q24" s="3">
        <v>46018</v>
      </c>
      <c r="R24" s="58">
        <v>0.53402777777777777</v>
      </c>
      <c r="T24" s="2">
        <f t="shared" si="7"/>
        <v>35</v>
      </c>
      <c r="U24" s="27">
        <v>12.2</v>
      </c>
      <c r="V24" s="27">
        <v>6.43</v>
      </c>
      <c r="W24" s="27">
        <v>0.8</v>
      </c>
      <c r="X24" s="27">
        <v>4.8099999999999996</v>
      </c>
      <c r="Y24" s="27">
        <v>2.14</v>
      </c>
      <c r="Z24" s="27" t="s">
        <v>694</v>
      </c>
      <c r="AA24" s="27" t="s">
        <v>693</v>
      </c>
      <c r="AB24" s="27">
        <v>17</v>
      </c>
      <c r="AC24" s="27" t="s">
        <v>55</v>
      </c>
      <c r="AD24" s="27" t="s">
        <v>55</v>
      </c>
      <c r="AE24" s="27" t="s">
        <v>55</v>
      </c>
      <c r="AR24" s="2" t="s">
        <v>52</v>
      </c>
      <c r="AS24" s="2">
        <v>1</v>
      </c>
      <c r="AT24" s="2">
        <v>7.53</v>
      </c>
      <c r="AU24" s="2">
        <v>0</v>
      </c>
      <c r="AV24" s="2" t="s">
        <v>89</v>
      </c>
      <c r="AW24" s="2">
        <v>31.32</v>
      </c>
      <c r="AX24" s="2">
        <v>4.1399999999999997</v>
      </c>
      <c r="AY24" s="2">
        <v>3.97</v>
      </c>
      <c r="AZ24" s="2">
        <v>0.95499999999999996</v>
      </c>
      <c r="BA24" s="2">
        <v>0.39</v>
      </c>
      <c r="BB24" s="2">
        <v>0</v>
      </c>
      <c r="BC24" s="2">
        <v>0.01</v>
      </c>
      <c r="BD24" s="2">
        <v>56</v>
      </c>
      <c r="BE24" s="2">
        <v>61</v>
      </c>
      <c r="BF24" s="2" t="s">
        <v>696</v>
      </c>
    </row>
    <row r="25" spans="1:58" ht="60" customHeight="1" x14ac:dyDescent="0.35">
      <c r="E25" s="44"/>
      <c r="F25" s="44"/>
      <c r="G25" s="44"/>
      <c r="O25" s="2">
        <v>2</v>
      </c>
      <c r="Q25" s="3">
        <v>46021</v>
      </c>
      <c r="R25" s="2" t="s">
        <v>697</v>
      </c>
      <c r="T25" s="2">
        <f t="shared" si="7"/>
        <v>38</v>
      </c>
      <c r="U25" s="27">
        <v>19.46</v>
      </c>
      <c r="V25" s="27">
        <v>12.16</v>
      </c>
      <c r="W25" s="27">
        <v>3.39</v>
      </c>
      <c r="X25" s="27">
        <v>7.9</v>
      </c>
      <c r="Y25" s="27">
        <v>3.41</v>
      </c>
      <c r="Z25" s="27" t="s">
        <v>699</v>
      </c>
      <c r="AA25" s="27" t="s">
        <v>698</v>
      </c>
      <c r="AB25" s="27">
        <v>17</v>
      </c>
      <c r="AC25" s="27" t="s">
        <v>55</v>
      </c>
      <c r="AD25" s="27" t="s">
        <v>55</v>
      </c>
      <c r="AE25" s="27" t="s">
        <v>55</v>
      </c>
      <c r="AR25" s="2" t="s">
        <v>52</v>
      </c>
      <c r="AS25" s="2">
        <v>1</v>
      </c>
      <c r="AT25" s="2">
        <v>4.33</v>
      </c>
      <c r="AU25" s="2">
        <v>0</v>
      </c>
      <c r="AV25" s="2" t="s">
        <v>89</v>
      </c>
      <c r="AW25" s="2">
        <v>36.200000000000003</v>
      </c>
      <c r="AX25" s="2">
        <v>8.3000000000000007</v>
      </c>
      <c r="AY25" s="2">
        <v>6.02</v>
      </c>
      <c r="AZ25" s="2">
        <v>0.72</v>
      </c>
      <c r="BA25" s="2">
        <v>0.52</v>
      </c>
      <c r="BB25" s="2">
        <v>0</v>
      </c>
      <c r="BC25" s="2">
        <v>0.03</v>
      </c>
      <c r="BD25" s="2">
        <v>50</v>
      </c>
      <c r="BE25" s="2">
        <v>80</v>
      </c>
    </row>
    <row r="26" spans="1:58" ht="60" customHeight="1" x14ac:dyDescent="0.35">
      <c r="E26" s="44"/>
      <c r="F26" s="44"/>
      <c r="G26" s="44"/>
      <c r="O26" s="2">
        <v>2</v>
      </c>
      <c r="Q26" s="3">
        <v>46024</v>
      </c>
      <c r="R26" s="58">
        <v>0.69652777777777775</v>
      </c>
      <c r="T26" s="2">
        <f t="shared" si="7"/>
        <v>41</v>
      </c>
      <c r="U26" s="27">
        <v>20.45</v>
      </c>
      <c r="V26" s="27">
        <v>11.48</v>
      </c>
      <c r="W26" s="27">
        <v>2.8</v>
      </c>
      <c r="X26" s="27">
        <v>8.2799999999999994</v>
      </c>
      <c r="Y26" s="27">
        <v>3.22</v>
      </c>
      <c r="Z26" s="27" t="s">
        <v>717</v>
      </c>
      <c r="AA26" s="27" t="s">
        <v>718</v>
      </c>
      <c r="AB26" s="27">
        <v>17</v>
      </c>
      <c r="AC26" s="27" t="s">
        <v>55</v>
      </c>
      <c r="AD26" s="27" t="s">
        <v>55</v>
      </c>
      <c r="AE26" s="27" t="s">
        <v>55</v>
      </c>
      <c r="AR26" s="2" t="s">
        <v>52</v>
      </c>
      <c r="AS26" s="2">
        <v>0.79</v>
      </c>
      <c r="AT26" s="2">
        <v>2.44</v>
      </c>
      <c r="AU26" s="2">
        <v>6.64</v>
      </c>
      <c r="AV26" s="2">
        <v>4.82</v>
      </c>
      <c r="AW26" s="2">
        <v>32.04</v>
      </c>
      <c r="AX26" s="2">
        <v>10.36</v>
      </c>
      <c r="AY26" s="2">
        <v>8.65</v>
      </c>
      <c r="AZ26" s="2">
        <v>0.83</v>
      </c>
      <c r="BA26" s="2">
        <v>0.41</v>
      </c>
      <c r="BB26" s="2">
        <v>0.02</v>
      </c>
      <c r="BC26" s="2">
        <v>0.04</v>
      </c>
      <c r="BD26" s="2">
        <v>48</v>
      </c>
      <c r="BE26" s="2">
        <v>69</v>
      </c>
    </row>
    <row r="27" spans="1:58" ht="60" customHeight="1" x14ac:dyDescent="0.35">
      <c r="E27" s="44"/>
      <c r="F27" s="44"/>
      <c r="G27" s="44"/>
      <c r="O27" s="2">
        <v>2</v>
      </c>
      <c r="Q27" s="3">
        <v>46027</v>
      </c>
      <c r="R27" s="58">
        <v>0.68541666666666667</v>
      </c>
      <c r="T27" s="2">
        <f t="shared" si="7"/>
        <v>44</v>
      </c>
      <c r="U27" s="27">
        <v>16.940000000000001</v>
      </c>
      <c r="V27" s="27">
        <v>8.6300000000000008</v>
      </c>
      <c r="W27" s="27">
        <v>2.0699999999999998</v>
      </c>
      <c r="X27" s="27">
        <v>6.67</v>
      </c>
      <c r="Y27" s="27">
        <v>2.52</v>
      </c>
      <c r="Z27" s="27" t="s">
        <v>724</v>
      </c>
      <c r="AA27" s="27" t="s">
        <v>725</v>
      </c>
      <c r="AB27" s="27">
        <v>17</v>
      </c>
      <c r="AC27" s="27" t="s">
        <v>55</v>
      </c>
      <c r="AD27" s="27" t="s">
        <v>55</v>
      </c>
      <c r="AE27" s="27" t="s">
        <v>55</v>
      </c>
      <c r="AR27" s="2" t="s">
        <v>52</v>
      </c>
      <c r="AS27" s="2">
        <v>1</v>
      </c>
      <c r="AT27" s="2">
        <v>4.33</v>
      </c>
      <c r="AU27" s="2">
        <v>0</v>
      </c>
      <c r="AV27" s="2" t="s">
        <v>89</v>
      </c>
      <c r="AW27" s="2">
        <v>36.090000000000003</v>
      </c>
      <c r="AX27" s="2">
        <v>8.2799999999999994</v>
      </c>
      <c r="AY27" s="2">
        <v>6.13</v>
      </c>
      <c r="AZ27" s="2">
        <v>0.73499999999999999</v>
      </c>
      <c r="BA27" s="2">
        <v>0.52</v>
      </c>
      <c r="BB27" s="2">
        <v>0</v>
      </c>
      <c r="BC27" s="2">
        <v>0.03</v>
      </c>
      <c r="BD27" s="2">
        <v>52</v>
      </c>
      <c r="BE27" s="2">
        <v>77</v>
      </c>
    </row>
    <row r="28" spans="1:58" ht="60" customHeight="1" x14ac:dyDescent="0.35">
      <c r="E28" s="44"/>
      <c r="F28" s="44"/>
      <c r="G28" s="44"/>
      <c r="O28" s="2">
        <v>2</v>
      </c>
      <c r="Q28" s="3">
        <v>46031</v>
      </c>
      <c r="R28" s="58">
        <v>0.72222222222222221</v>
      </c>
      <c r="T28" s="2">
        <f t="shared" si="7"/>
        <v>48</v>
      </c>
      <c r="U28" s="27">
        <v>18.23</v>
      </c>
      <c r="V28" s="27">
        <v>9.91</v>
      </c>
      <c r="W28" s="27">
        <v>1.47</v>
      </c>
      <c r="X28" s="27">
        <v>7.49</v>
      </c>
      <c r="Y28" s="27">
        <v>3.62</v>
      </c>
      <c r="Z28" s="27" t="s">
        <v>355</v>
      </c>
      <c r="AA28" s="27" t="s">
        <v>743</v>
      </c>
      <c r="AB28" s="27">
        <v>17</v>
      </c>
      <c r="AC28" s="27" t="s">
        <v>55</v>
      </c>
      <c r="AD28" s="27" t="s">
        <v>55</v>
      </c>
      <c r="AE28" s="27" t="s">
        <v>55</v>
      </c>
      <c r="AR28" s="2" t="s">
        <v>52</v>
      </c>
      <c r="AS28" s="2">
        <v>0.83</v>
      </c>
      <c r="AT28" s="2">
        <v>2.13</v>
      </c>
      <c r="AU28" s="2">
        <v>7.56</v>
      </c>
      <c r="AV28" s="2">
        <v>5.82</v>
      </c>
      <c r="AW28" s="2">
        <v>44.03</v>
      </c>
      <c r="AX28" s="2">
        <v>17.010000000000002</v>
      </c>
      <c r="AY28" s="2">
        <v>14.97</v>
      </c>
      <c r="AZ28" s="2">
        <v>0.875</v>
      </c>
      <c r="BA28" s="2">
        <v>0.78</v>
      </c>
      <c r="BB28" s="2">
        <v>0.02</v>
      </c>
      <c r="BC28" s="2">
        <v>0.12</v>
      </c>
      <c r="BD28" s="2">
        <v>54</v>
      </c>
      <c r="BE28" s="2">
        <v>66</v>
      </c>
    </row>
    <row r="29" spans="1:58" ht="60" customHeight="1" x14ac:dyDescent="0.35">
      <c r="E29" s="44"/>
      <c r="F29" s="44"/>
      <c r="G29" s="44"/>
      <c r="O29" s="2">
        <v>2</v>
      </c>
      <c r="Q29" s="3">
        <v>46035</v>
      </c>
      <c r="R29" s="58">
        <v>0.76249999999999996</v>
      </c>
      <c r="T29" s="2">
        <f t="shared" si="7"/>
        <v>52</v>
      </c>
      <c r="U29" s="27">
        <v>15.96</v>
      </c>
      <c r="V29" s="27">
        <v>9.5399999999999991</v>
      </c>
      <c r="W29" s="27">
        <v>2.2999999999999998</v>
      </c>
      <c r="X29" s="27">
        <v>7.07</v>
      </c>
      <c r="Y29" s="27">
        <v>3.39</v>
      </c>
      <c r="Z29" s="27" t="s">
        <v>755</v>
      </c>
      <c r="AA29" s="37" t="s">
        <v>754</v>
      </c>
      <c r="AB29" s="27">
        <v>17</v>
      </c>
      <c r="AC29" s="27" t="s">
        <v>55</v>
      </c>
      <c r="AD29" s="27" t="s">
        <v>55</v>
      </c>
      <c r="AE29" s="27" t="s">
        <v>55</v>
      </c>
      <c r="AR29" s="2" t="s">
        <v>52</v>
      </c>
      <c r="AS29" s="2">
        <v>1</v>
      </c>
      <c r="AT29" s="2">
        <v>3.36</v>
      </c>
      <c r="AU29" s="2">
        <v>0</v>
      </c>
      <c r="AV29" s="2" t="s">
        <v>89</v>
      </c>
      <c r="AW29" s="2">
        <v>44.4</v>
      </c>
      <c r="AX29" s="2">
        <v>13.12</v>
      </c>
      <c r="AY29" s="2">
        <v>9.7100000000000009</v>
      </c>
      <c r="AZ29" s="2">
        <v>0.73499999999999999</v>
      </c>
      <c r="BA29" s="2">
        <v>0.79</v>
      </c>
      <c r="BB29" s="2">
        <v>0</v>
      </c>
      <c r="BC29" s="2">
        <v>7.0000000000000007E-2</v>
      </c>
      <c r="BD29" s="2">
        <v>58</v>
      </c>
      <c r="BE29" s="2">
        <v>72</v>
      </c>
    </row>
    <row r="30" spans="1:58" ht="60" customHeight="1" x14ac:dyDescent="0.35">
      <c r="E30" s="44"/>
      <c r="F30" s="44"/>
      <c r="G30" s="44"/>
      <c r="O30" s="2">
        <v>2</v>
      </c>
      <c r="Q30" s="3">
        <v>46038</v>
      </c>
      <c r="R30" s="58">
        <v>0.54027777777777775</v>
      </c>
      <c r="T30" s="2">
        <f t="shared" si="7"/>
        <v>55</v>
      </c>
      <c r="U30" s="27">
        <v>19.98</v>
      </c>
      <c r="V30" s="27">
        <v>11.21</v>
      </c>
      <c r="W30" s="27">
        <v>2.4500000000000002</v>
      </c>
      <c r="X30" s="27">
        <v>8.08</v>
      </c>
      <c r="Y30" s="27">
        <v>3.06</v>
      </c>
      <c r="Z30" s="27" t="s">
        <v>765</v>
      </c>
      <c r="AA30" s="27" t="s">
        <v>775</v>
      </c>
      <c r="AB30" s="27">
        <v>17</v>
      </c>
      <c r="AC30" s="27" t="s">
        <v>55</v>
      </c>
      <c r="AD30" s="27" t="s">
        <v>55</v>
      </c>
      <c r="AE30" s="27" t="s">
        <v>55</v>
      </c>
      <c r="AR30" s="2" t="s">
        <v>52</v>
      </c>
      <c r="AS30" s="2">
        <v>1</v>
      </c>
      <c r="AT30" s="2">
        <v>5.76</v>
      </c>
      <c r="AU30" s="2">
        <v>0</v>
      </c>
      <c r="AV30" s="56">
        <v>9.8350468480609792E+18</v>
      </c>
      <c r="AW30" s="2">
        <v>34.119999999999997</v>
      </c>
      <c r="AX30" s="2">
        <v>5.88</v>
      </c>
      <c r="AY30" s="2">
        <v>3.64</v>
      </c>
      <c r="AZ30" s="2">
        <v>0.61499999999999999</v>
      </c>
      <c r="BA30" s="2">
        <v>0.47</v>
      </c>
      <c r="BB30" s="2">
        <v>0</v>
      </c>
      <c r="BC30" s="2">
        <v>0.01</v>
      </c>
      <c r="BD30" s="2">
        <v>42</v>
      </c>
      <c r="BE30" s="2">
        <v>90</v>
      </c>
    </row>
    <row r="31" spans="1:58" ht="60" customHeight="1" x14ac:dyDescent="0.35">
      <c r="E31" s="44"/>
      <c r="F31" s="44"/>
      <c r="G31" s="44"/>
      <c r="O31" s="2">
        <v>2</v>
      </c>
      <c r="Q31" s="3">
        <v>46041</v>
      </c>
      <c r="R31" s="58">
        <v>0.73819444444444449</v>
      </c>
      <c r="T31" s="2">
        <f t="shared" si="7"/>
        <v>58</v>
      </c>
      <c r="U31" s="27">
        <v>14.78</v>
      </c>
      <c r="V31" s="27">
        <v>8.5500000000000007</v>
      </c>
      <c r="W31" s="27">
        <v>2.08</v>
      </c>
      <c r="X31" s="27">
        <v>4.7</v>
      </c>
      <c r="Y31" s="27">
        <v>3.1</v>
      </c>
      <c r="Z31" s="27" t="s">
        <v>790</v>
      </c>
      <c r="AA31" s="27" t="s">
        <v>789</v>
      </c>
      <c r="AB31" s="27">
        <v>17</v>
      </c>
      <c r="AC31" s="27" t="s">
        <v>55</v>
      </c>
      <c r="AD31" s="27" t="s">
        <v>55</v>
      </c>
      <c r="AE31" s="27" t="s">
        <v>55</v>
      </c>
      <c r="AR31" s="2" t="s">
        <v>52</v>
      </c>
      <c r="AS31" s="2">
        <v>0.86</v>
      </c>
      <c r="AT31" s="2">
        <v>2.54</v>
      </c>
      <c r="AU31" s="2">
        <v>8.44</v>
      </c>
      <c r="AV31" s="2">
        <v>7.29</v>
      </c>
      <c r="AW31" s="2">
        <v>61.56</v>
      </c>
      <c r="AX31" s="2">
        <v>20.73</v>
      </c>
      <c r="AY31" s="2">
        <v>13.37</v>
      </c>
      <c r="AZ31" s="2">
        <v>0.64</v>
      </c>
      <c r="BA31" s="2">
        <v>1.52</v>
      </c>
      <c r="BB31" s="2">
        <v>0.03</v>
      </c>
      <c r="BC31" s="2">
        <v>0.17</v>
      </c>
      <c r="BD31" s="2">
        <v>42</v>
      </c>
      <c r="BE31" s="2">
        <v>85</v>
      </c>
    </row>
    <row r="32" spans="1:58" ht="60" customHeight="1" x14ac:dyDescent="0.35">
      <c r="E32" s="44"/>
      <c r="F32" s="44"/>
      <c r="G32" s="44"/>
      <c r="O32" s="2">
        <v>2</v>
      </c>
      <c r="Q32" s="3">
        <v>46045</v>
      </c>
      <c r="R32" s="58">
        <v>0.66597222222222219</v>
      </c>
      <c r="T32" s="2">
        <f t="shared" si="7"/>
        <v>62</v>
      </c>
      <c r="U32" s="27">
        <v>14.12</v>
      </c>
      <c r="V32" s="27">
        <v>8.15</v>
      </c>
      <c r="W32" s="27">
        <v>1.55</v>
      </c>
      <c r="X32" s="27">
        <v>5.56</v>
      </c>
      <c r="Y32" s="27">
        <v>2.2000000000000002</v>
      </c>
      <c r="Z32" s="27" t="s">
        <v>300</v>
      </c>
      <c r="AA32" s="27" t="s">
        <v>794</v>
      </c>
      <c r="AB32" s="27">
        <v>17</v>
      </c>
      <c r="AC32" s="27" t="s">
        <v>55</v>
      </c>
      <c r="AD32" s="27" t="s">
        <v>55</v>
      </c>
      <c r="AE32" s="27" t="s">
        <v>55</v>
      </c>
      <c r="AR32" s="2" t="s">
        <v>50</v>
      </c>
    </row>
    <row r="33" spans="5:57" ht="60" customHeight="1" x14ac:dyDescent="0.35">
      <c r="E33" s="44"/>
      <c r="F33" s="44"/>
      <c r="G33" s="44"/>
      <c r="O33" s="2">
        <v>2</v>
      </c>
      <c r="Q33" s="3">
        <v>46049</v>
      </c>
      <c r="R33" s="58">
        <v>0.76458333333333328</v>
      </c>
      <c r="T33" s="2">
        <f t="shared" si="7"/>
        <v>66</v>
      </c>
      <c r="U33" s="27">
        <v>12.1</v>
      </c>
      <c r="V33" s="27">
        <v>5.99</v>
      </c>
      <c r="W33" s="27">
        <v>1.26</v>
      </c>
      <c r="X33" s="27">
        <v>4.07</v>
      </c>
      <c r="Y33" s="27">
        <v>2.85</v>
      </c>
      <c r="Z33" s="27" t="s">
        <v>808</v>
      </c>
      <c r="AA33" s="27" t="s">
        <v>83</v>
      </c>
      <c r="AB33" s="27">
        <v>17</v>
      </c>
      <c r="AC33" s="27" t="s">
        <v>55</v>
      </c>
      <c r="AD33" s="27" t="s">
        <v>55</v>
      </c>
      <c r="AE33" s="27" t="s">
        <v>55</v>
      </c>
      <c r="AR33" s="2" t="s">
        <v>682</v>
      </c>
      <c r="AS33" s="2">
        <v>1</v>
      </c>
      <c r="AT33" s="2">
        <v>3.41</v>
      </c>
      <c r="AU33" s="2">
        <v>0</v>
      </c>
      <c r="AV33" s="2" t="s">
        <v>89</v>
      </c>
      <c r="AW33" s="2">
        <v>44.58</v>
      </c>
      <c r="AX33" s="2">
        <v>12.99</v>
      </c>
      <c r="AY33" s="2">
        <v>9.81</v>
      </c>
      <c r="AZ33" s="2">
        <v>0.75</v>
      </c>
      <c r="BA33" s="2">
        <v>0.8</v>
      </c>
      <c r="BB33" s="2">
        <v>0</v>
      </c>
      <c r="BC33" s="2">
        <v>7.0000000000000007E-2</v>
      </c>
      <c r="BD33" s="2">
        <v>52</v>
      </c>
      <c r="BE33" s="2">
        <v>72</v>
      </c>
    </row>
    <row r="34" spans="5:57" ht="60" customHeight="1" x14ac:dyDescent="0.35">
      <c r="E34" s="44"/>
      <c r="F34" s="44"/>
      <c r="G34" s="44"/>
      <c r="O34" s="2">
        <v>2</v>
      </c>
      <c r="Q34" s="3">
        <v>46052</v>
      </c>
      <c r="R34" s="58">
        <v>0.7368055555555556</v>
      </c>
      <c r="T34" s="2">
        <f t="shared" si="7"/>
        <v>69</v>
      </c>
      <c r="U34" s="27" t="s">
        <v>55</v>
      </c>
      <c r="V34" s="27" t="s">
        <v>55</v>
      </c>
      <c r="W34" s="27" t="s">
        <v>55</v>
      </c>
      <c r="X34" s="27" t="s">
        <v>55</v>
      </c>
      <c r="Y34" s="27" t="s">
        <v>55</v>
      </c>
      <c r="Z34" s="27" t="s">
        <v>98</v>
      </c>
      <c r="AA34" s="27" t="s">
        <v>134</v>
      </c>
      <c r="AB34" s="27">
        <v>17</v>
      </c>
      <c r="AC34" s="27" t="s">
        <v>55</v>
      </c>
      <c r="AD34" s="27" t="s">
        <v>55</v>
      </c>
      <c r="AE34" s="27" t="s">
        <v>55</v>
      </c>
      <c r="AR34" s="2" t="s">
        <v>55</v>
      </c>
    </row>
    <row r="35" spans="5:57" ht="60" customHeight="1" x14ac:dyDescent="0.35">
      <c r="E35" s="44"/>
      <c r="F35" s="44"/>
      <c r="G35" s="44"/>
      <c r="O35" s="2">
        <v>2</v>
      </c>
      <c r="Q35" s="3">
        <v>46056</v>
      </c>
      <c r="R35" s="58">
        <v>0.62638888888888888</v>
      </c>
      <c r="T35" s="2">
        <f t="shared" si="7"/>
        <v>73</v>
      </c>
      <c r="U35" s="27" t="s">
        <v>55</v>
      </c>
      <c r="V35" s="27" t="s">
        <v>55</v>
      </c>
      <c r="W35" s="27" t="s">
        <v>55</v>
      </c>
      <c r="X35" s="27" t="s">
        <v>55</v>
      </c>
      <c r="Y35" s="27" t="s">
        <v>55</v>
      </c>
      <c r="Z35" s="27" t="s">
        <v>317</v>
      </c>
      <c r="AA35" s="27" t="s">
        <v>731</v>
      </c>
      <c r="AB35" s="27">
        <v>17</v>
      </c>
      <c r="AC35" s="27" t="s">
        <v>55</v>
      </c>
      <c r="AD35" s="27" t="s">
        <v>55</v>
      </c>
      <c r="AE35" s="27" t="s">
        <v>55</v>
      </c>
      <c r="AR35" s="2" t="s">
        <v>55</v>
      </c>
    </row>
    <row r="36" spans="5:57" ht="60" customHeight="1" x14ac:dyDescent="0.35">
      <c r="E36" s="44"/>
      <c r="F36" s="44"/>
      <c r="G36" s="44"/>
      <c r="O36" s="2">
        <v>2.25</v>
      </c>
      <c r="Q36" s="3">
        <v>46059</v>
      </c>
      <c r="R36" s="58">
        <v>0.44791666666666669</v>
      </c>
      <c r="T36" s="2">
        <f t="shared" si="7"/>
        <v>76</v>
      </c>
      <c r="U36" s="27" t="s">
        <v>55</v>
      </c>
      <c r="V36" s="27" t="s">
        <v>55</v>
      </c>
      <c r="W36" s="27" t="s">
        <v>55</v>
      </c>
      <c r="X36" s="27" t="s">
        <v>55</v>
      </c>
      <c r="Y36" s="27" t="s">
        <v>55</v>
      </c>
      <c r="Z36" s="27" t="s">
        <v>133</v>
      </c>
      <c r="AA36" s="27" t="s">
        <v>101</v>
      </c>
      <c r="AB36" s="27">
        <v>17</v>
      </c>
      <c r="AC36" s="27" t="s">
        <v>55</v>
      </c>
      <c r="AD36" s="27" t="s">
        <v>55</v>
      </c>
      <c r="AE36" s="27" t="s">
        <v>55</v>
      </c>
      <c r="AR36" s="2" t="s">
        <v>55</v>
      </c>
    </row>
    <row r="37" spans="5:57" ht="60" customHeight="1" x14ac:dyDescent="0.35">
      <c r="E37" s="44"/>
      <c r="F37" s="44"/>
      <c r="G37" s="44"/>
      <c r="O37" s="2">
        <v>2</v>
      </c>
      <c r="Q37" s="3">
        <v>46062</v>
      </c>
      <c r="R37" s="58">
        <v>0.54027777777777775</v>
      </c>
      <c r="T37" s="2">
        <f t="shared" si="7"/>
        <v>79</v>
      </c>
      <c r="U37" s="27" t="s">
        <v>55</v>
      </c>
      <c r="V37" s="27" t="s">
        <v>55</v>
      </c>
      <c r="W37" s="27" t="s">
        <v>55</v>
      </c>
      <c r="X37" s="27" t="s">
        <v>55</v>
      </c>
      <c r="Y37" s="27" t="s">
        <v>55</v>
      </c>
      <c r="Z37" s="27" t="s">
        <v>98</v>
      </c>
      <c r="AA37" s="27" t="s">
        <v>356</v>
      </c>
      <c r="AB37" s="27">
        <v>17</v>
      </c>
      <c r="AC37" s="27" t="s">
        <v>55</v>
      </c>
      <c r="AD37" s="27" t="s">
        <v>55</v>
      </c>
      <c r="AE37" s="27" t="s">
        <v>55</v>
      </c>
      <c r="AR37" s="2" t="s">
        <v>55</v>
      </c>
    </row>
    <row r="38" spans="5:57" ht="60" customHeight="1" x14ac:dyDescent="0.35">
      <c r="E38" s="44"/>
      <c r="F38" s="44"/>
      <c r="G38" s="44"/>
      <c r="O38" s="2">
        <v>2</v>
      </c>
      <c r="Q38" s="3">
        <v>46066</v>
      </c>
      <c r="R38" s="58">
        <v>0.74305555555555547</v>
      </c>
      <c r="T38" s="2">
        <f t="shared" si="7"/>
        <v>83</v>
      </c>
      <c r="U38" s="27" t="s">
        <v>55</v>
      </c>
      <c r="V38" s="27" t="s">
        <v>55</v>
      </c>
      <c r="W38" s="27" t="s">
        <v>55</v>
      </c>
      <c r="X38" s="27" t="s">
        <v>55</v>
      </c>
      <c r="Y38" s="27" t="s">
        <v>55</v>
      </c>
      <c r="Z38" s="27" t="s">
        <v>407</v>
      </c>
      <c r="AA38" s="27" t="s">
        <v>93</v>
      </c>
      <c r="AB38" s="27">
        <v>17</v>
      </c>
      <c r="AC38" s="27" t="s">
        <v>55</v>
      </c>
      <c r="AD38" s="27" t="s">
        <v>55</v>
      </c>
      <c r="AE38" s="27" t="s">
        <v>55</v>
      </c>
      <c r="AR38" s="2" t="s">
        <v>55</v>
      </c>
    </row>
    <row r="39" spans="5:57" ht="60" customHeight="1" x14ac:dyDescent="0.35">
      <c r="E39" s="44"/>
      <c r="F39" s="44"/>
      <c r="G39" s="44"/>
      <c r="O39" s="2">
        <v>2</v>
      </c>
      <c r="Q39" s="3">
        <v>46070</v>
      </c>
      <c r="R39" s="58">
        <v>0.78611111111111109</v>
      </c>
      <c r="T39" s="2">
        <f t="shared" si="7"/>
        <v>87</v>
      </c>
      <c r="U39" s="27" t="s">
        <v>55</v>
      </c>
      <c r="V39" s="27" t="s">
        <v>55</v>
      </c>
      <c r="W39" s="27" t="s">
        <v>55</v>
      </c>
      <c r="X39" s="27" t="s">
        <v>55</v>
      </c>
      <c r="Y39" s="27" t="s">
        <v>55</v>
      </c>
      <c r="Z39" s="27" t="s">
        <v>901</v>
      </c>
      <c r="AA39" s="27" t="s">
        <v>184</v>
      </c>
      <c r="AB39" s="27">
        <v>17</v>
      </c>
      <c r="AC39" s="27" t="s">
        <v>55</v>
      </c>
      <c r="AD39" s="27" t="s">
        <v>55</v>
      </c>
      <c r="AE39" s="27" t="s">
        <v>55</v>
      </c>
      <c r="AR39" s="2" t="s">
        <v>55</v>
      </c>
    </row>
    <row r="40" spans="5:57" ht="60" customHeight="1" x14ac:dyDescent="0.35">
      <c r="E40" s="44"/>
      <c r="F40" s="44"/>
      <c r="G40" s="44"/>
      <c r="O40" s="2">
        <v>2</v>
      </c>
      <c r="Q40" s="3">
        <v>46074</v>
      </c>
      <c r="R40" s="58">
        <v>0.49166666666666664</v>
      </c>
      <c r="T40" s="2">
        <f t="shared" si="7"/>
        <v>91</v>
      </c>
      <c r="U40" s="27" t="s">
        <v>55</v>
      </c>
      <c r="V40" s="27" t="s">
        <v>55</v>
      </c>
      <c r="W40" s="27" t="s">
        <v>55</v>
      </c>
      <c r="X40" s="27" t="s">
        <v>55</v>
      </c>
      <c r="Y40" s="27" t="s">
        <v>55</v>
      </c>
      <c r="Z40" s="27" t="s">
        <v>470</v>
      </c>
      <c r="AA40" s="139" t="s">
        <v>929</v>
      </c>
      <c r="AB40" s="27">
        <v>17</v>
      </c>
      <c r="AC40" s="27" t="s">
        <v>55</v>
      </c>
      <c r="AD40" s="27" t="s">
        <v>55</v>
      </c>
      <c r="AE40" s="27" t="s">
        <v>55</v>
      </c>
      <c r="AR40" s="2" t="s">
        <v>55</v>
      </c>
    </row>
    <row r="41" spans="5:57" ht="60" customHeight="1" x14ac:dyDescent="0.35">
      <c r="E41" s="44"/>
      <c r="F41" s="44"/>
      <c r="G41" s="44"/>
      <c r="O41" s="2">
        <v>2</v>
      </c>
      <c r="Q41" s="3">
        <v>46077</v>
      </c>
      <c r="R41" s="58">
        <v>0.77847222222222223</v>
      </c>
      <c r="T41" s="2">
        <f t="shared" si="7"/>
        <v>94</v>
      </c>
      <c r="U41" s="27" t="s">
        <v>55</v>
      </c>
      <c r="V41" s="27" t="s">
        <v>55</v>
      </c>
      <c r="W41" s="27" t="s">
        <v>55</v>
      </c>
      <c r="X41" s="27" t="s">
        <v>55</v>
      </c>
      <c r="Y41" s="27" t="s">
        <v>55</v>
      </c>
      <c r="Z41" s="27" t="s">
        <v>948</v>
      </c>
      <c r="AA41" s="27" t="s">
        <v>949</v>
      </c>
      <c r="AB41" s="27">
        <v>17</v>
      </c>
      <c r="AC41" s="27" t="s">
        <v>55</v>
      </c>
      <c r="AD41" s="27" t="s">
        <v>55</v>
      </c>
      <c r="AE41" s="27" t="s">
        <v>55</v>
      </c>
      <c r="AR41" s="2" t="s">
        <v>55</v>
      </c>
    </row>
    <row r="42" spans="5:57" ht="60" customHeight="1" x14ac:dyDescent="0.35">
      <c r="E42" s="44"/>
      <c r="F42" s="44"/>
      <c r="G42" s="44"/>
      <c r="O42" s="2">
        <v>2</v>
      </c>
      <c r="Q42" s="3">
        <v>46080</v>
      </c>
      <c r="R42" s="58">
        <v>0.51666666666666672</v>
      </c>
      <c r="T42" s="2">
        <f t="shared" si="7"/>
        <v>97</v>
      </c>
      <c r="U42" s="27" t="s">
        <v>55</v>
      </c>
      <c r="V42" s="27" t="s">
        <v>55</v>
      </c>
      <c r="W42" s="27" t="s">
        <v>55</v>
      </c>
      <c r="X42" s="27" t="s">
        <v>55</v>
      </c>
      <c r="Y42" s="27" t="s">
        <v>55</v>
      </c>
      <c r="Z42" s="27" t="s">
        <v>963</v>
      </c>
      <c r="AA42" s="27" t="s">
        <v>250</v>
      </c>
      <c r="AB42" s="27">
        <v>17</v>
      </c>
      <c r="AC42" s="27" t="s">
        <v>55</v>
      </c>
      <c r="AD42" s="27" t="s">
        <v>55</v>
      </c>
      <c r="AE42" s="27" t="s">
        <v>55</v>
      </c>
      <c r="AR42" s="2" t="s">
        <v>55</v>
      </c>
    </row>
    <row r="43" spans="5:57" ht="60" customHeight="1" x14ac:dyDescent="0.35">
      <c r="E43" s="44"/>
      <c r="F43" s="44"/>
      <c r="G43" s="44"/>
      <c r="O43" s="2">
        <v>2</v>
      </c>
      <c r="Q43" s="3">
        <v>46084</v>
      </c>
      <c r="R43" s="58">
        <v>0.78749999999999998</v>
      </c>
      <c r="T43" s="2">
        <f t="shared" si="7"/>
        <v>101</v>
      </c>
      <c r="U43" s="27" t="s">
        <v>55</v>
      </c>
      <c r="V43" s="27" t="s">
        <v>55</v>
      </c>
      <c r="W43" s="27" t="s">
        <v>55</v>
      </c>
      <c r="X43" s="27" t="s">
        <v>55</v>
      </c>
      <c r="Y43" s="27" t="s">
        <v>55</v>
      </c>
      <c r="Z43" s="27" t="s">
        <v>998</v>
      </c>
      <c r="AA43" s="27" t="s">
        <v>997</v>
      </c>
      <c r="AB43" s="27">
        <v>17</v>
      </c>
      <c r="AC43" s="27" t="s">
        <v>55</v>
      </c>
      <c r="AD43" s="27" t="s">
        <v>55</v>
      </c>
      <c r="AE43" s="27" t="s">
        <v>55</v>
      </c>
      <c r="AR43" s="2" t="s">
        <v>55</v>
      </c>
    </row>
    <row r="44" spans="5:57" ht="60" customHeight="1" x14ac:dyDescent="0.35">
      <c r="E44" s="44"/>
      <c r="F44" s="44"/>
      <c r="G44" s="44"/>
      <c r="O44" s="2">
        <v>2</v>
      </c>
      <c r="Q44" s="3">
        <v>46088</v>
      </c>
      <c r="R44" s="58">
        <v>0.41388888888888886</v>
      </c>
      <c r="T44" s="2">
        <f t="shared" si="7"/>
        <v>105</v>
      </c>
      <c r="U44" s="27" t="s">
        <v>55</v>
      </c>
      <c r="V44" s="27" t="s">
        <v>55</v>
      </c>
      <c r="W44" s="27" t="s">
        <v>55</v>
      </c>
      <c r="X44" s="27" t="s">
        <v>55</v>
      </c>
      <c r="Y44" s="27" t="s">
        <v>55</v>
      </c>
      <c r="Z44" s="27" t="s">
        <v>85</v>
      </c>
      <c r="AA44" s="27" t="s">
        <v>1013</v>
      </c>
      <c r="AB44" s="27">
        <v>17</v>
      </c>
      <c r="AC44" s="27" t="s">
        <v>55</v>
      </c>
      <c r="AD44" s="27" t="s">
        <v>55</v>
      </c>
      <c r="AE44" s="27" t="s">
        <v>55</v>
      </c>
      <c r="AR44" s="2" t="s">
        <v>55</v>
      </c>
    </row>
    <row r="45" spans="5:57" ht="60" customHeight="1" x14ac:dyDescent="0.35">
      <c r="E45" s="44"/>
      <c r="F45" s="44"/>
      <c r="G45" s="44"/>
      <c r="O45" s="2">
        <v>2.25</v>
      </c>
      <c r="Q45" s="3">
        <v>46091</v>
      </c>
      <c r="R45" s="58">
        <v>0.82847222222222228</v>
      </c>
      <c r="T45" s="2">
        <f t="shared" si="7"/>
        <v>108</v>
      </c>
      <c r="U45" s="27" t="s">
        <v>55</v>
      </c>
      <c r="V45" s="27" t="s">
        <v>55</v>
      </c>
      <c r="W45" s="27" t="s">
        <v>55</v>
      </c>
      <c r="X45" s="27" t="s">
        <v>55</v>
      </c>
      <c r="Y45" s="27" t="s">
        <v>55</v>
      </c>
      <c r="Z45" s="27" t="s">
        <v>1054</v>
      </c>
      <c r="AA45" s="27" t="s">
        <v>135</v>
      </c>
      <c r="AB45" s="27">
        <v>17</v>
      </c>
      <c r="AC45" s="27" t="s">
        <v>55</v>
      </c>
      <c r="AD45" s="27" t="s">
        <v>55</v>
      </c>
      <c r="AE45" s="27" t="s">
        <v>55</v>
      </c>
      <c r="AR45" s="2" t="s">
        <v>55</v>
      </c>
    </row>
    <row r="46" spans="5:57" ht="60" customHeight="1" x14ac:dyDescent="0.35">
      <c r="E46" s="44"/>
      <c r="F46" s="44"/>
      <c r="G46" s="44"/>
      <c r="O46" s="2">
        <v>2.25</v>
      </c>
      <c r="Q46" s="3">
        <v>46098</v>
      </c>
      <c r="R46" s="58">
        <v>0.75486111111111109</v>
      </c>
      <c r="T46" s="2">
        <f t="shared" si="7"/>
        <v>115</v>
      </c>
      <c r="U46" s="27" t="s">
        <v>55</v>
      </c>
      <c r="V46" s="27" t="s">
        <v>55</v>
      </c>
      <c r="W46" s="27" t="s">
        <v>55</v>
      </c>
      <c r="X46" s="27" t="s">
        <v>55</v>
      </c>
      <c r="Y46" s="27" t="s">
        <v>55</v>
      </c>
      <c r="Z46" s="27" t="s">
        <v>1110</v>
      </c>
      <c r="AA46" s="27" t="s">
        <v>1111</v>
      </c>
      <c r="AB46" s="27">
        <v>17</v>
      </c>
      <c r="AC46" s="27" t="s">
        <v>55</v>
      </c>
      <c r="AD46" s="27" t="s">
        <v>55</v>
      </c>
      <c r="AE46" s="27" t="s">
        <v>55</v>
      </c>
      <c r="AR46" s="2" t="s">
        <v>55</v>
      </c>
    </row>
    <row r="47" spans="5:57" ht="60" customHeight="1" x14ac:dyDescent="0.35">
      <c r="E47" s="44"/>
      <c r="F47" s="44"/>
      <c r="G47" s="44"/>
      <c r="O47" s="2">
        <v>2.5</v>
      </c>
      <c r="Q47" s="3">
        <v>46105</v>
      </c>
      <c r="R47" s="58">
        <v>0.73819444444444449</v>
      </c>
      <c r="T47" s="2">
        <f t="shared" si="7"/>
        <v>122</v>
      </c>
      <c r="U47" s="27" t="s">
        <v>55</v>
      </c>
      <c r="V47" s="27" t="s">
        <v>55</v>
      </c>
      <c r="W47" s="27" t="s">
        <v>55</v>
      </c>
      <c r="X47" s="27" t="s">
        <v>55</v>
      </c>
      <c r="Y47" s="27" t="s">
        <v>55</v>
      </c>
      <c r="Z47" s="37" t="s">
        <v>1138</v>
      </c>
      <c r="AA47" s="27" t="s">
        <v>1139</v>
      </c>
      <c r="AB47" s="27">
        <v>17</v>
      </c>
      <c r="AC47" s="27" t="s">
        <v>55</v>
      </c>
      <c r="AD47" s="27" t="s">
        <v>55</v>
      </c>
      <c r="AE47" s="27" t="s">
        <v>55</v>
      </c>
      <c r="AR47" s="2" t="s">
        <v>55</v>
      </c>
    </row>
    <row r="48" spans="5:57" ht="60" customHeight="1" x14ac:dyDescent="0.35">
      <c r="E48" s="44"/>
      <c r="F48" s="44"/>
      <c r="G48" s="44"/>
      <c r="O48" s="2">
        <v>2.5</v>
      </c>
      <c r="Q48" s="3">
        <v>46112</v>
      </c>
      <c r="R48" s="58">
        <v>0.77361111111111114</v>
      </c>
      <c r="T48" s="2">
        <f t="shared" si="7"/>
        <v>129</v>
      </c>
      <c r="U48" s="27" t="s">
        <v>55</v>
      </c>
      <c r="V48" s="27" t="s">
        <v>55</v>
      </c>
      <c r="W48" s="27" t="s">
        <v>55</v>
      </c>
      <c r="X48" s="27" t="s">
        <v>55</v>
      </c>
      <c r="Y48" s="27" t="s">
        <v>55</v>
      </c>
      <c r="Z48" s="27" t="s">
        <v>1170</v>
      </c>
      <c r="AA48" s="27" t="s">
        <v>670</v>
      </c>
      <c r="AB48" s="27">
        <v>17</v>
      </c>
      <c r="AC48" s="27" t="s">
        <v>55</v>
      </c>
      <c r="AD48" s="27" t="s">
        <v>55</v>
      </c>
      <c r="AE48" s="27">
        <v>64.569999999999993</v>
      </c>
      <c r="AF48" s="118">
        <v>64.569999999999993</v>
      </c>
      <c r="AG48" s="118">
        <v>0</v>
      </c>
      <c r="AH48" s="118">
        <f>AF48-AG48</f>
        <v>64.569999999999993</v>
      </c>
      <c r="AI48" s="118" t="s">
        <v>55</v>
      </c>
      <c r="AJ48" s="118" t="s">
        <v>55</v>
      </c>
      <c r="AK48" s="118" t="s">
        <v>55</v>
      </c>
      <c r="AL48" s="118" t="s">
        <v>55</v>
      </c>
      <c r="AM48" s="118" t="s">
        <v>55</v>
      </c>
      <c r="AN48" s="118" t="s">
        <v>55</v>
      </c>
      <c r="AO48" s="118" t="s">
        <v>55</v>
      </c>
      <c r="AP48" s="118" t="s">
        <v>55</v>
      </c>
      <c r="AQ48" s="118" t="s">
        <v>55</v>
      </c>
      <c r="AR48" s="38" t="s">
        <v>55</v>
      </c>
    </row>
    <row r="49" spans="1:57" ht="60" customHeight="1" x14ac:dyDescent="0.35">
      <c r="E49" s="44"/>
      <c r="F49" s="44"/>
      <c r="G49" s="44"/>
      <c r="Q49" s="3"/>
      <c r="R49" s="58"/>
    </row>
    <row r="50" spans="1:57" ht="60" customHeight="1" x14ac:dyDescent="0.35">
      <c r="A50" s="22">
        <v>4</v>
      </c>
      <c r="B50" s="136" t="s">
        <v>654</v>
      </c>
      <c r="C50" s="3">
        <v>45445</v>
      </c>
      <c r="D50" s="3">
        <v>45996</v>
      </c>
      <c r="E50" s="44">
        <f t="shared" si="4"/>
        <v>551</v>
      </c>
      <c r="F50" s="44">
        <f t="shared" si="5"/>
        <v>1.5095890410958903</v>
      </c>
      <c r="G50" s="44">
        <f t="shared" si="6"/>
        <v>1.5458333333333334</v>
      </c>
      <c r="H50" s="38" t="s">
        <v>11</v>
      </c>
      <c r="I50" s="56"/>
      <c r="J50" s="2">
        <v>4115</v>
      </c>
      <c r="O50" s="2">
        <v>2.5</v>
      </c>
      <c r="Q50" s="3">
        <v>46003</v>
      </c>
      <c r="R50" s="58">
        <v>0.65902777777777777</v>
      </c>
      <c r="T50" s="2">
        <f>Q50-$D$50</f>
        <v>7</v>
      </c>
      <c r="U50" s="27">
        <v>25.94</v>
      </c>
      <c r="V50" s="27">
        <v>13.79</v>
      </c>
      <c r="W50" s="27">
        <v>2.14</v>
      </c>
      <c r="X50" s="27">
        <v>14.42</v>
      </c>
      <c r="Y50" s="27">
        <v>11.44</v>
      </c>
      <c r="Z50" s="27" t="s">
        <v>647</v>
      </c>
      <c r="AA50" s="27" t="s">
        <v>131</v>
      </c>
      <c r="AB50" s="27">
        <v>7</v>
      </c>
      <c r="AC50" s="27" t="s">
        <v>55</v>
      </c>
      <c r="AD50" s="27" t="s">
        <v>55</v>
      </c>
      <c r="AE50" s="27" t="s">
        <v>55</v>
      </c>
      <c r="AR50" s="2" t="s">
        <v>52</v>
      </c>
      <c r="AS50" s="2">
        <v>0.49</v>
      </c>
      <c r="AT50" s="2">
        <v>0.8</v>
      </c>
      <c r="AU50" s="2">
        <v>19.260000000000002</v>
      </c>
      <c r="AV50" s="2">
        <v>1.94</v>
      </c>
      <c r="AW50" s="2">
        <v>37.43</v>
      </c>
      <c r="AX50" s="2">
        <v>22.53</v>
      </c>
      <c r="AY50" s="2">
        <v>9.01</v>
      </c>
      <c r="AZ50" s="2">
        <v>0.39500000000000002</v>
      </c>
      <c r="BA50" s="2">
        <v>0.56000000000000005</v>
      </c>
      <c r="BB50" s="2">
        <v>0.15</v>
      </c>
      <c r="BC50" s="2">
        <v>0.2</v>
      </c>
      <c r="BD50" s="2">
        <v>44</v>
      </c>
      <c r="BE50" s="2">
        <f ca="1">BE50</f>
        <v>0</v>
      </c>
    </row>
    <row r="51" spans="1:57" ht="60" customHeight="1" x14ac:dyDescent="0.35">
      <c r="B51" s="20" t="s">
        <v>849</v>
      </c>
      <c r="O51" s="2">
        <v>2.5</v>
      </c>
      <c r="Q51" s="3">
        <v>46007</v>
      </c>
      <c r="R51" s="58">
        <v>0.82152777777777775</v>
      </c>
      <c r="T51" s="2">
        <f>Q51-$D$50</f>
        <v>11</v>
      </c>
      <c r="U51" s="27">
        <v>20.59</v>
      </c>
      <c r="V51" s="27">
        <v>10.31</v>
      </c>
      <c r="W51" s="27">
        <v>1.1000000000000001</v>
      </c>
      <c r="X51" s="27">
        <v>10.58</v>
      </c>
      <c r="Y51" s="27">
        <v>3.02</v>
      </c>
      <c r="Z51" s="27" t="s">
        <v>98</v>
      </c>
      <c r="AA51" s="27" t="s">
        <v>661</v>
      </c>
      <c r="AB51" s="27">
        <v>7</v>
      </c>
      <c r="AC51" s="27" t="s">
        <v>55</v>
      </c>
      <c r="AD51" s="27" t="s">
        <v>55</v>
      </c>
      <c r="AE51" s="27" t="s">
        <v>55</v>
      </c>
      <c r="AR51" s="2" t="s">
        <v>52</v>
      </c>
      <c r="AS51" s="2">
        <v>1</v>
      </c>
      <c r="AT51" s="2">
        <v>2.38</v>
      </c>
      <c r="AU51" s="2">
        <v>0</v>
      </c>
      <c r="AV51" s="2" t="s">
        <v>89</v>
      </c>
      <c r="AW51" s="2">
        <v>34.89</v>
      </c>
      <c r="AX51" s="2">
        <v>14.54</v>
      </c>
      <c r="AY51" s="2">
        <v>7.93</v>
      </c>
      <c r="AZ51" s="2">
        <v>0.54</v>
      </c>
      <c r="BA51" s="2">
        <v>0.49</v>
      </c>
      <c r="BB51" s="2">
        <v>0</v>
      </c>
      <c r="BC51" s="2">
        <v>0.08</v>
      </c>
      <c r="BD51" s="2">
        <v>44</v>
      </c>
      <c r="BE51" s="2">
        <v>95</v>
      </c>
    </row>
    <row r="52" spans="1:57" ht="60" customHeight="1" x14ac:dyDescent="0.35">
      <c r="O52" s="2">
        <v>2.5</v>
      </c>
      <c r="Q52" s="3">
        <v>46010</v>
      </c>
      <c r="R52" s="58">
        <v>0.69930555555555551</v>
      </c>
      <c r="T52" s="2">
        <f>Q52-$D$50</f>
        <v>14</v>
      </c>
      <c r="U52" s="27">
        <v>17.690000000000001</v>
      </c>
      <c r="V52" s="27">
        <v>10.26</v>
      </c>
      <c r="W52" s="27">
        <v>2.2599999999999998</v>
      </c>
      <c r="X52" s="27">
        <v>8.0399999999999991</v>
      </c>
      <c r="Y52" s="27">
        <v>2.2000000000000002</v>
      </c>
      <c r="Z52" s="27" t="s">
        <v>492</v>
      </c>
      <c r="AA52" s="27" t="s">
        <v>667</v>
      </c>
      <c r="AB52" s="27">
        <v>7</v>
      </c>
      <c r="AC52" s="27" t="s">
        <v>55</v>
      </c>
      <c r="AD52" s="27" t="s">
        <v>55</v>
      </c>
      <c r="AE52" s="27" t="s">
        <v>55</v>
      </c>
      <c r="AR52" s="2" t="s">
        <v>50</v>
      </c>
    </row>
    <row r="53" spans="1:57" ht="60" customHeight="1" x14ac:dyDescent="0.35">
      <c r="O53" s="2">
        <v>2.5</v>
      </c>
      <c r="Q53" s="3">
        <v>46013</v>
      </c>
      <c r="R53" s="58">
        <v>0.53541666666666665</v>
      </c>
      <c r="T53" s="2">
        <f t="shared" ref="T53:T78" si="8">Q53-$D$50</f>
        <v>17</v>
      </c>
      <c r="U53" s="27">
        <v>17.5</v>
      </c>
      <c r="V53" s="27">
        <v>8.6</v>
      </c>
      <c r="W53" s="27">
        <v>2.4500000000000002</v>
      </c>
      <c r="X53" s="27" t="s">
        <v>680</v>
      </c>
      <c r="Y53" s="27">
        <v>2.0299999999999998</v>
      </c>
      <c r="Z53" s="27" t="s">
        <v>276</v>
      </c>
      <c r="AA53" s="27" t="s">
        <v>686</v>
      </c>
      <c r="AB53" s="27">
        <v>7</v>
      </c>
      <c r="AC53" s="27" t="s">
        <v>55</v>
      </c>
      <c r="AD53" s="27" t="s">
        <v>55</v>
      </c>
      <c r="AE53" s="27" t="s">
        <v>55</v>
      </c>
      <c r="AR53" s="38" t="s">
        <v>681</v>
      </c>
      <c r="AS53" s="2">
        <v>1</v>
      </c>
      <c r="AT53" s="2">
        <v>8.1999999999999993</v>
      </c>
      <c r="AU53" s="2">
        <v>0</v>
      </c>
      <c r="AV53" s="56">
        <v>1.06230184531764E+19</v>
      </c>
      <c r="AW53" s="2">
        <v>36.86</v>
      </c>
      <c r="AX53" s="2">
        <v>4.45</v>
      </c>
      <c r="AY53" s="2">
        <v>2.58</v>
      </c>
      <c r="AZ53" s="2">
        <v>0.57499999999999996</v>
      </c>
      <c r="BA53" s="2">
        <v>0.54</v>
      </c>
      <c r="BB53" s="2">
        <v>0</v>
      </c>
      <c r="BC53" s="2">
        <v>0.01</v>
      </c>
      <c r="BD53" s="2">
        <v>40</v>
      </c>
      <c r="BE53" s="2">
        <v>98</v>
      </c>
    </row>
    <row r="54" spans="1:57" ht="60" customHeight="1" x14ac:dyDescent="0.35">
      <c r="O54" s="2">
        <v>2.5</v>
      </c>
      <c r="Q54" s="3">
        <v>46018</v>
      </c>
      <c r="R54" s="58">
        <v>0.52500000000000002</v>
      </c>
      <c r="T54" s="2">
        <f t="shared" si="8"/>
        <v>22</v>
      </c>
      <c r="U54" s="27">
        <v>13.19</v>
      </c>
      <c r="V54" s="27">
        <v>6.3</v>
      </c>
      <c r="W54" s="27">
        <v>1.0900000000000001</v>
      </c>
      <c r="X54" s="27">
        <v>4.7699999999999996</v>
      </c>
      <c r="Y54" s="27">
        <v>3.05</v>
      </c>
      <c r="Z54" s="27" t="s">
        <v>691</v>
      </c>
      <c r="AA54" s="27" t="s">
        <v>134</v>
      </c>
      <c r="AB54" s="27">
        <v>7</v>
      </c>
      <c r="AC54" s="27" t="s">
        <v>55</v>
      </c>
      <c r="AD54" s="27" t="s">
        <v>55</v>
      </c>
      <c r="AE54" s="27" t="s">
        <v>55</v>
      </c>
      <c r="AR54" s="2" t="s">
        <v>50</v>
      </c>
    </row>
    <row r="55" spans="1:57" ht="60" customHeight="1" x14ac:dyDescent="0.35">
      <c r="O55" s="2">
        <v>2.5</v>
      </c>
      <c r="Q55" s="3">
        <v>46021</v>
      </c>
      <c r="R55" s="58">
        <v>0.76111111111111107</v>
      </c>
      <c r="T55" s="2">
        <f t="shared" si="8"/>
        <v>25</v>
      </c>
      <c r="U55" s="27">
        <v>15.56</v>
      </c>
      <c r="V55" s="27">
        <v>8.9700000000000006</v>
      </c>
      <c r="W55" s="27">
        <v>1.94</v>
      </c>
      <c r="X55" s="27">
        <v>5.58</v>
      </c>
      <c r="Y55" s="27">
        <v>3.46</v>
      </c>
      <c r="Z55" s="27" t="s">
        <v>705</v>
      </c>
      <c r="AA55" s="27" t="s">
        <v>124</v>
      </c>
      <c r="AB55" s="27">
        <v>7</v>
      </c>
      <c r="AC55" s="27" t="s">
        <v>55</v>
      </c>
      <c r="AD55" s="27" t="s">
        <v>55</v>
      </c>
      <c r="AE55" s="27" t="s">
        <v>55</v>
      </c>
      <c r="AR55" s="2" t="s">
        <v>50</v>
      </c>
    </row>
    <row r="56" spans="1:57" ht="60" customHeight="1" x14ac:dyDescent="0.35">
      <c r="O56" s="2">
        <v>2.25</v>
      </c>
      <c r="Q56" s="3">
        <v>46024</v>
      </c>
      <c r="R56" s="2" t="s">
        <v>714</v>
      </c>
      <c r="T56" s="2">
        <f t="shared" si="8"/>
        <v>28</v>
      </c>
      <c r="U56" s="27">
        <v>14</v>
      </c>
      <c r="V56" s="27">
        <v>8.26</v>
      </c>
      <c r="W56" s="27">
        <v>0.75</v>
      </c>
      <c r="X56" s="27">
        <v>6.12</v>
      </c>
      <c r="Y56" s="27">
        <v>2.27</v>
      </c>
      <c r="Z56" s="27" t="s">
        <v>723</v>
      </c>
      <c r="AA56" s="27" t="s">
        <v>134</v>
      </c>
      <c r="AB56" s="27">
        <v>7</v>
      </c>
      <c r="AC56" s="27" t="s">
        <v>55</v>
      </c>
      <c r="AD56" s="27" t="s">
        <v>55</v>
      </c>
      <c r="AE56" s="27" t="s">
        <v>55</v>
      </c>
      <c r="AR56" s="2" t="s">
        <v>695</v>
      </c>
      <c r="AS56" s="2">
        <v>0.04</v>
      </c>
      <c r="AT56" s="2">
        <v>0.09</v>
      </c>
      <c r="AU56" s="2">
        <v>41.41</v>
      </c>
      <c r="AV56" s="2">
        <v>1.04</v>
      </c>
      <c r="AW56" s="2">
        <v>42.98</v>
      </c>
      <c r="AX56" s="2">
        <v>17.37</v>
      </c>
      <c r="AY56" s="2">
        <v>12.42</v>
      </c>
      <c r="AZ56" s="2">
        <v>0.71</v>
      </c>
      <c r="BA56" s="2">
        <v>0.74</v>
      </c>
      <c r="BB56" s="2">
        <v>0.69</v>
      </c>
      <c r="BC56" s="2">
        <v>0.12</v>
      </c>
      <c r="BD56" s="2">
        <v>48</v>
      </c>
      <c r="BE56" s="2">
        <v>84</v>
      </c>
    </row>
    <row r="57" spans="1:57" ht="60" customHeight="1" x14ac:dyDescent="0.35">
      <c r="O57" s="2">
        <v>2.5</v>
      </c>
      <c r="Q57" s="3">
        <v>46027</v>
      </c>
      <c r="R57" s="58">
        <v>0.71111111111111114</v>
      </c>
      <c r="T57" s="2">
        <f t="shared" si="8"/>
        <v>31</v>
      </c>
      <c r="U57" s="27">
        <v>12.34</v>
      </c>
      <c r="V57" s="27">
        <v>6.31</v>
      </c>
      <c r="W57" s="27">
        <v>1.43</v>
      </c>
      <c r="X57" s="27">
        <v>4.13</v>
      </c>
      <c r="Y57" s="27">
        <v>1.73</v>
      </c>
      <c r="Z57" s="27" t="s">
        <v>732</v>
      </c>
      <c r="AA57" s="27" t="s">
        <v>250</v>
      </c>
      <c r="AB57" s="27">
        <v>7</v>
      </c>
      <c r="AC57" s="27" t="s">
        <v>55</v>
      </c>
      <c r="AD57" s="27" t="s">
        <v>55</v>
      </c>
      <c r="AE57" s="27" t="s">
        <v>55</v>
      </c>
      <c r="AR57" s="2" t="s">
        <v>50</v>
      </c>
    </row>
    <row r="58" spans="1:57" ht="60" customHeight="1" x14ac:dyDescent="0.35">
      <c r="O58" s="2">
        <v>2.5</v>
      </c>
      <c r="Q58" s="3">
        <v>46031</v>
      </c>
      <c r="R58" s="58">
        <v>0.73055555555555551</v>
      </c>
      <c r="T58" s="2">
        <f t="shared" si="8"/>
        <v>35</v>
      </c>
      <c r="U58" s="27">
        <v>11.5</v>
      </c>
      <c r="V58" s="27">
        <v>5.94</v>
      </c>
      <c r="W58" s="27">
        <v>0.84</v>
      </c>
      <c r="X58" s="27">
        <v>4.16</v>
      </c>
      <c r="Y58" s="27">
        <v>1.52</v>
      </c>
      <c r="Z58" s="27" t="s">
        <v>744</v>
      </c>
      <c r="AA58" s="27" t="s">
        <v>131</v>
      </c>
      <c r="AB58" s="27">
        <v>7</v>
      </c>
      <c r="AC58" s="27" t="s">
        <v>55</v>
      </c>
      <c r="AD58" s="27" t="s">
        <v>55</v>
      </c>
      <c r="AE58" s="27" t="s">
        <v>55</v>
      </c>
      <c r="AR58" s="85" t="s">
        <v>747</v>
      </c>
    </row>
    <row r="59" spans="1:57" ht="60" customHeight="1" x14ac:dyDescent="0.35">
      <c r="O59" s="2">
        <v>2.5</v>
      </c>
      <c r="Q59" s="3">
        <v>46035</v>
      </c>
      <c r="R59" s="58">
        <v>0.75138888888888888</v>
      </c>
      <c r="T59" s="2">
        <f t="shared" si="8"/>
        <v>39</v>
      </c>
      <c r="U59" s="27">
        <v>14.71</v>
      </c>
      <c r="V59" s="27">
        <v>7.49</v>
      </c>
      <c r="W59" s="27">
        <v>1.73</v>
      </c>
      <c r="X59" s="27">
        <v>5.25</v>
      </c>
      <c r="Y59" s="27">
        <v>2.1</v>
      </c>
      <c r="Z59" s="27" t="s">
        <v>279</v>
      </c>
      <c r="AA59" s="27" t="s">
        <v>752</v>
      </c>
      <c r="AB59" s="27">
        <v>7</v>
      </c>
      <c r="AC59" s="27" t="s">
        <v>55</v>
      </c>
      <c r="AD59" s="27" t="s">
        <v>55</v>
      </c>
      <c r="AE59" s="27" t="s">
        <v>55</v>
      </c>
      <c r="AR59" s="2" t="s">
        <v>50</v>
      </c>
    </row>
    <row r="60" spans="1:57" ht="60" customHeight="1" x14ac:dyDescent="0.35">
      <c r="O60" s="2">
        <v>2.25</v>
      </c>
      <c r="Q60" s="3">
        <v>46038</v>
      </c>
      <c r="R60" s="58">
        <v>0.5541666666666667</v>
      </c>
      <c r="T60" s="2">
        <f t="shared" si="8"/>
        <v>42</v>
      </c>
      <c r="U60" s="27">
        <v>9.9700000000000006</v>
      </c>
      <c r="V60" s="27">
        <v>4</v>
      </c>
      <c r="W60" s="27">
        <v>0.78</v>
      </c>
      <c r="X60" s="27">
        <v>4.04</v>
      </c>
      <c r="Y60" s="27">
        <v>1.2</v>
      </c>
      <c r="Z60" s="27" t="s">
        <v>691</v>
      </c>
      <c r="AA60" s="27" t="s">
        <v>767</v>
      </c>
      <c r="AB60" s="27">
        <v>7</v>
      </c>
      <c r="AC60" s="27" t="s">
        <v>55</v>
      </c>
      <c r="AD60" s="27" t="s">
        <v>55</v>
      </c>
      <c r="AE60" s="27" t="s">
        <v>55</v>
      </c>
      <c r="AR60" s="2" t="s">
        <v>768</v>
      </c>
      <c r="AS60" s="2">
        <v>0.57999999999999996</v>
      </c>
      <c r="AT60" s="2">
        <v>0.92</v>
      </c>
      <c r="AU60" s="2">
        <v>21.55</v>
      </c>
      <c r="AV60" s="2">
        <v>2.4</v>
      </c>
      <c r="AW60" s="2">
        <v>51.65</v>
      </c>
      <c r="AX60" s="2">
        <v>32.36</v>
      </c>
      <c r="AY60" s="2">
        <v>20.059999999999999</v>
      </c>
      <c r="AZ60" s="2">
        <v>0.61499999999999999</v>
      </c>
      <c r="BA60" s="2">
        <v>1.07</v>
      </c>
      <c r="BB60" s="2">
        <v>0.19</v>
      </c>
      <c r="BC60" s="2">
        <v>0.42</v>
      </c>
      <c r="BD60" s="2">
        <v>50</v>
      </c>
      <c r="BE60" s="2">
        <v>88</v>
      </c>
    </row>
    <row r="61" spans="1:57" ht="60" customHeight="1" x14ac:dyDescent="0.35">
      <c r="O61" s="2">
        <v>2.25</v>
      </c>
      <c r="Q61" s="3">
        <v>46041</v>
      </c>
      <c r="R61" s="58">
        <v>0.69166666666666665</v>
      </c>
      <c r="T61" s="2">
        <f t="shared" si="8"/>
        <v>45</v>
      </c>
      <c r="U61" s="27">
        <v>10.97</v>
      </c>
      <c r="V61" s="27">
        <v>5.69</v>
      </c>
      <c r="W61" s="27">
        <v>0.94</v>
      </c>
      <c r="X61" s="27">
        <v>5.0599999999999996</v>
      </c>
      <c r="Y61" s="27">
        <v>2.39</v>
      </c>
      <c r="Z61" s="27" t="s">
        <v>131</v>
      </c>
      <c r="AA61" s="27" t="s">
        <v>244</v>
      </c>
      <c r="AB61" s="27">
        <v>7</v>
      </c>
      <c r="AC61" s="27" t="s">
        <v>55</v>
      </c>
      <c r="AD61" s="27" t="s">
        <v>55</v>
      </c>
      <c r="AE61" s="27" t="s">
        <v>55</v>
      </c>
      <c r="AR61" s="2" t="s">
        <v>52</v>
      </c>
      <c r="AS61" s="2">
        <v>0.67</v>
      </c>
      <c r="AT61" s="2">
        <v>1.25</v>
      </c>
      <c r="AU61" s="2">
        <v>14.01</v>
      </c>
      <c r="AV61" s="2">
        <v>3</v>
      </c>
      <c r="AW61" s="2">
        <v>42.04</v>
      </c>
      <c r="AX61" s="2">
        <v>22.19</v>
      </c>
      <c r="AY61" s="2">
        <v>11.54</v>
      </c>
      <c r="AZ61" s="2">
        <v>0.51500000000000001</v>
      </c>
      <c r="BA61" s="2">
        <v>0.71</v>
      </c>
      <c r="BB61" s="2">
        <v>0.08</v>
      </c>
      <c r="BC61" s="2">
        <v>0.2</v>
      </c>
      <c r="BD61" s="2">
        <v>52</v>
      </c>
      <c r="BE61" s="2">
        <v>96</v>
      </c>
    </row>
    <row r="62" spans="1:57" ht="60" customHeight="1" x14ac:dyDescent="0.35">
      <c r="O62" s="2">
        <v>2.25</v>
      </c>
      <c r="Q62" s="3">
        <v>46045</v>
      </c>
      <c r="R62" s="58">
        <v>0.68402777777777779</v>
      </c>
      <c r="T62" s="2">
        <f t="shared" si="8"/>
        <v>49</v>
      </c>
      <c r="U62" s="27">
        <v>16.829999999999998</v>
      </c>
      <c r="V62" s="27">
        <v>7.91</v>
      </c>
      <c r="W62" s="27">
        <v>2.08</v>
      </c>
      <c r="X62" s="27">
        <v>5.83</v>
      </c>
      <c r="Y62" s="27">
        <v>3.57</v>
      </c>
      <c r="Z62" s="27" t="s">
        <v>242</v>
      </c>
      <c r="AA62" s="27" t="s">
        <v>131</v>
      </c>
      <c r="AB62" s="27">
        <v>7</v>
      </c>
      <c r="AC62" s="27" t="s">
        <v>55</v>
      </c>
      <c r="AD62" s="27" t="s">
        <v>55</v>
      </c>
      <c r="AE62" s="27" t="s">
        <v>55</v>
      </c>
      <c r="AR62" s="2" t="s">
        <v>50</v>
      </c>
    </row>
    <row r="63" spans="1:57" ht="60" customHeight="1" x14ac:dyDescent="0.35">
      <c r="O63" s="2">
        <v>2.25</v>
      </c>
      <c r="Q63" s="3">
        <v>46049</v>
      </c>
      <c r="R63" s="58">
        <v>0.78541666666666665</v>
      </c>
      <c r="T63" s="2">
        <f t="shared" si="8"/>
        <v>53</v>
      </c>
      <c r="U63" s="27">
        <v>11.88</v>
      </c>
      <c r="V63" s="27">
        <v>6.26</v>
      </c>
      <c r="W63" s="27">
        <v>1.73</v>
      </c>
      <c r="X63" s="27">
        <v>4.03</v>
      </c>
      <c r="Y63" s="27">
        <v>1.68</v>
      </c>
      <c r="Z63" s="27" t="s">
        <v>810</v>
      </c>
      <c r="AA63" s="27" t="s">
        <v>131</v>
      </c>
      <c r="AB63" s="27">
        <v>7</v>
      </c>
      <c r="AC63" s="27" t="s">
        <v>55</v>
      </c>
      <c r="AD63" s="27" t="s">
        <v>55</v>
      </c>
      <c r="AE63" s="27" t="s">
        <v>55</v>
      </c>
      <c r="AR63" s="2" t="s">
        <v>811</v>
      </c>
      <c r="AS63" s="2">
        <v>0.69</v>
      </c>
      <c r="AT63" s="2">
        <v>1.49</v>
      </c>
      <c r="AU63" s="2">
        <v>19.53</v>
      </c>
      <c r="AV63" s="2">
        <v>3.2</v>
      </c>
      <c r="AW63" s="2">
        <v>62.42</v>
      </c>
      <c r="AX63" s="2">
        <v>28.63</v>
      </c>
      <c r="AY63" s="2">
        <v>27.49</v>
      </c>
      <c r="AZ63" s="2">
        <v>0.95499999999999996</v>
      </c>
      <c r="BA63" s="2">
        <v>1.56</v>
      </c>
      <c r="BB63" s="2">
        <v>0.15</v>
      </c>
      <c r="BC63" s="2">
        <v>0.33</v>
      </c>
      <c r="BD63" s="2">
        <v>52</v>
      </c>
      <c r="BE63" s="2">
        <v>57</v>
      </c>
    </row>
    <row r="64" spans="1:57" ht="60" customHeight="1" x14ac:dyDescent="0.35">
      <c r="O64" s="2">
        <v>2.25</v>
      </c>
      <c r="Q64" s="3">
        <v>46052</v>
      </c>
      <c r="R64" s="58">
        <v>0.77222222222222225</v>
      </c>
      <c r="T64" s="2">
        <f t="shared" si="8"/>
        <v>56</v>
      </c>
      <c r="U64" s="27">
        <v>10.92</v>
      </c>
      <c r="V64" s="27">
        <v>4.6500000000000004</v>
      </c>
      <c r="W64" s="27">
        <v>1.88</v>
      </c>
      <c r="X64" s="27">
        <v>2.8</v>
      </c>
      <c r="Y64" s="27">
        <v>3.06</v>
      </c>
      <c r="Z64" s="27" t="s">
        <v>134</v>
      </c>
      <c r="AA64" s="27" t="s">
        <v>825</v>
      </c>
      <c r="AB64" s="27">
        <v>7</v>
      </c>
      <c r="AC64" s="27" t="s">
        <v>55</v>
      </c>
      <c r="AD64" s="27" t="s">
        <v>55</v>
      </c>
      <c r="AE64" s="27" t="s">
        <v>55</v>
      </c>
      <c r="AR64" s="2" t="s">
        <v>50</v>
      </c>
    </row>
    <row r="65" spans="1:44" ht="60" customHeight="1" x14ac:dyDescent="0.35">
      <c r="O65" s="2">
        <v>2.25</v>
      </c>
      <c r="Q65" s="3">
        <v>46056</v>
      </c>
      <c r="R65" s="58">
        <v>0.61944444444444446</v>
      </c>
      <c r="T65" s="2">
        <f t="shared" si="8"/>
        <v>60</v>
      </c>
      <c r="U65" s="27">
        <v>10.83</v>
      </c>
      <c r="V65" s="27">
        <v>5.39</v>
      </c>
      <c r="W65" s="27">
        <v>1.43</v>
      </c>
      <c r="X65" s="27">
        <v>3.93</v>
      </c>
      <c r="Y65" s="27">
        <v>1.6</v>
      </c>
      <c r="Z65" s="27" t="s">
        <v>124</v>
      </c>
      <c r="AA65" s="27" t="s">
        <v>111</v>
      </c>
      <c r="AB65" s="27">
        <v>7</v>
      </c>
      <c r="AC65" s="27" t="s">
        <v>55</v>
      </c>
      <c r="AD65" s="27" t="s">
        <v>55</v>
      </c>
      <c r="AE65" s="27" t="s">
        <v>55</v>
      </c>
      <c r="AR65" s="2" t="s">
        <v>50</v>
      </c>
    </row>
    <row r="66" spans="1:44" ht="60" customHeight="1" x14ac:dyDescent="0.35">
      <c r="O66" s="2">
        <v>2.25</v>
      </c>
      <c r="Q66" s="3">
        <v>46059</v>
      </c>
      <c r="R66" s="58">
        <v>0.44444444444444442</v>
      </c>
      <c r="T66" s="2">
        <f t="shared" si="8"/>
        <v>63</v>
      </c>
      <c r="U66" s="27" t="s">
        <v>55</v>
      </c>
      <c r="V66" s="27" t="s">
        <v>55</v>
      </c>
      <c r="W66" s="27" t="s">
        <v>55</v>
      </c>
      <c r="X66" s="27" t="s">
        <v>55</v>
      </c>
      <c r="Y66" s="27" t="s">
        <v>55</v>
      </c>
      <c r="Z66" s="27" t="s">
        <v>810</v>
      </c>
      <c r="AA66" s="27" t="s">
        <v>487</v>
      </c>
      <c r="AB66" s="27">
        <v>7</v>
      </c>
      <c r="AC66" s="27" t="s">
        <v>55</v>
      </c>
      <c r="AD66" s="27" t="s">
        <v>55</v>
      </c>
      <c r="AE66" s="27" t="s">
        <v>55</v>
      </c>
      <c r="AR66" s="2" t="s">
        <v>55</v>
      </c>
    </row>
    <row r="67" spans="1:44" ht="60" customHeight="1" x14ac:dyDescent="0.35">
      <c r="O67" s="2">
        <v>2.25</v>
      </c>
      <c r="Q67" s="3">
        <v>46062</v>
      </c>
      <c r="R67" s="58">
        <v>0.50347222222222221</v>
      </c>
      <c r="T67" s="2">
        <f t="shared" si="8"/>
        <v>66</v>
      </c>
      <c r="U67" s="27" t="s">
        <v>55</v>
      </c>
      <c r="V67" s="27" t="s">
        <v>55</v>
      </c>
      <c r="W67" s="27" t="s">
        <v>55</v>
      </c>
      <c r="X67" s="27" t="s">
        <v>55</v>
      </c>
      <c r="Y67" s="27" t="s">
        <v>55</v>
      </c>
      <c r="Z67" s="27" t="s">
        <v>863</v>
      </c>
      <c r="AA67" s="27" t="s">
        <v>186</v>
      </c>
      <c r="AB67" s="27">
        <v>7</v>
      </c>
      <c r="AC67" s="27" t="s">
        <v>55</v>
      </c>
      <c r="AD67" s="27" t="s">
        <v>55</v>
      </c>
      <c r="AE67" s="27" t="s">
        <v>55</v>
      </c>
      <c r="AR67" s="2" t="s">
        <v>55</v>
      </c>
    </row>
    <row r="68" spans="1:44" ht="60" customHeight="1" x14ac:dyDescent="0.35">
      <c r="O68" s="2">
        <v>2.25</v>
      </c>
      <c r="Q68" s="3">
        <v>46066</v>
      </c>
      <c r="R68" s="58">
        <v>0.76250000000000007</v>
      </c>
      <c r="T68" s="2">
        <f t="shared" si="8"/>
        <v>70</v>
      </c>
      <c r="U68" s="27" t="s">
        <v>55</v>
      </c>
      <c r="V68" s="27" t="s">
        <v>55</v>
      </c>
      <c r="W68" s="27" t="s">
        <v>55</v>
      </c>
      <c r="X68" s="27" t="s">
        <v>55</v>
      </c>
      <c r="Y68" s="27" t="s">
        <v>55</v>
      </c>
      <c r="Z68" s="27" t="s">
        <v>335</v>
      </c>
      <c r="AA68" s="27" t="s">
        <v>407</v>
      </c>
      <c r="AB68" s="27">
        <v>7</v>
      </c>
      <c r="AC68" s="27" t="s">
        <v>55</v>
      </c>
      <c r="AD68" s="27" t="s">
        <v>55</v>
      </c>
      <c r="AE68" s="27" t="s">
        <v>55</v>
      </c>
      <c r="AR68" s="2" t="s">
        <v>55</v>
      </c>
    </row>
    <row r="69" spans="1:44" ht="60" customHeight="1" x14ac:dyDescent="0.35">
      <c r="O69" s="2">
        <v>2.5</v>
      </c>
      <c r="Q69" s="3">
        <v>46070</v>
      </c>
      <c r="R69" s="58">
        <v>0.79027777777777775</v>
      </c>
      <c r="T69" s="2">
        <f t="shared" si="8"/>
        <v>74</v>
      </c>
      <c r="U69" s="27" t="s">
        <v>55</v>
      </c>
      <c r="V69" s="27" t="s">
        <v>55</v>
      </c>
      <c r="W69" s="27" t="s">
        <v>55</v>
      </c>
      <c r="X69" s="27" t="s">
        <v>55</v>
      </c>
      <c r="Y69" s="27" t="s">
        <v>55</v>
      </c>
      <c r="Z69" s="27" t="s">
        <v>903</v>
      </c>
      <c r="AA69" s="27" t="s">
        <v>407</v>
      </c>
      <c r="AB69" s="27">
        <v>7</v>
      </c>
      <c r="AC69" s="27" t="s">
        <v>55</v>
      </c>
      <c r="AD69" s="27" t="s">
        <v>55</v>
      </c>
      <c r="AE69" s="27" t="s">
        <v>55</v>
      </c>
      <c r="AR69" s="2" t="s">
        <v>55</v>
      </c>
    </row>
    <row r="70" spans="1:44" ht="60" customHeight="1" x14ac:dyDescent="0.35">
      <c r="O70" s="2">
        <v>2.5</v>
      </c>
      <c r="Q70" s="3">
        <v>46074</v>
      </c>
      <c r="R70" s="58">
        <v>0.44374999999999998</v>
      </c>
      <c r="T70" s="2">
        <f t="shared" si="8"/>
        <v>78</v>
      </c>
      <c r="U70" s="27" t="s">
        <v>55</v>
      </c>
      <c r="V70" s="27" t="s">
        <v>55</v>
      </c>
      <c r="W70" s="27" t="s">
        <v>55</v>
      </c>
      <c r="X70" s="27" t="s">
        <v>55</v>
      </c>
      <c r="Y70" s="27" t="s">
        <v>55</v>
      </c>
      <c r="Z70" s="27" t="s">
        <v>247</v>
      </c>
      <c r="AA70" s="27" t="s">
        <v>186</v>
      </c>
      <c r="AB70" s="27">
        <v>7</v>
      </c>
      <c r="AC70" s="27" t="s">
        <v>55</v>
      </c>
      <c r="AD70" s="27" t="s">
        <v>55</v>
      </c>
      <c r="AE70" s="27" t="s">
        <v>55</v>
      </c>
      <c r="AR70" s="2" t="s">
        <v>55</v>
      </c>
    </row>
    <row r="71" spans="1:44" ht="60" customHeight="1" x14ac:dyDescent="0.35">
      <c r="O71" s="2">
        <v>2.5</v>
      </c>
      <c r="Q71" s="3">
        <v>46077</v>
      </c>
      <c r="R71" s="58">
        <v>0.75763888888888886</v>
      </c>
      <c r="T71" s="2">
        <f t="shared" si="8"/>
        <v>81</v>
      </c>
      <c r="U71" s="27" t="s">
        <v>55</v>
      </c>
      <c r="V71" s="27" t="s">
        <v>55</v>
      </c>
      <c r="W71" s="27" t="s">
        <v>55</v>
      </c>
      <c r="X71" s="27" t="s">
        <v>55</v>
      </c>
      <c r="Y71" s="27" t="s">
        <v>55</v>
      </c>
      <c r="Z71" s="27" t="s">
        <v>115</v>
      </c>
      <c r="AA71" s="27" t="s">
        <v>940</v>
      </c>
      <c r="AB71" s="27">
        <v>7</v>
      </c>
      <c r="AC71" s="27" t="s">
        <v>55</v>
      </c>
      <c r="AD71" s="27" t="s">
        <v>55</v>
      </c>
      <c r="AE71" s="27" t="s">
        <v>55</v>
      </c>
      <c r="AR71" s="2" t="s">
        <v>55</v>
      </c>
    </row>
    <row r="72" spans="1:44" ht="60" customHeight="1" x14ac:dyDescent="0.35">
      <c r="O72" s="2">
        <v>2.5</v>
      </c>
      <c r="Q72" s="3">
        <v>46080</v>
      </c>
      <c r="R72" s="58">
        <v>0.51875000000000004</v>
      </c>
      <c r="T72" s="2">
        <f t="shared" si="8"/>
        <v>84</v>
      </c>
      <c r="U72" s="27" t="s">
        <v>55</v>
      </c>
      <c r="V72" s="27" t="s">
        <v>55</v>
      </c>
      <c r="W72" s="27" t="s">
        <v>55</v>
      </c>
      <c r="X72" s="27" t="s">
        <v>55</v>
      </c>
      <c r="Y72" s="27" t="s">
        <v>55</v>
      </c>
      <c r="Z72" s="27" t="s">
        <v>688</v>
      </c>
      <c r="AA72" s="27" t="s">
        <v>857</v>
      </c>
      <c r="AB72" s="27">
        <v>7</v>
      </c>
      <c r="AC72" s="27" t="s">
        <v>55</v>
      </c>
      <c r="AD72" s="27" t="s">
        <v>55</v>
      </c>
      <c r="AE72" s="27" t="s">
        <v>55</v>
      </c>
      <c r="AR72" s="2" t="s">
        <v>55</v>
      </c>
    </row>
    <row r="73" spans="1:44" ht="60" customHeight="1" x14ac:dyDescent="0.35">
      <c r="O73" s="2">
        <v>2.5</v>
      </c>
      <c r="Q73" s="3">
        <v>46084</v>
      </c>
      <c r="R73" s="58">
        <v>0.78611111111111109</v>
      </c>
      <c r="T73" s="2">
        <f t="shared" si="8"/>
        <v>88</v>
      </c>
      <c r="U73" s="27" t="s">
        <v>55</v>
      </c>
      <c r="V73" s="27" t="s">
        <v>55</v>
      </c>
      <c r="W73" s="27" t="s">
        <v>55</v>
      </c>
      <c r="X73" s="27" t="s">
        <v>55</v>
      </c>
      <c r="Y73" s="27" t="s">
        <v>55</v>
      </c>
      <c r="Z73" s="27" t="s">
        <v>87</v>
      </c>
      <c r="AA73" s="27" t="s">
        <v>996</v>
      </c>
      <c r="AB73" s="27">
        <v>7</v>
      </c>
      <c r="AC73" s="27" t="s">
        <v>55</v>
      </c>
      <c r="AD73" s="27" t="s">
        <v>55</v>
      </c>
      <c r="AE73" s="27" t="s">
        <v>55</v>
      </c>
      <c r="AR73" s="2" t="s">
        <v>55</v>
      </c>
    </row>
    <row r="74" spans="1:44" ht="60" customHeight="1" x14ac:dyDescent="0.35">
      <c r="O74" s="2">
        <v>2.5</v>
      </c>
      <c r="Q74" s="3">
        <v>46088</v>
      </c>
      <c r="R74" s="58">
        <v>0.42638888888888887</v>
      </c>
      <c r="T74" s="2">
        <f t="shared" si="8"/>
        <v>92</v>
      </c>
      <c r="U74" s="27" t="s">
        <v>55</v>
      </c>
      <c r="V74" s="27" t="s">
        <v>55</v>
      </c>
      <c r="W74" s="27" t="s">
        <v>55</v>
      </c>
      <c r="X74" s="27" t="s">
        <v>55</v>
      </c>
      <c r="Y74" s="27" t="s">
        <v>55</v>
      </c>
      <c r="Z74" s="27" t="s">
        <v>810</v>
      </c>
      <c r="AA74" s="27" t="s">
        <v>712</v>
      </c>
      <c r="AB74" s="27">
        <v>7</v>
      </c>
      <c r="AC74" s="27" t="s">
        <v>55</v>
      </c>
      <c r="AD74" s="27" t="s">
        <v>55</v>
      </c>
      <c r="AE74" s="27" t="s">
        <v>55</v>
      </c>
      <c r="AR74" s="2" t="s">
        <v>55</v>
      </c>
    </row>
    <row r="75" spans="1:44" ht="60" customHeight="1" x14ac:dyDescent="0.35">
      <c r="O75" s="2">
        <v>2.5</v>
      </c>
      <c r="Q75" s="3">
        <v>46091</v>
      </c>
      <c r="R75" s="58">
        <v>0.83402777777777781</v>
      </c>
      <c r="T75" s="2">
        <f t="shared" si="8"/>
        <v>95</v>
      </c>
      <c r="U75" s="27" t="s">
        <v>55</v>
      </c>
      <c r="V75" s="27" t="s">
        <v>55</v>
      </c>
      <c r="W75" s="27" t="s">
        <v>55</v>
      </c>
      <c r="X75" s="27" t="s">
        <v>55</v>
      </c>
      <c r="Y75" s="27" t="s">
        <v>55</v>
      </c>
      <c r="Z75" s="27" t="s">
        <v>250</v>
      </c>
      <c r="AA75" s="27" t="s">
        <v>150</v>
      </c>
      <c r="AB75" s="27">
        <v>7</v>
      </c>
      <c r="AC75" s="27" t="s">
        <v>55</v>
      </c>
      <c r="AD75" s="27" t="s">
        <v>55</v>
      </c>
      <c r="AE75" s="27" t="s">
        <v>55</v>
      </c>
      <c r="AR75" s="2" t="s">
        <v>55</v>
      </c>
    </row>
    <row r="76" spans="1:44" ht="60" customHeight="1" x14ac:dyDescent="0.35">
      <c r="O76" s="2">
        <v>2.5</v>
      </c>
      <c r="Q76" s="3">
        <v>46098</v>
      </c>
      <c r="R76" s="58">
        <v>0.71875</v>
      </c>
      <c r="T76" s="2">
        <f t="shared" si="8"/>
        <v>102</v>
      </c>
      <c r="U76" s="27" t="s">
        <v>55</v>
      </c>
      <c r="V76" s="27" t="s">
        <v>55</v>
      </c>
      <c r="W76" s="27" t="s">
        <v>55</v>
      </c>
      <c r="X76" s="27" t="s">
        <v>55</v>
      </c>
      <c r="Y76" s="27" t="s">
        <v>55</v>
      </c>
      <c r="Z76" s="27" t="s">
        <v>134</v>
      </c>
      <c r="AA76" s="27" t="s">
        <v>1094</v>
      </c>
      <c r="AB76" s="27">
        <v>7</v>
      </c>
      <c r="AC76" s="27" t="s">
        <v>55</v>
      </c>
      <c r="AD76" s="27" t="s">
        <v>55</v>
      </c>
      <c r="AE76" s="27" t="s">
        <v>55</v>
      </c>
      <c r="AR76" s="2" t="s">
        <v>55</v>
      </c>
    </row>
    <row r="77" spans="1:44" ht="60" customHeight="1" x14ac:dyDescent="0.35">
      <c r="O77" s="2">
        <v>2.75</v>
      </c>
      <c r="Q77" s="3">
        <v>46105</v>
      </c>
      <c r="R77" s="58">
        <v>0.73541666666666672</v>
      </c>
      <c r="T77" s="2">
        <f t="shared" si="8"/>
        <v>109</v>
      </c>
      <c r="U77" s="27" t="s">
        <v>55</v>
      </c>
      <c r="V77" s="27" t="s">
        <v>55</v>
      </c>
      <c r="W77" s="27" t="s">
        <v>55</v>
      </c>
      <c r="X77" s="27" t="s">
        <v>55</v>
      </c>
      <c r="Y77" s="27" t="s">
        <v>55</v>
      </c>
      <c r="Z77" s="27" t="s">
        <v>1135</v>
      </c>
      <c r="AA77" s="27" t="s">
        <v>1134</v>
      </c>
      <c r="AB77" s="27">
        <v>7</v>
      </c>
      <c r="AC77" s="27" t="s">
        <v>55</v>
      </c>
      <c r="AD77" s="27" t="s">
        <v>55</v>
      </c>
      <c r="AE77" s="27" t="s">
        <v>55</v>
      </c>
      <c r="AR77" s="2" t="s">
        <v>55</v>
      </c>
    </row>
    <row r="78" spans="1:44" ht="60" customHeight="1" x14ac:dyDescent="0.35">
      <c r="O78" s="2">
        <v>2.75</v>
      </c>
      <c r="Q78" s="3">
        <v>46112</v>
      </c>
      <c r="R78" s="58">
        <v>0.80555555555555558</v>
      </c>
      <c r="T78" s="2">
        <f t="shared" si="8"/>
        <v>116</v>
      </c>
      <c r="U78" s="27" t="s">
        <v>55</v>
      </c>
      <c r="V78" s="27" t="s">
        <v>55</v>
      </c>
      <c r="W78" s="27" t="s">
        <v>55</v>
      </c>
      <c r="X78" s="27" t="s">
        <v>55</v>
      </c>
      <c r="Y78" s="27" t="s">
        <v>55</v>
      </c>
      <c r="Z78" s="27" t="s">
        <v>115</v>
      </c>
      <c r="AA78" s="27" t="s">
        <v>124</v>
      </c>
      <c r="AB78" s="27">
        <v>7</v>
      </c>
      <c r="AC78" s="27" t="s">
        <v>55</v>
      </c>
      <c r="AD78" s="27" t="s">
        <v>55</v>
      </c>
      <c r="AE78" s="27" t="s">
        <v>55</v>
      </c>
      <c r="AR78" s="2" t="s">
        <v>55</v>
      </c>
    </row>
    <row r="79" spans="1:44" ht="60" customHeight="1" x14ac:dyDescent="0.35">
      <c r="Q79" s="3"/>
      <c r="R79" s="58"/>
    </row>
    <row r="80" spans="1:44" ht="60" customHeight="1" x14ac:dyDescent="0.35">
      <c r="A80" s="22">
        <v>5</v>
      </c>
      <c r="B80" s="136" t="s">
        <v>655</v>
      </c>
      <c r="C80" s="119" t="s">
        <v>701</v>
      </c>
      <c r="D80" s="43">
        <v>45992</v>
      </c>
      <c r="E80" s="44" t="e">
        <f t="shared" si="4"/>
        <v>#VALUE!</v>
      </c>
      <c r="F80" s="44" t="e">
        <f t="shared" si="5"/>
        <v>#VALUE!</v>
      </c>
      <c r="G80" s="44" t="e">
        <f t="shared" si="6"/>
        <v>#VALUE!</v>
      </c>
      <c r="H80" s="2" t="s">
        <v>10</v>
      </c>
      <c r="I80" s="56"/>
      <c r="J80" s="2">
        <v>4111</v>
      </c>
      <c r="O80" s="2">
        <v>2.25</v>
      </c>
      <c r="Q80" s="3">
        <v>46007</v>
      </c>
      <c r="R80" s="58">
        <v>0.7944444444444444</v>
      </c>
      <c r="T80" s="2">
        <f>Q80-$D$80</f>
        <v>15</v>
      </c>
      <c r="U80" s="27">
        <v>26.41</v>
      </c>
      <c r="V80" s="27">
        <v>9.43</v>
      </c>
      <c r="W80" s="27">
        <v>3.2</v>
      </c>
      <c r="X80" s="27">
        <v>10.49</v>
      </c>
      <c r="Y80" s="27">
        <v>5.77</v>
      </c>
      <c r="Z80" s="27" t="s">
        <v>55</v>
      </c>
      <c r="AA80" s="27" t="s">
        <v>55</v>
      </c>
      <c r="AB80" s="27" t="s">
        <v>55</v>
      </c>
      <c r="AC80" s="27" t="s">
        <v>55</v>
      </c>
      <c r="AD80" s="27" t="s">
        <v>55</v>
      </c>
      <c r="AE80" s="27" t="s">
        <v>55</v>
      </c>
      <c r="AR80" s="2" t="s">
        <v>50</v>
      </c>
    </row>
    <row r="81" spans="2:58" ht="60" customHeight="1" x14ac:dyDescent="0.35">
      <c r="B81" s="59" t="s">
        <v>763</v>
      </c>
      <c r="O81" s="2">
        <v>2.25</v>
      </c>
      <c r="Q81" s="3">
        <v>46010</v>
      </c>
      <c r="R81" s="58">
        <v>0.70763888888888893</v>
      </c>
      <c r="T81" s="2">
        <f>Q81-$D$80</f>
        <v>18</v>
      </c>
      <c r="U81" s="27">
        <v>16.71</v>
      </c>
      <c r="V81" s="27">
        <v>7.45</v>
      </c>
      <c r="W81" s="27">
        <v>2.5099999999999998</v>
      </c>
      <c r="X81" s="27">
        <v>5.08</v>
      </c>
      <c r="Y81" s="27">
        <v>2.38</v>
      </c>
      <c r="Z81" s="27" t="s">
        <v>134</v>
      </c>
      <c r="AA81" s="27" t="s">
        <v>55</v>
      </c>
      <c r="AB81" s="27">
        <v>17</v>
      </c>
      <c r="AC81" s="27" t="s">
        <v>55</v>
      </c>
      <c r="AD81" s="27" t="s">
        <v>55</v>
      </c>
      <c r="AE81" s="27" t="s">
        <v>55</v>
      </c>
      <c r="AR81" s="2" t="s">
        <v>52</v>
      </c>
      <c r="AS81" s="2">
        <v>0.71</v>
      </c>
      <c r="AT81" s="2">
        <v>1.59</v>
      </c>
      <c r="AU81" s="2">
        <v>15.45</v>
      </c>
      <c r="AV81" s="2">
        <v>3.42</v>
      </c>
      <c r="AW81" s="2">
        <v>52.87</v>
      </c>
      <c r="AX81" s="2">
        <v>23.34</v>
      </c>
      <c r="AY81" s="2">
        <v>12.61</v>
      </c>
      <c r="AZ81" s="2">
        <v>0.53500000000000003</v>
      </c>
      <c r="BA81" s="2">
        <v>1.1200000000000001</v>
      </c>
      <c r="BB81" s="2">
        <v>0.1</v>
      </c>
      <c r="BC81" s="2">
        <v>0.22</v>
      </c>
      <c r="BD81" s="2">
        <v>50</v>
      </c>
      <c r="BE81" s="2">
        <v>93</v>
      </c>
    </row>
    <row r="82" spans="2:58" ht="60" customHeight="1" x14ac:dyDescent="0.35">
      <c r="O82" s="2">
        <v>2.25</v>
      </c>
      <c r="Q82" s="3">
        <v>46013</v>
      </c>
      <c r="R82" s="58">
        <v>0.48958333333333331</v>
      </c>
      <c r="T82" s="2">
        <f t="shared" ref="T82:T107" si="9">Q82-$D$80</f>
        <v>21</v>
      </c>
      <c r="U82" s="27">
        <v>13.59</v>
      </c>
      <c r="V82" s="27">
        <v>7.62</v>
      </c>
      <c r="W82" s="27">
        <v>1.77</v>
      </c>
      <c r="X82" s="27">
        <v>5.53</v>
      </c>
      <c r="Y82" s="27">
        <v>1.1000000000000001</v>
      </c>
      <c r="Z82" s="27" t="s">
        <v>285</v>
      </c>
      <c r="AA82" s="27" t="s">
        <v>217</v>
      </c>
      <c r="AB82" s="27">
        <v>17</v>
      </c>
      <c r="AC82" s="27" t="s">
        <v>55</v>
      </c>
      <c r="AD82" s="27" t="s">
        <v>55</v>
      </c>
      <c r="AE82" s="27" t="s">
        <v>55</v>
      </c>
      <c r="AR82" s="38" t="s">
        <v>52</v>
      </c>
      <c r="AS82" s="2">
        <v>1</v>
      </c>
      <c r="AT82" s="2">
        <v>3.37</v>
      </c>
      <c r="AU82" s="2">
        <v>0</v>
      </c>
      <c r="AV82" s="2" t="s">
        <v>89</v>
      </c>
      <c r="AW82" s="2">
        <v>30.36</v>
      </c>
      <c r="AX82" s="2">
        <v>8.94</v>
      </c>
      <c r="AY82" s="2">
        <v>5.41</v>
      </c>
      <c r="AZ82" s="2">
        <v>0.6</v>
      </c>
      <c r="BA82" s="2">
        <v>0.37</v>
      </c>
      <c r="BB82" s="2">
        <v>0</v>
      </c>
      <c r="BC82" s="2">
        <v>0.03</v>
      </c>
      <c r="BD82" s="2">
        <v>8</v>
      </c>
      <c r="BE82" s="2">
        <v>92</v>
      </c>
    </row>
    <row r="83" spans="2:58" ht="60" customHeight="1" x14ac:dyDescent="0.35">
      <c r="O83" s="2">
        <v>2.25</v>
      </c>
      <c r="Q83" s="3">
        <v>46018</v>
      </c>
      <c r="R83" s="58">
        <v>0.51041666666666663</v>
      </c>
      <c r="T83" s="2">
        <f t="shared" si="9"/>
        <v>26</v>
      </c>
      <c r="U83" s="27">
        <v>17.2</v>
      </c>
      <c r="V83" s="27">
        <v>7.96</v>
      </c>
      <c r="W83" s="27">
        <v>1.37</v>
      </c>
      <c r="X83" s="27">
        <v>5.55</v>
      </c>
      <c r="Y83" s="27">
        <v>0.94</v>
      </c>
      <c r="Z83" s="27" t="s">
        <v>689</v>
      </c>
      <c r="AA83" s="27" t="s">
        <v>407</v>
      </c>
      <c r="AB83" s="27">
        <v>17</v>
      </c>
      <c r="AC83" s="27" t="s">
        <v>55</v>
      </c>
      <c r="AD83" s="27" t="s">
        <v>55</v>
      </c>
      <c r="AE83" s="27" t="s">
        <v>55</v>
      </c>
      <c r="AR83" s="2" t="s">
        <v>50</v>
      </c>
    </row>
    <row r="84" spans="2:58" ht="60" customHeight="1" x14ac:dyDescent="0.35">
      <c r="O84" s="2">
        <v>2.25</v>
      </c>
      <c r="Q84" s="3">
        <v>46021</v>
      </c>
      <c r="R84" s="2" t="s">
        <v>700</v>
      </c>
      <c r="T84" s="2">
        <f t="shared" si="9"/>
        <v>29</v>
      </c>
      <c r="U84" s="27">
        <v>17.13</v>
      </c>
      <c r="V84" s="27">
        <v>8.94</v>
      </c>
      <c r="W84" s="27">
        <v>2.69</v>
      </c>
      <c r="X84" s="27">
        <v>5.69</v>
      </c>
      <c r="Y84" s="27">
        <v>3.2</v>
      </c>
      <c r="Z84" s="27" t="s">
        <v>702</v>
      </c>
      <c r="AA84" s="27" t="s">
        <v>134</v>
      </c>
      <c r="AB84" s="27">
        <v>17</v>
      </c>
      <c r="AC84" s="27" t="s">
        <v>55</v>
      </c>
      <c r="AD84" s="27" t="s">
        <v>55</v>
      </c>
      <c r="AE84" s="27" t="s">
        <v>55</v>
      </c>
      <c r="AR84" s="2" t="s">
        <v>50</v>
      </c>
    </row>
    <row r="85" spans="2:58" ht="60" customHeight="1" x14ac:dyDescent="0.35">
      <c r="O85" s="2">
        <v>2.25</v>
      </c>
      <c r="Q85" s="3">
        <v>46024</v>
      </c>
      <c r="R85" s="58">
        <v>0.70277777777777783</v>
      </c>
      <c r="T85" s="2">
        <f t="shared" si="9"/>
        <v>32</v>
      </c>
      <c r="U85" s="27">
        <v>14.67</v>
      </c>
      <c r="V85" s="27">
        <v>8.09</v>
      </c>
      <c r="W85" s="27">
        <v>1.37</v>
      </c>
      <c r="X85" s="27">
        <v>6.02</v>
      </c>
      <c r="Y85" s="27">
        <v>1.68</v>
      </c>
      <c r="Z85" s="27" t="s">
        <v>719</v>
      </c>
      <c r="AA85" s="27" t="s">
        <v>720</v>
      </c>
      <c r="AB85" s="27">
        <v>17</v>
      </c>
      <c r="AC85" s="27" t="s">
        <v>55</v>
      </c>
      <c r="AD85" s="27" t="s">
        <v>55</v>
      </c>
      <c r="AE85" s="27" t="s">
        <v>55</v>
      </c>
      <c r="AR85" s="2" t="s">
        <v>50</v>
      </c>
    </row>
    <row r="86" spans="2:58" ht="60" customHeight="1" x14ac:dyDescent="0.35">
      <c r="O86" s="2">
        <v>2.25</v>
      </c>
      <c r="Q86" s="3">
        <v>46027</v>
      </c>
      <c r="R86" s="58">
        <v>0.67569444444444438</v>
      </c>
      <c r="T86" s="2">
        <f t="shared" si="9"/>
        <v>35</v>
      </c>
      <c r="U86" s="27">
        <v>17.5</v>
      </c>
      <c r="V86" s="27">
        <v>9.61</v>
      </c>
      <c r="W86" s="27">
        <v>2.13</v>
      </c>
      <c r="X86" s="27">
        <v>6.17</v>
      </c>
      <c r="Y86" s="27">
        <v>1.85</v>
      </c>
      <c r="Z86" s="27" t="s">
        <v>208</v>
      </c>
      <c r="AA86" s="27" t="s">
        <v>734</v>
      </c>
      <c r="AB86" s="27">
        <v>17</v>
      </c>
      <c r="AC86" s="27" t="s">
        <v>55</v>
      </c>
      <c r="AD86" s="27" t="s">
        <v>55</v>
      </c>
      <c r="AE86" s="27" t="s">
        <v>55</v>
      </c>
      <c r="AR86" s="2" t="s">
        <v>50</v>
      </c>
    </row>
    <row r="87" spans="2:58" ht="60" customHeight="1" x14ac:dyDescent="0.35">
      <c r="O87" s="2">
        <v>2.25</v>
      </c>
      <c r="Q87" s="3">
        <v>46031</v>
      </c>
      <c r="R87" s="58">
        <v>0.71111111111111114</v>
      </c>
      <c r="T87" s="2">
        <f t="shared" si="9"/>
        <v>39</v>
      </c>
      <c r="U87" s="27">
        <v>16.600000000000001</v>
      </c>
      <c r="V87" s="27">
        <v>9.19</v>
      </c>
      <c r="W87" s="27">
        <v>7.04</v>
      </c>
      <c r="X87" s="27">
        <v>2.2999999999999998</v>
      </c>
      <c r="Y87" s="27">
        <v>2.97</v>
      </c>
      <c r="Z87" s="27" t="s">
        <v>739</v>
      </c>
      <c r="AA87" s="27" t="s">
        <v>242</v>
      </c>
      <c r="AB87" s="27">
        <v>17</v>
      </c>
      <c r="AC87" s="27" t="s">
        <v>55</v>
      </c>
      <c r="AD87" s="27" t="s">
        <v>55</v>
      </c>
      <c r="AE87" s="27" t="s">
        <v>55</v>
      </c>
      <c r="AR87" s="2" t="s">
        <v>55</v>
      </c>
      <c r="BF87" s="2" t="s">
        <v>740</v>
      </c>
    </row>
    <row r="88" spans="2:58" ht="60" customHeight="1" x14ac:dyDescent="0.35">
      <c r="O88" s="2">
        <v>2.5</v>
      </c>
      <c r="Q88" s="3">
        <v>46035</v>
      </c>
      <c r="R88" s="58">
        <v>0.73750000000000004</v>
      </c>
      <c r="T88" s="2">
        <f t="shared" si="9"/>
        <v>43</v>
      </c>
      <c r="U88" s="27">
        <v>18.34</v>
      </c>
      <c r="V88" s="27">
        <v>10.24</v>
      </c>
      <c r="W88" s="27">
        <v>2.14</v>
      </c>
      <c r="X88" s="27">
        <v>7.07</v>
      </c>
      <c r="Y88" s="27">
        <v>3.25</v>
      </c>
      <c r="Z88" s="27" t="s">
        <v>750</v>
      </c>
      <c r="AA88" s="27" t="s">
        <v>345</v>
      </c>
      <c r="AB88" s="27">
        <v>17</v>
      </c>
      <c r="AC88" s="27" t="s">
        <v>55</v>
      </c>
      <c r="AD88" s="27" t="s">
        <v>55</v>
      </c>
      <c r="AE88" s="27" t="s">
        <v>55</v>
      </c>
      <c r="AR88" s="2" t="s">
        <v>55</v>
      </c>
      <c r="BF88" s="2" t="s">
        <v>757</v>
      </c>
    </row>
    <row r="89" spans="2:58" ht="60" customHeight="1" x14ac:dyDescent="0.35">
      <c r="O89" s="2">
        <v>2.5</v>
      </c>
      <c r="Q89" s="3">
        <v>46038</v>
      </c>
      <c r="R89" s="58">
        <v>0.57499999999999996</v>
      </c>
      <c r="T89" s="2">
        <f t="shared" si="9"/>
        <v>46</v>
      </c>
      <c r="U89" s="27">
        <v>11.86</v>
      </c>
      <c r="V89" s="27">
        <v>8.89</v>
      </c>
      <c r="W89" s="27">
        <v>0.75</v>
      </c>
      <c r="X89" s="27">
        <v>6.06</v>
      </c>
      <c r="Y89" s="27">
        <v>2.52</v>
      </c>
      <c r="Z89" s="27" t="s">
        <v>771</v>
      </c>
      <c r="AA89" s="27" t="s">
        <v>134</v>
      </c>
      <c r="AB89" s="27">
        <v>17</v>
      </c>
      <c r="AC89" s="27" t="s">
        <v>55</v>
      </c>
      <c r="AD89" s="27" t="s">
        <v>55</v>
      </c>
      <c r="AE89" s="27" t="s">
        <v>55</v>
      </c>
      <c r="AR89" s="2" t="s">
        <v>55</v>
      </c>
    </row>
    <row r="90" spans="2:58" ht="60" customHeight="1" x14ac:dyDescent="0.35">
      <c r="O90" s="2">
        <v>2.25</v>
      </c>
      <c r="Q90" s="3">
        <v>46041</v>
      </c>
      <c r="R90" s="58">
        <v>0.70416666666666672</v>
      </c>
      <c r="T90" s="2">
        <f t="shared" si="9"/>
        <v>49</v>
      </c>
      <c r="U90" s="27">
        <v>12.44</v>
      </c>
      <c r="V90" s="27">
        <v>6.92</v>
      </c>
      <c r="W90" s="27">
        <v>1.6</v>
      </c>
      <c r="X90" s="27">
        <v>5.49</v>
      </c>
      <c r="Y90" s="27">
        <v>2.8</v>
      </c>
      <c r="Z90" s="27" t="s">
        <v>784</v>
      </c>
      <c r="AA90" s="27" t="s">
        <v>751</v>
      </c>
      <c r="AB90" s="27">
        <v>17</v>
      </c>
      <c r="AC90" s="27" t="s">
        <v>55</v>
      </c>
      <c r="AD90" s="27" t="s">
        <v>55</v>
      </c>
      <c r="AE90" s="27" t="s">
        <v>55</v>
      </c>
      <c r="AR90" s="2" t="s">
        <v>55</v>
      </c>
    </row>
    <row r="91" spans="2:58" ht="60" customHeight="1" x14ac:dyDescent="0.35">
      <c r="O91" s="2">
        <v>2.25</v>
      </c>
      <c r="Q91" s="3">
        <v>46045</v>
      </c>
      <c r="R91" s="58">
        <v>0.64652777777777781</v>
      </c>
      <c r="T91" s="2">
        <f t="shared" si="9"/>
        <v>53</v>
      </c>
      <c r="U91" s="27">
        <v>11.57</v>
      </c>
      <c r="V91" s="27">
        <v>6.61</v>
      </c>
      <c r="W91" s="27">
        <v>1.52</v>
      </c>
      <c r="X91" s="27">
        <v>3.51</v>
      </c>
      <c r="Y91" s="27">
        <v>1.19</v>
      </c>
      <c r="Z91" s="27" t="s">
        <v>98</v>
      </c>
      <c r="AA91" s="27" t="s">
        <v>605</v>
      </c>
      <c r="AB91" s="27">
        <v>17</v>
      </c>
      <c r="AC91" s="27" t="s">
        <v>55</v>
      </c>
      <c r="AD91" s="27" t="s">
        <v>55</v>
      </c>
      <c r="AE91" s="27" t="s">
        <v>55</v>
      </c>
      <c r="AR91" s="2" t="s">
        <v>55</v>
      </c>
    </row>
    <row r="92" spans="2:58" ht="60" customHeight="1" x14ac:dyDescent="0.35">
      <c r="O92" s="2">
        <v>2.25</v>
      </c>
      <c r="Q92" s="3">
        <v>46049</v>
      </c>
      <c r="R92" s="58">
        <v>0.77083333333333337</v>
      </c>
      <c r="T92" s="2">
        <f t="shared" si="9"/>
        <v>57</v>
      </c>
      <c r="U92" s="27">
        <v>14.77</v>
      </c>
      <c r="V92" s="27">
        <v>8.65</v>
      </c>
      <c r="W92" s="27">
        <v>2.67</v>
      </c>
      <c r="X92" s="27">
        <v>5.84</v>
      </c>
      <c r="Y92" s="27">
        <v>2.2000000000000002</v>
      </c>
      <c r="Z92" s="27" t="s">
        <v>82</v>
      </c>
      <c r="AA92" s="27" t="s">
        <v>276</v>
      </c>
      <c r="AB92" s="27">
        <v>17</v>
      </c>
      <c r="AC92" s="27" t="s">
        <v>55</v>
      </c>
      <c r="AD92" s="27" t="s">
        <v>55</v>
      </c>
      <c r="AE92" s="27" t="s">
        <v>55</v>
      </c>
      <c r="AR92" s="2" t="s">
        <v>55</v>
      </c>
    </row>
    <row r="93" spans="2:58" ht="60" customHeight="1" x14ac:dyDescent="0.35">
      <c r="O93" s="2">
        <v>2.25</v>
      </c>
      <c r="Q93" s="3">
        <v>46052</v>
      </c>
      <c r="R93" s="58">
        <v>0.77986111111111112</v>
      </c>
      <c r="T93" s="2">
        <f t="shared" si="9"/>
        <v>60</v>
      </c>
      <c r="U93" s="27">
        <v>10.77</v>
      </c>
      <c r="V93" s="27">
        <v>5.0199999999999996</v>
      </c>
      <c r="W93" s="27">
        <v>0.75</v>
      </c>
      <c r="X93" s="27">
        <v>4.58</v>
      </c>
      <c r="Y93" s="27">
        <v>3.81</v>
      </c>
      <c r="Z93" s="27" t="s">
        <v>828</v>
      </c>
      <c r="AA93" s="27" t="s">
        <v>186</v>
      </c>
      <c r="AB93" s="27">
        <v>17</v>
      </c>
      <c r="AC93" s="27" t="s">
        <v>55</v>
      </c>
      <c r="AD93" s="27" t="s">
        <v>55</v>
      </c>
      <c r="AE93" s="27" t="s">
        <v>55</v>
      </c>
      <c r="AR93" s="2" t="s">
        <v>55</v>
      </c>
    </row>
    <row r="94" spans="2:58" ht="60" customHeight="1" x14ac:dyDescent="0.35">
      <c r="O94" s="2">
        <v>2.25</v>
      </c>
      <c r="Q94" s="3">
        <v>46056</v>
      </c>
      <c r="R94" s="58">
        <v>0.66111111111111109</v>
      </c>
      <c r="T94" s="2">
        <f t="shared" si="9"/>
        <v>64</v>
      </c>
      <c r="U94" s="27" t="s">
        <v>55</v>
      </c>
      <c r="V94" s="27" t="s">
        <v>55</v>
      </c>
      <c r="W94" s="27" t="s">
        <v>55</v>
      </c>
      <c r="X94" s="27" t="s">
        <v>55</v>
      </c>
      <c r="Y94" s="27" t="s">
        <v>55</v>
      </c>
      <c r="Z94" s="27" t="s">
        <v>835</v>
      </c>
      <c r="AA94" s="27" t="s">
        <v>407</v>
      </c>
      <c r="AB94" s="27">
        <v>17</v>
      </c>
      <c r="AC94" s="27" t="s">
        <v>55</v>
      </c>
      <c r="AD94" s="27" t="s">
        <v>55</v>
      </c>
      <c r="AE94" s="27" t="s">
        <v>55</v>
      </c>
      <c r="AR94" s="2" t="s">
        <v>55</v>
      </c>
      <c r="BF94" s="2" t="s">
        <v>844</v>
      </c>
    </row>
    <row r="95" spans="2:58" ht="60" customHeight="1" x14ac:dyDescent="0.35">
      <c r="O95" s="2">
        <v>2.25</v>
      </c>
      <c r="Q95" s="3">
        <v>46059</v>
      </c>
      <c r="R95" s="58">
        <v>0.44861111111111113</v>
      </c>
      <c r="T95" s="2">
        <f t="shared" si="9"/>
        <v>67</v>
      </c>
      <c r="U95" s="27" t="s">
        <v>55</v>
      </c>
      <c r="V95" s="27" t="s">
        <v>55</v>
      </c>
      <c r="W95" s="27" t="s">
        <v>55</v>
      </c>
      <c r="X95" s="27" t="s">
        <v>55</v>
      </c>
      <c r="Y95" s="27" t="s">
        <v>55</v>
      </c>
      <c r="Z95" s="27" t="s">
        <v>82</v>
      </c>
      <c r="AA95" s="27" t="s">
        <v>186</v>
      </c>
      <c r="AB95" s="27">
        <v>17</v>
      </c>
      <c r="AC95" s="27" t="s">
        <v>55</v>
      </c>
      <c r="AD95" s="27" t="s">
        <v>55</v>
      </c>
      <c r="AE95" s="27" t="s">
        <v>55</v>
      </c>
      <c r="AR95" s="2" t="s">
        <v>55</v>
      </c>
    </row>
    <row r="96" spans="2:58" ht="60" customHeight="1" x14ac:dyDescent="0.35">
      <c r="O96" s="2">
        <v>2.25</v>
      </c>
      <c r="Q96" s="3">
        <v>46062</v>
      </c>
      <c r="R96" s="58">
        <v>0.49236111111111114</v>
      </c>
      <c r="T96" s="2">
        <f t="shared" si="9"/>
        <v>70</v>
      </c>
      <c r="U96" s="27" t="s">
        <v>55</v>
      </c>
      <c r="V96" s="27" t="s">
        <v>55</v>
      </c>
      <c r="W96" s="27" t="s">
        <v>55</v>
      </c>
      <c r="X96" s="27" t="s">
        <v>55</v>
      </c>
      <c r="Y96" s="27" t="s">
        <v>55</v>
      </c>
      <c r="Z96" s="27" t="s">
        <v>861</v>
      </c>
      <c r="AA96" s="27" t="s">
        <v>690</v>
      </c>
      <c r="AB96" s="27">
        <v>17</v>
      </c>
      <c r="AC96" s="27" t="s">
        <v>55</v>
      </c>
      <c r="AD96" s="27" t="s">
        <v>55</v>
      </c>
      <c r="AE96" s="27" t="s">
        <v>55</v>
      </c>
      <c r="AR96" s="2" t="s">
        <v>55</v>
      </c>
    </row>
    <row r="97" spans="1:58" ht="60" customHeight="1" x14ac:dyDescent="0.35">
      <c r="O97" s="2">
        <v>2.25</v>
      </c>
      <c r="Q97" s="3">
        <v>46066</v>
      </c>
      <c r="R97" s="58">
        <v>0.76041666666666663</v>
      </c>
      <c r="T97" s="2">
        <f t="shared" si="9"/>
        <v>74</v>
      </c>
      <c r="U97" s="27" t="s">
        <v>55</v>
      </c>
      <c r="V97" s="27" t="s">
        <v>55</v>
      </c>
      <c r="W97" s="27" t="s">
        <v>55</v>
      </c>
      <c r="X97" s="27" t="s">
        <v>55</v>
      </c>
      <c r="Y97" s="27" t="s">
        <v>55</v>
      </c>
      <c r="Z97" s="27" t="s">
        <v>487</v>
      </c>
      <c r="AA97" s="27" t="s">
        <v>741</v>
      </c>
      <c r="AB97" s="27">
        <v>17</v>
      </c>
      <c r="AC97" s="27" t="s">
        <v>55</v>
      </c>
      <c r="AD97" s="27" t="s">
        <v>55</v>
      </c>
      <c r="AE97" s="27" t="s">
        <v>55</v>
      </c>
      <c r="AR97" s="2" t="s">
        <v>55</v>
      </c>
    </row>
    <row r="98" spans="1:58" ht="60" customHeight="1" x14ac:dyDescent="0.35">
      <c r="O98" s="2">
        <v>2.5</v>
      </c>
      <c r="Q98" s="3">
        <v>46070</v>
      </c>
      <c r="R98" s="58">
        <v>0.79583333333333328</v>
      </c>
      <c r="T98" s="2">
        <f t="shared" si="9"/>
        <v>78</v>
      </c>
      <c r="U98" s="27" t="s">
        <v>55</v>
      </c>
      <c r="V98" s="27" t="s">
        <v>55</v>
      </c>
      <c r="W98" s="27" t="s">
        <v>55</v>
      </c>
      <c r="X98" s="27" t="s">
        <v>55</v>
      </c>
      <c r="Y98" s="27" t="s">
        <v>55</v>
      </c>
      <c r="Z98" s="27" t="s">
        <v>773</v>
      </c>
      <c r="AA98" s="27" t="s">
        <v>647</v>
      </c>
      <c r="AB98" s="27">
        <v>17</v>
      </c>
      <c r="AC98" s="27" t="s">
        <v>55</v>
      </c>
      <c r="AD98" s="27" t="s">
        <v>55</v>
      </c>
      <c r="AE98" s="27" t="s">
        <v>55</v>
      </c>
      <c r="AR98" s="2" t="s">
        <v>55</v>
      </c>
    </row>
    <row r="99" spans="1:58" ht="60" customHeight="1" x14ac:dyDescent="0.35">
      <c r="O99" s="2">
        <v>2.5</v>
      </c>
      <c r="Q99" s="3">
        <v>46074</v>
      </c>
      <c r="R99" s="58">
        <v>0.43333333333333335</v>
      </c>
      <c r="T99" s="2">
        <f t="shared" si="9"/>
        <v>82</v>
      </c>
      <c r="U99" s="27" t="s">
        <v>55</v>
      </c>
      <c r="V99" s="27" t="s">
        <v>55</v>
      </c>
      <c r="W99" s="27" t="s">
        <v>55</v>
      </c>
      <c r="X99" s="27" t="s">
        <v>55</v>
      </c>
      <c r="Y99" s="27" t="s">
        <v>55</v>
      </c>
      <c r="Z99" s="37" t="s">
        <v>921</v>
      </c>
      <c r="AA99" s="37" t="s">
        <v>935</v>
      </c>
      <c r="AB99" s="27">
        <v>17</v>
      </c>
      <c r="AC99" s="27" t="s">
        <v>55</v>
      </c>
      <c r="AD99" s="27" t="s">
        <v>55</v>
      </c>
      <c r="AE99" s="27" t="s">
        <v>55</v>
      </c>
      <c r="AR99" s="2" t="s">
        <v>55</v>
      </c>
    </row>
    <row r="100" spans="1:58" ht="60" customHeight="1" x14ac:dyDescent="0.35">
      <c r="O100" s="2">
        <v>2.5</v>
      </c>
      <c r="Q100" s="3">
        <v>46077</v>
      </c>
      <c r="R100" s="58">
        <v>0.74930555555555556</v>
      </c>
      <c r="T100" s="2">
        <f t="shared" si="9"/>
        <v>85</v>
      </c>
      <c r="U100" s="27" t="s">
        <v>55</v>
      </c>
      <c r="V100" s="27" t="s">
        <v>55</v>
      </c>
      <c r="W100" s="27" t="s">
        <v>55</v>
      </c>
      <c r="X100" s="27" t="s">
        <v>55</v>
      </c>
      <c r="Y100" s="27" t="s">
        <v>55</v>
      </c>
      <c r="Z100" s="27" t="s">
        <v>828</v>
      </c>
      <c r="AA100" s="27" t="s">
        <v>939</v>
      </c>
      <c r="AB100" s="27">
        <v>17</v>
      </c>
      <c r="AC100" s="27" t="s">
        <v>55</v>
      </c>
      <c r="AD100" s="27" t="s">
        <v>55</v>
      </c>
      <c r="AE100" s="27" t="s">
        <v>55</v>
      </c>
      <c r="AR100" s="2" t="s">
        <v>55</v>
      </c>
      <c r="BF100" s="2" t="s">
        <v>938</v>
      </c>
    </row>
    <row r="101" spans="1:58" ht="60" customHeight="1" x14ac:dyDescent="0.35">
      <c r="O101" s="2">
        <v>2.5</v>
      </c>
      <c r="Q101" s="3">
        <v>46080</v>
      </c>
      <c r="R101" s="58">
        <v>0.51388888888888884</v>
      </c>
      <c r="T101" s="2">
        <f t="shared" si="9"/>
        <v>88</v>
      </c>
      <c r="U101" s="27" t="s">
        <v>55</v>
      </c>
      <c r="V101" s="27" t="s">
        <v>55</v>
      </c>
      <c r="W101" s="27" t="s">
        <v>55</v>
      </c>
      <c r="X101" s="27" t="s">
        <v>55</v>
      </c>
      <c r="Y101" s="27" t="s">
        <v>55</v>
      </c>
      <c r="Z101" s="27" t="s">
        <v>131</v>
      </c>
      <c r="AA101" s="27" t="s">
        <v>828</v>
      </c>
      <c r="AB101" s="27">
        <v>17</v>
      </c>
      <c r="AC101" s="27" t="s">
        <v>55</v>
      </c>
      <c r="AD101" s="27" t="s">
        <v>55</v>
      </c>
      <c r="AE101" s="27" t="s">
        <v>55</v>
      </c>
      <c r="AR101" s="2" t="s">
        <v>55</v>
      </c>
    </row>
    <row r="102" spans="1:58" ht="60" customHeight="1" x14ac:dyDescent="0.35">
      <c r="O102" s="2">
        <v>2.5</v>
      </c>
      <c r="Q102" s="3">
        <v>46084</v>
      </c>
      <c r="R102" s="58">
        <v>0.77638888888888891</v>
      </c>
      <c r="T102" s="2">
        <f t="shared" si="9"/>
        <v>92</v>
      </c>
      <c r="U102" s="27" t="s">
        <v>55</v>
      </c>
      <c r="V102" s="27" t="s">
        <v>55</v>
      </c>
      <c r="W102" s="27" t="s">
        <v>55</v>
      </c>
      <c r="X102" s="27" t="s">
        <v>55</v>
      </c>
      <c r="Y102" s="27" t="s">
        <v>55</v>
      </c>
      <c r="Z102" s="27" t="s">
        <v>250</v>
      </c>
      <c r="AA102" s="27" t="s">
        <v>991</v>
      </c>
      <c r="AB102" s="27">
        <v>17</v>
      </c>
      <c r="AC102" s="27" t="s">
        <v>55</v>
      </c>
      <c r="AD102" s="27" t="s">
        <v>55</v>
      </c>
      <c r="AE102" s="27" t="s">
        <v>55</v>
      </c>
      <c r="AR102" s="2" t="s">
        <v>55</v>
      </c>
    </row>
    <row r="103" spans="1:58" ht="60" customHeight="1" x14ac:dyDescent="0.35">
      <c r="O103" s="2">
        <v>2.5</v>
      </c>
      <c r="Q103" s="3">
        <v>46088</v>
      </c>
      <c r="R103" s="58">
        <v>0.43472222222222223</v>
      </c>
      <c r="T103" s="2">
        <f t="shared" si="9"/>
        <v>96</v>
      </c>
      <c r="U103" s="27" t="s">
        <v>55</v>
      </c>
      <c r="V103" s="27" t="s">
        <v>55</v>
      </c>
      <c r="W103" s="27" t="s">
        <v>55</v>
      </c>
      <c r="X103" s="27" t="s">
        <v>55</v>
      </c>
      <c r="Y103" s="27" t="s">
        <v>55</v>
      </c>
      <c r="Z103" s="27" t="s">
        <v>129</v>
      </c>
      <c r="AA103" s="27" t="s">
        <v>1021</v>
      </c>
      <c r="AB103" s="27">
        <v>17</v>
      </c>
      <c r="AC103" s="27" t="s">
        <v>55</v>
      </c>
      <c r="AD103" s="27" t="s">
        <v>55</v>
      </c>
      <c r="AE103" s="27" t="s">
        <v>55</v>
      </c>
      <c r="AR103" s="2" t="s">
        <v>55</v>
      </c>
    </row>
    <row r="104" spans="1:58" ht="60" customHeight="1" x14ac:dyDescent="0.35">
      <c r="O104" s="2">
        <v>2.25</v>
      </c>
      <c r="Q104" s="3">
        <v>46091</v>
      </c>
      <c r="R104" s="58">
        <v>0.84375</v>
      </c>
      <c r="T104" s="2">
        <f t="shared" si="9"/>
        <v>99</v>
      </c>
      <c r="U104" s="27" t="s">
        <v>55</v>
      </c>
      <c r="V104" s="27" t="s">
        <v>55</v>
      </c>
      <c r="W104" s="27" t="s">
        <v>55</v>
      </c>
      <c r="X104" s="27" t="s">
        <v>55</v>
      </c>
      <c r="Y104" s="27" t="s">
        <v>55</v>
      </c>
      <c r="Z104" s="27" t="s">
        <v>1064</v>
      </c>
      <c r="AA104" s="27" t="s">
        <v>1063</v>
      </c>
      <c r="AB104" s="27">
        <v>17</v>
      </c>
      <c r="AC104" s="27" t="s">
        <v>55</v>
      </c>
      <c r="AD104" s="27" t="s">
        <v>55</v>
      </c>
      <c r="AE104" s="27" t="s">
        <v>55</v>
      </c>
      <c r="AR104" s="2" t="s">
        <v>55</v>
      </c>
    </row>
    <row r="105" spans="1:58" ht="60" customHeight="1" x14ac:dyDescent="0.35">
      <c r="O105" s="2">
        <v>2.5</v>
      </c>
      <c r="Q105" s="3">
        <v>46098</v>
      </c>
      <c r="R105" s="58">
        <v>0.70833333333333337</v>
      </c>
      <c r="T105" s="2">
        <f t="shared" si="9"/>
        <v>106</v>
      </c>
      <c r="U105" s="27" t="s">
        <v>55</v>
      </c>
      <c r="V105" s="27" t="s">
        <v>55</v>
      </c>
      <c r="W105" s="27" t="s">
        <v>55</v>
      </c>
      <c r="X105" s="27" t="s">
        <v>55</v>
      </c>
      <c r="Y105" s="27" t="s">
        <v>55</v>
      </c>
      <c r="Z105" s="27" t="s">
        <v>1090</v>
      </c>
      <c r="AA105" s="27" t="s">
        <v>218</v>
      </c>
      <c r="AB105" s="27">
        <v>17</v>
      </c>
      <c r="AC105" s="27" t="s">
        <v>55</v>
      </c>
      <c r="AD105" s="27" t="s">
        <v>55</v>
      </c>
      <c r="AE105" s="27" t="s">
        <v>55</v>
      </c>
      <c r="AR105" s="2" t="s">
        <v>55</v>
      </c>
    </row>
    <row r="106" spans="1:58" ht="60" customHeight="1" x14ac:dyDescent="0.35">
      <c r="O106" s="2">
        <v>2.5</v>
      </c>
      <c r="Q106" s="3">
        <v>46105</v>
      </c>
      <c r="R106" s="58">
        <v>0.73888888888888893</v>
      </c>
      <c r="T106" s="2">
        <f t="shared" si="9"/>
        <v>113</v>
      </c>
      <c r="U106" s="27" t="s">
        <v>55</v>
      </c>
      <c r="V106" s="27" t="s">
        <v>55</v>
      </c>
      <c r="W106" s="27" t="s">
        <v>55</v>
      </c>
      <c r="X106" s="27" t="s">
        <v>55</v>
      </c>
      <c r="Y106" s="27" t="s">
        <v>55</v>
      </c>
      <c r="Z106" s="27" t="s">
        <v>974</v>
      </c>
      <c r="AA106" s="27" t="s">
        <v>267</v>
      </c>
      <c r="AB106" s="27">
        <v>17</v>
      </c>
      <c r="AC106" s="27" t="s">
        <v>55</v>
      </c>
      <c r="AD106" s="27" t="s">
        <v>55</v>
      </c>
      <c r="AE106" s="27" t="s">
        <v>55</v>
      </c>
      <c r="AR106" s="2" t="s">
        <v>55</v>
      </c>
    </row>
    <row r="107" spans="1:58" ht="60" customHeight="1" x14ac:dyDescent="0.35">
      <c r="O107" s="2">
        <v>2.75</v>
      </c>
      <c r="Q107" s="3">
        <v>46112</v>
      </c>
      <c r="R107" s="58">
        <v>0.76388888888888884</v>
      </c>
      <c r="T107" s="2">
        <f t="shared" si="9"/>
        <v>120</v>
      </c>
      <c r="U107" s="27" t="s">
        <v>55</v>
      </c>
      <c r="V107" s="27" t="s">
        <v>55</v>
      </c>
      <c r="W107" s="27" t="s">
        <v>55</v>
      </c>
      <c r="X107" s="27" t="s">
        <v>55</v>
      </c>
      <c r="Y107" s="27" t="s">
        <v>55</v>
      </c>
      <c r="Z107" s="27" t="s">
        <v>1167</v>
      </c>
      <c r="AA107" s="27" t="s">
        <v>1168</v>
      </c>
      <c r="AB107" s="27">
        <v>17</v>
      </c>
      <c r="AC107" s="27" t="s">
        <v>55</v>
      </c>
      <c r="AD107" s="27" t="s">
        <v>55</v>
      </c>
      <c r="AE107" s="27" t="s">
        <v>55</v>
      </c>
      <c r="AR107" s="2" t="s">
        <v>55</v>
      </c>
    </row>
    <row r="108" spans="1:58" ht="60" customHeight="1" x14ac:dyDescent="0.35"/>
    <row r="109" spans="1:58" ht="60" customHeight="1" x14ac:dyDescent="0.35">
      <c r="A109" s="22">
        <v>6</v>
      </c>
      <c r="B109" s="137" t="s">
        <v>656</v>
      </c>
      <c r="C109" s="119">
        <v>45667</v>
      </c>
      <c r="D109" s="3">
        <v>45998</v>
      </c>
      <c r="E109" s="44">
        <f t="shared" si="4"/>
        <v>331</v>
      </c>
      <c r="F109" s="44">
        <f t="shared" si="5"/>
        <v>0.9068493150684932</v>
      </c>
      <c r="G109" s="44">
        <f t="shared" si="6"/>
        <v>0.62916666666666665</v>
      </c>
      <c r="H109" s="2" t="s">
        <v>10</v>
      </c>
      <c r="I109" s="56"/>
      <c r="J109" s="2">
        <v>4121</v>
      </c>
      <c r="M109" s="2">
        <v>4122</v>
      </c>
      <c r="O109" s="2">
        <v>2.5</v>
      </c>
      <c r="P109" s="2" t="s">
        <v>976</v>
      </c>
      <c r="Q109" s="3">
        <v>46007</v>
      </c>
      <c r="R109" s="58">
        <v>0.78333333333333333</v>
      </c>
      <c r="T109" s="2">
        <f>Q109-$D$109</f>
        <v>9</v>
      </c>
      <c r="U109" s="27">
        <v>27.34</v>
      </c>
      <c r="V109" s="27">
        <v>12.94</v>
      </c>
      <c r="W109" s="27">
        <v>1.89</v>
      </c>
      <c r="X109" s="27">
        <v>10.25</v>
      </c>
      <c r="Y109" s="27">
        <v>11.58</v>
      </c>
      <c r="Z109" s="27" t="s">
        <v>124</v>
      </c>
      <c r="AA109" s="27" t="s">
        <v>647</v>
      </c>
      <c r="AB109" s="27">
        <v>9</v>
      </c>
      <c r="AC109" s="27" t="s">
        <v>55</v>
      </c>
      <c r="AD109" s="27" t="s">
        <v>55</v>
      </c>
      <c r="AE109" s="27" t="s">
        <v>55</v>
      </c>
      <c r="AR109" s="2" t="s">
        <v>107</v>
      </c>
      <c r="AS109" s="2">
        <v>0.74</v>
      </c>
      <c r="AT109" s="2">
        <v>2.21</v>
      </c>
      <c r="AU109" s="2">
        <v>12.93</v>
      </c>
      <c r="AV109" s="2">
        <v>3.88</v>
      </c>
      <c r="AW109" s="2">
        <v>50.14</v>
      </c>
      <c r="AX109" s="2">
        <v>16.66</v>
      </c>
      <c r="AY109" s="2">
        <v>7.41</v>
      </c>
      <c r="AZ109" s="2">
        <v>0.44</v>
      </c>
      <c r="BA109" s="2">
        <v>1.01</v>
      </c>
      <c r="BB109" s="2">
        <v>7.0000000000000007E-2</v>
      </c>
      <c r="BC109" s="2">
        <v>0.11</v>
      </c>
      <c r="BD109" s="2">
        <v>34</v>
      </c>
      <c r="BE109" s="2">
        <v>120</v>
      </c>
    </row>
    <row r="110" spans="1:58" ht="60" customHeight="1" x14ac:dyDescent="0.35">
      <c r="B110" s="20" t="s">
        <v>850</v>
      </c>
      <c r="O110" s="2">
        <v>2.25</v>
      </c>
      <c r="Q110" s="3">
        <v>46010</v>
      </c>
      <c r="R110" s="58">
        <v>0.72291666666666665</v>
      </c>
      <c r="T110" s="2">
        <f>Q110-$D$109</f>
        <v>12</v>
      </c>
      <c r="U110" s="27">
        <v>22.46</v>
      </c>
      <c r="V110" s="27">
        <v>13.82</v>
      </c>
      <c r="W110" s="27">
        <v>2.14</v>
      </c>
      <c r="X110" s="27">
        <v>14.34</v>
      </c>
      <c r="Y110" s="27">
        <v>10.8</v>
      </c>
      <c r="Z110" s="27" t="s">
        <v>55</v>
      </c>
      <c r="AA110" s="27" t="s">
        <v>360</v>
      </c>
      <c r="AB110" s="27">
        <v>9</v>
      </c>
      <c r="AC110" s="27" t="s">
        <v>55</v>
      </c>
      <c r="AD110" s="27" t="s">
        <v>55</v>
      </c>
      <c r="AE110" s="27" t="s">
        <v>55</v>
      </c>
      <c r="AR110" s="2" t="s">
        <v>50</v>
      </c>
      <c r="BF110" s="2" t="s">
        <v>671</v>
      </c>
    </row>
    <row r="111" spans="1:58" ht="60" customHeight="1" x14ac:dyDescent="0.35">
      <c r="B111" s="20" t="s">
        <v>1129</v>
      </c>
      <c r="O111" s="2">
        <v>2.25</v>
      </c>
      <c r="Q111" s="3">
        <v>46013</v>
      </c>
      <c r="R111" s="58">
        <v>0.52847222222222223</v>
      </c>
      <c r="T111" s="2">
        <f t="shared" ref="T111:T137" si="10">Q111-$D$109</f>
        <v>15</v>
      </c>
      <c r="U111" s="27">
        <v>26.73</v>
      </c>
      <c r="V111" s="27" t="s">
        <v>677</v>
      </c>
      <c r="W111" s="27">
        <v>2.94</v>
      </c>
      <c r="X111" s="27">
        <v>9.98</v>
      </c>
      <c r="Y111" s="27" t="s">
        <v>678</v>
      </c>
      <c r="Z111" s="27" t="s">
        <v>55</v>
      </c>
      <c r="AA111" s="27" t="s">
        <v>55</v>
      </c>
      <c r="AB111" s="27">
        <v>9</v>
      </c>
      <c r="AC111" s="27" t="s">
        <v>55</v>
      </c>
      <c r="AD111" s="27" t="s">
        <v>55</v>
      </c>
      <c r="AE111" s="27" t="s">
        <v>55</v>
      </c>
      <c r="AR111" s="38" t="s">
        <v>50</v>
      </c>
    </row>
    <row r="112" spans="1:58" ht="60" customHeight="1" x14ac:dyDescent="0.35">
      <c r="O112" s="2">
        <v>2</v>
      </c>
      <c r="Q112" s="3">
        <v>46018</v>
      </c>
      <c r="R112" s="58">
        <v>0.49861111111111112</v>
      </c>
      <c r="T112" s="2">
        <f t="shared" si="10"/>
        <v>20</v>
      </c>
      <c r="U112" s="27">
        <v>17.420000000000002</v>
      </c>
      <c r="V112" s="27">
        <v>8.1199999999999992</v>
      </c>
      <c r="W112" s="27">
        <v>3.29</v>
      </c>
      <c r="X112" s="27">
        <v>6.68</v>
      </c>
      <c r="Y112" s="27">
        <v>6.49</v>
      </c>
      <c r="Z112" s="27" t="s">
        <v>688</v>
      </c>
      <c r="AA112" s="27" t="s">
        <v>203</v>
      </c>
      <c r="AB112" s="27">
        <v>9</v>
      </c>
      <c r="AC112" s="27" t="s">
        <v>55</v>
      </c>
      <c r="AD112" s="27" t="s">
        <v>55</v>
      </c>
      <c r="AE112" s="27" t="s">
        <v>55</v>
      </c>
      <c r="AR112" s="2" t="s">
        <v>682</v>
      </c>
      <c r="AS112" s="2">
        <v>0.69</v>
      </c>
      <c r="AT112" s="2">
        <v>1.31</v>
      </c>
      <c r="AU112" s="2">
        <v>16.27</v>
      </c>
      <c r="AV112" s="2">
        <v>3.22</v>
      </c>
      <c r="AW112" s="2">
        <v>52.46</v>
      </c>
      <c r="AX112" s="2">
        <v>27.3</v>
      </c>
      <c r="AY112" s="2">
        <v>14.47</v>
      </c>
      <c r="AZ112" s="2">
        <v>0.52500000000000002</v>
      </c>
      <c r="BA112" s="2">
        <v>1.1000000000000001</v>
      </c>
      <c r="BB112" s="2">
        <v>0.11</v>
      </c>
      <c r="BC112" s="2">
        <v>0.3</v>
      </c>
      <c r="BD112" s="2">
        <v>50</v>
      </c>
      <c r="BE112" s="2">
        <v>103</v>
      </c>
    </row>
    <row r="113" spans="15:58" ht="60" customHeight="1" x14ac:dyDescent="0.35">
      <c r="O113" s="2">
        <v>2</v>
      </c>
      <c r="Q113" s="3">
        <v>46021</v>
      </c>
      <c r="R113" s="58">
        <v>0.75486111111111109</v>
      </c>
      <c r="T113" s="2">
        <f t="shared" si="10"/>
        <v>23</v>
      </c>
      <c r="U113" s="27">
        <v>30.99</v>
      </c>
      <c r="V113" s="27">
        <v>17.05</v>
      </c>
      <c r="W113" s="27">
        <v>2.14</v>
      </c>
      <c r="X113" s="27">
        <v>14.58</v>
      </c>
      <c r="Y113" s="27">
        <v>4.6100000000000003</v>
      </c>
      <c r="Z113" s="27" t="s">
        <v>704</v>
      </c>
      <c r="AA113" s="27" t="s">
        <v>703</v>
      </c>
      <c r="AB113" s="27">
        <v>9</v>
      </c>
      <c r="AC113" s="27" t="s">
        <v>55</v>
      </c>
      <c r="AD113" s="27" t="s">
        <v>55</v>
      </c>
      <c r="AE113" s="27" t="s">
        <v>55</v>
      </c>
      <c r="AR113" s="2" t="s">
        <v>107</v>
      </c>
      <c r="AS113" s="2">
        <v>0.77</v>
      </c>
      <c r="AT113" s="2">
        <v>1.62</v>
      </c>
      <c r="AU113" s="2">
        <v>11.47</v>
      </c>
      <c r="AV113" s="2">
        <v>4.3899999999999997</v>
      </c>
      <c r="AW113" s="2">
        <v>50.41</v>
      </c>
      <c r="AX113" s="2">
        <v>23.78</v>
      </c>
      <c r="AY113" s="2">
        <v>13.2</v>
      </c>
      <c r="AZ113" s="2">
        <v>0.55000000000000004</v>
      </c>
      <c r="BA113" s="2">
        <v>1.02</v>
      </c>
      <c r="BB113" s="2">
        <v>0.05</v>
      </c>
      <c r="BC113" s="2">
        <v>0.23</v>
      </c>
      <c r="BD113" s="2">
        <v>30</v>
      </c>
      <c r="BE113" s="2">
        <v>94</v>
      </c>
      <c r="BF113" s="2" t="s">
        <v>671</v>
      </c>
    </row>
    <row r="114" spans="15:58" ht="60" customHeight="1" x14ac:dyDescent="0.35">
      <c r="O114" s="2">
        <v>2</v>
      </c>
      <c r="Q114" s="3">
        <v>46024</v>
      </c>
      <c r="R114" s="58" t="s">
        <v>715</v>
      </c>
      <c r="T114" s="2">
        <f t="shared" si="10"/>
        <v>26</v>
      </c>
      <c r="U114" s="27">
        <v>21.41</v>
      </c>
      <c r="V114" s="27" t="s">
        <v>716</v>
      </c>
      <c r="W114" s="27">
        <v>1.55</v>
      </c>
      <c r="X114" s="27">
        <v>9.52</v>
      </c>
      <c r="Y114" s="27">
        <v>5.0599999999999996</v>
      </c>
      <c r="Z114" s="27" t="s">
        <v>448</v>
      </c>
      <c r="AA114" s="27" t="s">
        <v>717</v>
      </c>
      <c r="AB114" s="27">
        <v>9</v>
      </c>
      <c r="AC114" s="27" t="s">
        <v>55</v>
      </c>
      <c r="AD114" s="27" t="s">
        <v>55</v>
      </c>
      <c r="AE114" s="27" t="s">
        <v>55</v>
      </c>
      <c r="AR114" s="2" t="s">
        <v>682</v>
      </c>
      <c r="AS114" s="2">
        <v>0.63</v>
      </c>
      <c r="AT114" s="2">
        <v>1.1000000000000001</v>
      </c>
      <c r="AU114" s="2">
        <v>22.66</v>
      </c>
      <c r="AV114" s="2">
        <v>2.67</v>
      </c>
      <c r="AW114" s="2">
        <v>60.56</v>
      </c>
      <c r="AX114" s="2">
        <v>34.17</v>
      </c>
      <c r="AY114" s="2">
        <v>19.13</v>
      </c>
      <c r="AZ114" s="2">
        <v>0.55500000000000005</v>
      </c>
      <c r="BA114" s="2">
        <v>1.47</v>
      </c>
      <c r="BB114" s="2">
        <v>0.21</v>
      </c>
      <c r="BC114" s="2">
        <v>0.47</v>
      </c>
      <c r="BD114" s="2">
        <v>48</v>
      </c>
      <c r="BE114" s="2">
        <v>92</v>
      </c>
      <c r="BF114" s="2" t="s">
        <v>671</v>
      </c>
    </row>
    <row r="115" spans="15:58" ht="60" customHeight="1" x14ac:dyDescent="0.35">
      <c r="O115" s="2">
        <v>2</v>
      </c>
      <c r="Q115" s="3">
        <v>46027</v>
      </c>
      <c r="R115" s="58">
        <v>0.70486111111111116</v>
      </c>
      <c r="T115" s="2">
        <f t="shared" si="10"/>
        <v>29</v>
      </c>
      <c r="U115" s="27">
        <v>19.11</v>
      </c>
      <c r="V115" s="27">
        <v>10.17</v>
      </c>
      <c r="W115" s="27">
        <v>3.2</v>
      </c>
      <c r="X115" s="27">
        <v>7.24</v>
      </c>
      <c r="Y115" s="27">
        <v>2.1</v>
      </c>
      <c r="Z115" s="27" t="s">
        <v>731</v>
      </c>
      <c r="AA115" s="27" t="s">
        <v>730</v>
      </c>
      <c r="AB115" s="27">
        <v>9</v>
      </c>
      <c r="AC115" s="27" t="s">
        <v>55</v>
      </c>
      <c r="AD115" s="27" t="s">
        <v>55</v>
      </c>
      <c r="AE115" s="27" t="s">
        <v>55</v>
      </c>
      <c r="AR115" s="2" t="s">
        <v>107</v>
      </c>
      <c r="AS115" s="2">
        <v>0.76</v>
      </c>
      <c r="AT115" s="2">
        <v>1.85</v>
      </c>
      <c r="AU115" s="2">
        <v>11.72</v>
      </c>
      <c r="AV115" s="2">
        <v>4.2300000000000004</v>
      </c>
      <c r="AW115" s="2">
        <v>49.62</v>
      </c>
      <c r="AX115" s="2">
        <v>20.28</v>
      </c>
      <c r="AY115" s="2">
        <v>9.33</v>
      </c>
      <c r="AZ115" s="2">
        <v>0.45500000000000002</v>
      </c>
      <c r="BA115" s="2">
        <v>0.98</v>
      </c>
      <c r="BB115" s="2">
        <v>0.05</v>
      </c>
      <c r="BC115" s="2">
        <v>0.16</v>
      </c>
      <c r="BD115" s="2">
        <v>48</v>
      </c>
      <c r="BE115" s="2">
        <v>106</v>
      </c>
    </row>
    <row r="116" spans="15:58" ht="60" customHeight="1" x14ac:dyDescent="0.35">
      <c r="O116" s="2">
        <v>2</v>
      </c>
      <c r="Q116" s="3">
        <v>46031</v>
      </c>
      <c r="R116" s="58">
        <v>0.7368055555555556</v>
      </c>
      <c r="T116" s="2">
        <f t="shared" si="10"/>
        <v>33</v>
      </c>
      <c r="U116" s="27">
        <v>20.54</v>
      </c>
      <c r="V116" s="27">
        <v>10.84</v>
      </c>
      <c r="W116" s="27">
        <v>1.7</v>
      </c>
      <c r="X116" s="27">
        <v>10.55</v>
      </c>
      <c r="Y116" s="27">
        <v>3.88</v>
      </c>
      <c r="Z116" s="27" t="s">
        <v>101</v>
      </c>
      <c r="AA116" s="27" t="s">
        <v>745</v>
      </c>
      <c r="AB116" s="27">
        <v>9</v>
      </c>
      <c r="AC116" s="27" t="s">
        <v>55</v>
      </c>
      <c r="AD116" s="27" t="s">
        <v>55</v>
      </c>
      <c r="AE116" s="27" t="s">
        <v>55</v>
      </c>
      <c r="AR116" s="2" t="s">
        <v>52</v>
      </c>
      <c r="AS116" s="2">
        <v>1</v>
      </c>
      <c r="AT116" s="2">
        <v>4.92</v>
      </c>
      <c r="AU116" s="2">
        <v>0</v>
      </c>
      <c r="AV116" s="2" t="s">
        <v>89</v>
      </c>
      <c r="AW116" s="2">
        <v>22.96</v>
      </c>
      <c r="AX116" s="2">
        <v>4.63</v>
      </c>
      <c r="AY116" s="2">
        <v>3.43</v>
      </c>
      <c r="AZ116" s="2">
        <v>0.73499999999999999</v>
      </c>
      <c r="BA116" s="2">
        <v>0.21</v>
      </c>
      <c r="BB116" s="2">
        <v>0</v>
      </c>
      <c r="BC116" s="2">
        <v>0.01</v>
      </c>
      <c r="BD116" s="2">
        <v>46</v>
      </c>
      <c r="BE116" s="2">
        <v>77</v>
      </c>
    </row>
    <row r="117" spans="15:58" ht="60" customHeight="1" x14ac:dyDescent="0.35">
      <c r="O117" s="2">
        <v>2</v>
      </c>
      <c r="Q117" s="3">
        <v>46035</v>
      </c>
      <c r="R117" s="58">
        <v>0.75624999999999998</v>
      </c>
      <c r="T117" s="2">
        <f t="shared" si="10"/>
        <v>37</v>
      </c>
      <c r="U117" s="27">
        <v>18.100000000000001</v>
      </c>
      <c r="V117" s="27">
        <v>8.94</v>
      </c>
      <c r="W117" s="27">
        <v>1.77</v>
      </c>
      <c r="X117" s="27">
        <v>6.32</v>
      </c>
      <c r="Y117" s="27">
        <v>4.1399999999999997</v>
      </c>
      <c r="Z117" s="27" t="s">
        <v>133</v>
      </c>
      <c r="AA117" s="37" t="s">
        <v>753</v>
      </c>
      <c r="AB117" s="27">
        <v>9</v>
      </c>
      <c r="AC117" s="27" t="s">
        <v>55</v>
      </c>
      <c r="AD117" s="27" t="s">
        <v>55</v>
      </c>
      <c r="AE117" s="27" t="s">
        <v>55</v>
      </c>
      <c r="AR117" s="2" t="s">
        <v>52</v>
      </c>
      <c r="AS117" s="2">
        <v>1</v>
      </c>
      <c r="AT117" s="2">
        <v>4.78</v>
      </c>
      <c r="AU117" s="2">
        <v>0</v>
      </c>
      <c r="AV117" s="2" t="s">
        <v>89</v>
      </c>
      <c r="AW117" s="2">
        <v>28.88</v>
      </c>
      <c r="AX117" s="2">
        <v>5.98</v>
      </c>
      <c r="AY117" s="2">
        <v>3.26</v>
      </c>
      <c r="AZ117" s="2">
        <v>0.54</v>
      </c>
      <c r="BA117" s="2">
        <v>0.33</v>
      </c>
      <c r="BB117" s="2">
        <v>0</v>
      </c>
      <c r="BC117" s="2">
        <v>0.01</v>
      </c>
      <c r="BD117" s="2">
        <v>50</v>
      </c>
      <c r="BE117" s="2">
        <v>98</v>
      </c>
    </row>
    <row r="118" spans="15:58" ht="60" customHeight="1" x14ac:dyDescent="0.35">
      <c r="O118" s="2">
        <v>2</v>
      </c>
      <c r="Q118" s="3">
        <v>46038</v>
      </c>
      <c r="R118" s="58">
        <v>0.55972222222222223</v>
      </c>
      <c r="T118" s="2">
        <f t="shared" si="10"/>
        <v>40</v>
      </c>
      <c r="U118" s="27">
        <v>17.32</v>
      </c>
      <c r="V118" s="27">
        <v>6.85</v>
      </c>
      <c r="W118" s="27">
        <v>1.52</v>
      </c>
      <c r="X118" s="27">
        <v>4.4400000000000004</v>
      </c>
      <c r="Y118" s="27">
        <v>2.61</v>
      </c>
      <c r="Z118" s="27" t="s">
        <v>235</v>
      </c>
      <c r="AA118" s="27" t="s">
        <v>769</v>
      </c>
      <c r="AB118" s="27">
        <v>9</v>
      </c>
      <c r="AC118" s="27" t="s">
        <v>55</v>
      </c>
      <c r="AD118" s="27" t="s">
        <v>55</v>
      </c>
      <c r="AE118" s="27" t="s">
        <v>55</v>
      </c>
      <c r="AR118" s="2" t="s">
        <v>52</v>
      </c>
      <c r="AS118" s="2">
        <v>1</v>
      </c>
      <c r="AT118" s="2">
        <v>5.32</v>
      </c>
      <c r="AU118" s="2">
        <v>0</v>
      </c>
      <c r="AV118" s="2" t="s">
        <v>89</v>
      </c>
      <c r="AW118" s="2">
        <v>22.68</v>
      </c>
      <c r="AX118" s="2">
        <v>4.22</v>
      </c>
      <c r="AY118" s="2">
        <v>2.4300000000000002</v>
      </c>
      <c r="AZ118" s="2">
        <v>0.56999999999999995</v>
      </c>
      <c r="BA118" s="2">
        <v>0.21</v>
      </c>
      <c r="BB118" s="2">
        <v>0</v>
      </c>
      <c r="BC118" s="2">
        <v>0.01</v>
      </c>
      <c r="BD118" s="2">
        <v>54</v>
      </c>
      <c r="BE118" s="2">
        <v>100</v>
      </c>
    </row>
    <row r="119" spans="15:58" ht="60" customHeight="1" x14ac:dyDescent="0.35">
      <c r="O119" s="2">
        <v>2</v>
      </c>
      <c r="Q119" s="3">
        <v>46041</v>
      </c>
      <c r="R119" s="58">
        <v>0.69652777777777775</v>
      </c>
      <c r="T119" s="2">
        <f t="shared" si="10"/>
        <v>43</v>
      </c>
      <c r="U119" s="27">
        <v>19.86</v>
      </c>
      <c r="V119" s="27">
        <v>9.8699999999999992</v>
      </c>
      <c r="W119" s="27">
        <v>2.14</v>
      </c>
      <c r="X119" s="27">
        <v>7.49</v>
      </c>
      <c r="Y119" s="27">
        <v>2.82</v>
      </c>
      <c r="Z119" s="27" t="s">
        <v>783</v>
      </c>
      <c r="AA119" s="27" t="s">
        <v>782</v>
      </c>
      <c r="AB119" s="27">
        <v>9</v>
      </c>
      <c r="AC119" s="27" t="s">
        <v>55</v>
      </c>
      <c r="AD119" s="27" t="s">
        <v>55</v>
      </c>
      <c r="AE119" s="27" t="s">
        <v>55</v>
      </c>
      <c r="AR119" s="2" t="s">
        <v>52</v>
      </c>
      <c r="AS119" s="2">
        <v>1</v>
      </c>
      <c r="AT119" s="2">
        <v>3.95</v>
      </c>
      <c r="AU119" s="2">
        <v>0</v>
      </c>
      <c r="AV119" s="2" t="s">
        <v>89</v>
      </c>
      <c r="AW119" s="2">
        <v>32.47</v>
      </c>
      <c r="AX119" s="2">
        <v>8.14</v>
      </c>
      <c r="AY119" s="2">
        <v>4.5999999999999996</v>
      </c>
      <c r="AZ119" s="2">
        <v>0.56000000000000005</v>
      </c>
      <c r="BA119" s="2">
        <v>0.42</v>
      </c>
      <c r="BB119" s="2">
        <v>0</v>
      </c>
      <c r="BC119" s="2">
        <v>0.03</v>
      </c>
      <c r="BD119" s="2">
        <v>54</v>
      </c>
      <c r="BE119" s="2">
        <v>98</v>
      </c>
    </row>
    <row r="120" spans="15:58" ht="60" customHeight="1" x14ac:dyDescent="0.35">
      <c r="O120" s="2">
        <v>2</v>
      </c>
      <c r="Q120" s="3">
        <v>46045</v>
      </c>
      <c r="R120" s="58">
        <v>0.68888888888888888</v>
      </c>
      <c r="T120" s="2">
        <f t="shared" si="10"/>
        <v>47</v>
      </c>
      <c r="U120" s="27">
        <v>17.260000000000002</v>
      </c>
      <c r="V120" s="27">
        <v>9.3699999999999992</v>
      </c>
      <c r="W120" s="27">
        <v>1.68</v>
      </c>
      <c r="X120" s="27">
        <v>5.91</v>
      </c>
      <c r="Y120" s="27">
        <v>3.21</v>
      </c>
      <c r="Z120" s="27" t="s">
        <v>345</v>
      </c>
      <c r="AA120" s="27" t="s">
        <v>798</v>
      </c>
      <c r="AB120" s="27">
        <v>9</v>
      </c>
      <c r="AC120" s="27" t="s">
        <v>55</v>
      </c>
      <c r="AD120" s="27" t="s">
        <v>55</v>
      </c>
      <c r="AE120" s="27" t="s">
        <v>55</v>
      </c>
      <c r="AR120" s="2" t="s">
        <v>52</v>
      </c>
      <c r="AS120" s="2">
        <v>0.26</v>
      </c>
      <c r="AT120" s="2">
        <v>0.56999999999999995</v>
      </c>
      <c r="AU120" s="2">
        <v>27.18</v>
      </c>
      <c r="AV120" s="2">
        <v>1.34</v>
      </c>
      <c r="AW120" s="2">
        <v>36.520000000000003</v>
      </c>
      <c r="AX120" s="2">
        <v>16.18</v>
      </c>
      <c r="AY120" s="2">
        <v>11.89</v>
      </c>
      <c r="AZ120" s="2">
        <v>0.73</v>
      </c>
      <c r="BA120" s="2">
        <v>0.53</v>
      </c>
      <c r="BB120" s="2">
        <v>0.3</v>
      </c>
      <c r="BC120" s="2">
        <v>0.1</v>
      </c>
      <c r="BD120" s="2">
        <v>52</v>
      </c>
      <c r="BE120" s="2">
        <v>81</v>
      </c>
    </row>
    <row r="121" spans="15:58" ht="60" customHeight="1" x14ac:dyDescent="0.35">
      <c r="O121" s="2">
        <v>2</v>
      </c>
      <c r="Q121" s="3">
        <v>46049</v>
      </c>
      <c r="R121" s="58">
        <v>0.75972222222222219</v>
      </c>
      <c r="T121" s="2">
        <f t="shared" si="10"/>
        <v>51</v>
      </c>
      <c r="U121" s="27">
        <v>15.19</v>
      </c>
      <c r="V121" s="27">
        <v>8.09</v>
      </c>
      <c r="W121" s="27">
        <v>1.26</v>
      </c>
      <c r="X121" s="27">
        <v>3.55</v>
      </c>
      <c r="Y121" s="27">
        <v>1.2</v>
      </c>
      <c r="Z121" s="27" t="s">
        <v>92</v>
      </c>
      <c r="AA121" s="27" t="s">
        <v>807</v>
      </c>
      <c r="AB121" s="27">
        <v>9</v>
      </c>
      <c r="AC121" s="27" t="s">
        <v>55</v>
      </c>
      <c r="AD121" s="27" t="s">
        <v>55</v>
      </c>
      <c r="AE121" s="27" t="s">
        <v>55</v>
      </c>
      <c r="AR121" s="2" t="s">
        <v>682</v>
      </c>
      <c r="AS121" s="2">
        <v>1</v>
      </c>
      <c r="AT121" s="2">
        <v>6.36</v>
      </c>
      <c r="AU121" s="2">
        <v>0</v>
      </c>
      <c r="AV121" s="2" t="s">
        <v>89</v>
      </c>
      <c r="AW121" s="2">
        <v>23.33</v>
      </c>
      <c r="AX121" s="2">
        <v>3.65</v>
      </c>
      <c r="AY121" s="2">
        <v>3.1</v>
      </c>
      <c r="AZ121" s="2">
        <v>0.84499999999999997</v>
      </c>
      <c r="BA121" s="2">
        <v>0.22</v>
      </c>
      <c r="BB121" s="2">
        <v>0</v>
      </c>
      <c r="BC121" s="2">
        <v>0.01</v>
      </c>
      <c r="BD121" s="2">
        <v>46</v>
      </c>
      <c r="BE121" s="2">
        <v>68</v>
      </c>
    </row>
    <row r="122" spans="15:58" ht="60" customHeight="1" x14ac:dyDescent="0.35">
      <c r="O122" s="2">
        <v>2</v>
      </c>
      <c r="Q122" s="3">
        <v>46052</v>
      </c>
      <c r="R122" s="58">
        <v>0.75486111111111109</v>
      </c>
      <c r="T122" s="2">
        <f t="shared" si="10"/>
        <v>54</v>
      </c>
      <c r="U122" s="27">
        <v>17.34</v>
      </c>
      <c r="V122" s="27">
        <v>10.31</v>
      </c>
      <c r="W122" s="27" t="s">
        <v>821</v>
      </c>
      <c r="X122" s="27">
        <v>5.95</v>
      </c>
      <c r="Y122" s="27">
        <v>2.4500000000000002</v>
      </c>
      <c r="Z122" s="27" t="s">
        <v>822</v>
      </c>
      <c r="AA122" s="27" t="s">
        <v>203</v>
      </c>
      <c r="AB122" s="27">
        <v>9</v>
      </c>
      <c r="AC122" s="27" t="s">
        <v>55</v>
      </c>
      <c r="AD122" s="27" t="s">
        <v>55</v>
      </c>
      <c r="AE122" s="27" t="s">
        <v>55</v>
      </c>
      <c r="AR122" s="2" t="s">
        <v>52</v>
      </c>
      <c r="AS122" s="2">
        <v>1</v>
      </c>
      <c r="AT122" s="2">
        <v>3.65</v>
      </c>
      <c r="AU122" s="2">
        <v>0</v>
      </c>
      <c r="AV122" s="2" t="s">
        <v>89</v>
      </c>
      <c r="AW122" s="2">
        <v>42.04</v>
      </c>
      <c r="AX122" s="2">
        <v>11.44</v>
      </c>
      <c r="AY122" s="2">
        <v>9.2100000000000009</v>
      </c>
      <c r="AZ122" s="2">
        <v>0.8</v>
      </c>
      <c r="BA122" s="2">
        <v>0.71</v>
      </c>
      <c r="BB122" s="2">
        <v>0</v>
      </c>
      <c r="BC122" s="2">
        <v>0.05</v>
      </c>
      <c r="BD122" s="2">
        <v>52</v>
      </c>
      <c r="BE122" s="2">
        <v>70</v>
      </c>
    </row>
    <row r="123" spans="15:58" ht="60" customHeight="1" x14ac:dyDescent="0.35">
      <c r="O123" s="2">
        <v>2</v>
      </c>
      <c r="Q123" s="3">
        <v>46056</v>
      </c>
      <c r="R123" s="58">
        <v>0.65</v>
      </c>
      <c r="T123" s="2">
        <f t="shared" si="10"/>
        <v>58</v>
      </c>
      <c r="U123" s="27">
        <v>14.67</v>
      </c>
      <c r="V123" s="27">
        <v>7.45</v>
      </c>
      <c r="W123" s="27">
        <v>1.77</v>
      </c>
      <c r="X123" s="27">
        <v>5.98</v>
      </c>
      <c r="Y123" s="27">
        <v>2.92</v>
      </c>
      <c r="Z123" s="27" t="s">
        <v>834</v>
      </c>
      <c r="AA123" s="27" t="s">
        <v>139</v>
      </c>
      <c r="AB123" s="27">
        <v>9</v>
      </c>
      <c r="AC123" s="27" t="s">
        <v>55</v>
      </c>
      <c r="AD123" s="27" t="s">
        <v>55</v>
      </c>
      <c r="AE123" s="27" t="s">
        <v>55</v>
      </c>
      <c r="AR123" s="2" t="s">
        <v>52</v>
      </c>
      <c r="AS123" s="2">
        <v>0.63</v>
      </c>
      <c r="AT123" s="2">
        <v>1.52</v>
      </c>
      <c r="AU123" s="2">
        <v>24.09</v>
      </c>
      <c r="AV123" s="2">
        <v>2.69</v>
      </c>
      <c r="AW123" s="2">
        <v>64.73</v>
      </c>
      <c r="AX123" s="2">
        <v>26.4</v>
      </c>
      <c r="AY123" s="2">
        <v>12.94</v>
      </c>
      <c r="AZ123" s="2">
        <v>0.48499999999999999</v>
      </c>
      <c r="BA123" s="2">
        <v>1.68</v>
      </c>
      <c r="BB123" s="2">
        <v>0.23</v>
      </c>
      <c r="BC123" s="2">
        <v>0.28000000000000003</v>
      </c>
      <c r="BD123" s="2">
        <v>46</v>
      </c>
      <c r="BE123" s="2">
        <v>97</v>
      </c>
    </row>
    <row r="124" spans="15:58" ht="60" customHeight="1" x14ac:dyDescent="0.35">
      <c r="O124" s="2">
        <v>2.25</v>
      </c>
      <c r="Q124" s="3">
        <v>46059</v>
      </c>
      <c r="R124" s="58">
        <v>0.45208333333333334</v>
      </c>
      <c r="T124" s="2">
        <f t="shared" si="10"/>
        <v>61</v>
      </c>
      <c r="U124" s="27" t="s">
        <v>55</v>
      </c>
      <c r="V124" s="27" t="s">
        <v>55</v>
      </c>
      <c r="W124" s="27" t="s">
        <v>55</v>
      </c>
      <c r="X124" s="27" t="s">
        <v>55</v>
      </c>
      <c r="Y124" s="27" t="s">
        <v>55</v>
      </c>
      <c r="Z124" s="27" t="s">
        <v>407</v>
      </c>
      <c r="AA124" s="27" t="s">
        <v>134</v>
      </c>
      <c r="AB124" s="27">
        <v>9</v>
      </c>
      <c r="AC124" s="27" t="s">
        <v>55</v>
      </c>
      <c r="AD124" s="27" t="s">
        <v>55</v>
      </c>
      <c r="AE124" s="27" t="s">
        <v>55</v>
      </c>
      <c r="AR124" s="2" t="s">
        <v>55</v>
      </c>
    </row>
    <row r="125" spans="15:58" ht="60" customHeight="1" x14ac:dyDescent="0.35">
      <c r="O125" s="2">
        <v>2.25</v>
      </c>
      <c r="Q125" s="3">
        <v>46062</v>
      </c>
      <c r="R125" s="58">
        <v>0.50416666666666665</v>
      </c>
      <c r="T125" s="2">
        <f t="shared" si="10"/>
        <v>64</v>
      </c>
      <c r="U125" s="27" t="s">
        <v>55</v>
      </c>
      <c r="V125" s="27" t="s">
        <v>55</v>
      </c>
      <c r="W125" s="27" t="s">
        <v>55</v>
      </c>
      <c r="X125" s="27" t="s">
        <v>55</v>
      </c>
      <c r="Y125" s="27" t="s">
        <v>55</v>
      </c>
      <c r="Z125" s="27" t="s">
        <v>864</v>
      </c>
      <c r="AA125" s="27" t="s">
        <v>100</v>
      </c>
      <c r="AB125" s="27">
        <v>9</v>
      </c>
      <c r="AC125" s="27" t="s">
        <v>55</v>
      </c>
      <c r="AD125" s="27" t="s">
        <v>55</v>
      </c>
      <c r="AE125" s="27" t="s">
        <v>55</v>
      </c>
      <c r="AR125" s="2" t="s">
        <v>55</v>
      </c>
    </row>
    <row r="126" spans="15:58" ht="60" customHeight="1" x14ac:dyDescent="0.35">
      <c r="O126" s="2">
        <v>2.25</v>
      </c>
      <c r="Q126" s="3">
        <v>46066</v>
      </c>
      <c r="R126" s="58">
        <v>0.76597222222222217</v>
      </c>
      <c r="T126" s="2">
        <f t="shared" si="10"/>
        <v>68</v>
      </c>
      <c r="U126" s="27" t="s">
        <v>55</v>
      </c>
      <c r="V126" s="27" t="s">
        <v>55</v>
      </c>
      <c r="W126" s="27" t="s">
        <v>55</v>
      </c>
      <c r="X126" s="27" t="s">
        <v>55</v>
      </c>
      <c r="Y126" s="27" t="s">
        <v>55</v>
      </c>
      <c r="Z126" s="27" t="s">
        <v>186</v>
      </c>
      <c r="AA126" s="27" t="s">
        <v>890</v>
      </c>
      <c r="AB126" s="27">
        <v>9</v>
      </c>
      <c r="AC126" s="27" t="s">
        <v>55</v>
      </c>
      <c r="AD126" s="27" t="s">
        <v>55</v>
      </c>
      <c r="AE126" s="27" t="s">
        <v>55</v>
      </c>
      <c r="AR126" s="2" t="s">
        <v>55</v>
      </c>
    </row>
    <row r="127" spans="15:58" ht="60" customHeight="1" x14ac:dyDescent="0.35">
      <c r="O127" s="2">
        <v>2.25</v>
      </c>
      <c r="Q127" s="3">
        <v>46070</v>
      </c>
      <c r="R127" s="58">
        <v>0.77708333333333335</v>
      </c>
      <c r="T127" s="2">
        <f t="shared" si="10"/>
        <v>72</v>
      </c>
      <c r="U127" s="27" t="s">
        <v>55</v>
      </c>
      <c r="V127" s="27" t="s">
        <v>55</v>
      </c>
      <c r="W127" s="27" t="s">
        <v>55</v>
      </c>
      <c r="X127" s="27" t="s">
        <v>55</v>
      </c>
      <c r="Y127" s="27" t="s">
        <v>55</v>
      </c>
      <c r="Z127" s="27" t="s">
        <v>702</v>
      </c>
      <c r="AA127" s="27" t="s">
        <v>874</v>
      </c>
      <c r="AB127" s="27">
        <v>9</v>
      </c>
      <c r="AC127" s="27" t="s">
        <v>55</v>
      </c>
      <c r="AD127" s="27" t="s">
        <v>55</v>
      </c>
      <c r="AE127" s="27" t="s">
        <v>55</v>
      </c>
      <c r="AR127" s="2" t="s">
        <v>55</v>
      </c>
    </row>
    <row r="128" spans="15:58" ht="60" customHeight="1" x14ac:dyDescent="0.35">
      <c r="O128" s="2">
        <v>2.25</v>
      </c>
      <c r="Q128" s="3">
        <v>46074</v>
      </c>
      <c r="R128" s="58">
        <v>0.4201388888888889</v>
      </c>
      <c r="T128" s="2">
        <f t="shared" si="10"/>
        <v>76</v>
      </c>
      <c r="U128" s="27" t="s">
        <v>55</v>
      </c>
      <c r="V128" s="27" t="s">
        <v>55</v>
      </c>
      <c r="W128" s="27" t="s">
        <v>55</v>
      </c>
      <c r="X128" s="27" t="s">
        <v>55</v>
      </c>
      <c r="Y128" s="27" t="s">
        <v>55</v>
      </c>
      <c r="Z128" s="27" t="s">
        <v>916</v>
      </c>
      <c r="AA128" s="27" t="s">
        <v>917</v>
      </c>
      <c r="AB128" s="27">
        <v>9</v>
      </c>
      <c r="AC128" s="27" t="s">
        <v>55</v>
      </c>
      <c r="AD128" s="27" t="s">
        <v>55</v>
      </c>
      <c r="AE128" s="27" t="s">
        <v>55</v>
      </c>
      <c r="AR128" s="2" t="s">
        <v>55</v>
      </c>
    </row>
    <row r="129" spans="1:58" ht="60" customHeight="1" x14ac:dyDescent="0.35">
      <c r="O129" s="2">
        <v>2</v>
      </c>
      <c r="Q129" s="3">
        <v>46077</v>
      </c>
      <c r="R129" s="58">
        <v>0.78819444444444442</v>
      </c>
      <c r="T129" s="2">
        <f t="shared" si="10"/>
        <v>79</v>
      </c>
      <c r="U129" s="27" t="s">
        <v>55</v>
      </c>
      <c r="V129" s="27" t="s">
        <v>55</v>
      </c>
      <c r="W129" s="27" t="s">
        <v>55</v>
      </c>
      <c r="X129" s="27" t="s">
        <v>55</v>
      </c>
      <c r="Y129" s="27" t="s">
        <v>55</v>
      </c>
      <c r="Z129" s="27" t="s">
        <v>956</v>
      </c>
      <c r="AA129" s="27" t="s">
        <v>955</v>
      </c>
      <c r="AB129" s="27">
        <v>9</v>
      </c>
      <c r="AC129" s="27" t="s">
        <v>55</v>
      </c>
      <c r="AD129" s="27" t="s">
        <v>55</v>
      </c>
      <c r="AE129" s="27" t="s">
        <v>55</v>
      </c>
      <c r="AR129" s="2" t="s">
        <v>55</v>
      </c>
    </row>
    <row r="130" spans="1:58" ht="60" customHeight="1" x14ac:dyDescent="0.35">
      <c r="O130" s="2">
        <v>2.25</v>
      </c>
      <c r="Q130" s="3">
        <v>46080</v>
      </c>
      <c r="R130" s="58">
        <v>0.55069444444444449</v>
      </c>
      <c r="T130" s="2">
        <f t="shared" si="10"/>
        <v>82</v>
      </c>
      <c r="U130" s="27" t="s">
        <v>55</v>
      </c>
      <c r="V130" s="27" t="s">
        <v>55</v>
      </c>
      <c r="W130" s="27" t="s">
        <v>55</v>
      </c>
      <c r="X130" s="27" t="s">
        <v>55</v>
      </c>
      <c r="Y130" s="27" t="s">
        <v>55</v>
      </c>
      <c r="Z130" s="27" t="s">
        <v>975</v>
      </c>
      <c r="AA130" s="27" t="s">
        <v>305</v>
      </c>
      <c r="AB130" s="27">
        <v>9</v>
      </c>
      <c r="AC130" s="27" t="s">
        <v>55</v>
      </c>
      <c r="AD130" s="27" t="s">
        <v>55</v>
      </c>
      <c r="AE130" s="27" t="s">
        <v>55</v>
      </c>
      <c r="AR130" s="2" t="s">
        <v>55</v>
      </c>
    </row>
    <row r="131" spans="1:58" ht="60" customHeight="1" x14ac:dyDescent="0.35">
      <c r="O131" s="2">
        <v>2</v>
      </c>
      <c r="Q131" s="3">
        <v>46084</v>
      </c>
      <c r="R131" s="58">
        <v>0.80208333333333337</v>
      </c>
      <c r="T131" s="2">
        <f t="shared" si="10"/>
        <v>86</v>
      </c>
      <c r="U131" s="27" t="s">
        <v>55</v>
      </c>
      <c r="V131" s="27" t="s">
        <v>55</v>
      </c>
      <c r="W131" s="27" t="s">
        <v>55</v>
      </c>
      <c r="X131" s="27" t="s">
        <v>55</v>
      </c>
      <c r="Y131" s="27" t="s">
        <v>55</v>
      </c>
      <c r="Z131" s="27" t="s">
        <v>738</v>
      </c>
      <c r="AA131" s="27" t="s">
        <v>254</v>
      </c>
      <c r="AB131" s="27">
        <v>9</v>
      </c>
      <c r="AC131" s="27" t="s">
        <v>55</v>
      </c>
      <c r="AD131" s="27" t="s">
        <v>55</v>
      </c>
      <c r="AE131" s="27" t="s">
        <v>55</v>
      </c>
      <c r="AR131" s="2" t="s">
        <v>55</v>
      </c>
    </row>
    <row r="132" spans="1:58" ht="60" customHeight="1" x14ac:dyDescent="0.35">
      <c r="O132" s="2">
        <v>2.25</v>
      </c>
      <c r="Q132" s="3">
        <v>46088</v>
      </c>
      <c r="R132" s="58">
        <v>0.43055555555555558</v>
      </c>
      <c r="T132" s="2">
        <f t="shared" si="10"/>
        <v>90</v>
      </c>
      <c r="U132" s="27" t="s">
        <v>55</v>
      </c>
      <c r="V132" s="27" t="s">
        <v>55</v>
      </c>
      <c r="W132" s="27" t="s">
        <v>55</v>
      </c>
      <c r="X132" s="27" t="s">
        <v>55</v>
      </c>
      <c r="Y132" s="27" t="s">
        <v>55</v>
      </c>
      <c r="Z132" s="27" t="s">
        <v>1025</v>
      </c>
      <c r="AA132" s="27" t="s">
        <v>1024</v>
      </c>
      <c r="AB132" s="27">
        <v>9</v>
      </c>
      <c r="AC132" s="27" t="s">
        <v>55</v>
      </c>
      <c r="AD132" s="27" t="s">
        <v>55</v>
      </c>
      <c r="AE132" s="27" t="s">
        <v>55</v>
      </c>
      <c r="AR132" s="2" t="s">
        <v>55</v>
      </c>
    </row>
    <row r="133" spans="1:58" ht="60" customHeight="1" x14ac:dyDescent="0.35">
      <c r="O133" s="2">
        <v>2.25</v>
      </c>
      <c r="Q133" s="3">
        <v>46091</v>
      </c>
      <c r="R133" s="58">
        <v>0.8520833333333333</v>
      </c>
      <c r="T133" s="2">
        <f t="shared" si="10"/>
        <v>93</v>
      </c>
      <c r="U133" s="27" t="s">
        <v>55</v>
      </c>
      <c r="V133" s="27" t="s">
        <v>55</v>
      </c>
      <c r="W133" s="27" t="s">
        <v>55</v>
      </c>
      <c r="X133" s="27" t="s">
        <v>55</v>
      </c>
      <c r="Y133" s="27" t="s">
        <v>55</v>
      </c>
      <c r="Z133" s="27" t="s">
        <v>1076</v>
      </c>
      <c r="AA133" s="37" t="s">
        <v>1077</v>
      </c>
      <c r="AB133" s="27">
        <v>9</v>
      </c>
      <c r="AC133" s="27" t="s">
        <v>55</v>
      </c>
      <c r="AD133" s="27" t="s">
        <v>55</v>
      </c>
      <c r="AE133" s="27" t="s">
        <v>55</v>
      </c>
      <c r="AR133" s="2" t="s">
        <v>55</v>
      </c>
      <c r="BF133" s="2" t="s">
        <v>1075</v>
      </c>
    </row>
    <row r="134" spans="1:58" ht="60" customHeight="1" x14ac:dyDescent="0.35">
      <c r="O134" s="2">
        <v>2.25</v>
      </c>
      <c r="Q134" s="3">
        <v>46094</v>
      </c>
      <c r="R134" s="58">
        <v>0.75624999999999998</v>
      </c>
      <c r="T134" s="2">
        <f t="shared" si="10"/>
        <v>96</v>
      </c>
      <c r="U134" s="27" t="s">
        <v>55</v>
      </c>
      <c r="V134" s="27" t="s">
        <v>55</v>
      </c>
      <c r="W134" s="27" t="s">
        <v>55</v>
      </c>
      <c r="X134" s="27" t="s">
        <v>55</v>
      </c>
      <c r="Y134" s="27" t="s">
        <v>55</v>
      </c>
      <c r="Z134" s="27" t="s">
        <v>1005</v>
      </c>
      <c r="AA134" s="37" t="s">
        <v>1089</v>
      </c>
      <c r="AB134" s="27">
        <v>9</v>
      </c>
      <c r="AC134" s="27" t="s">
        <v>55</v>
      </c>
      <c r="AD134" s="27" t="s">
        <v>55</v>
      </c>
      <c r="AE134" s="27" t="s">
        <v>1088</v>
      </c>
      <c r="AF134" s="118" t="s">
        <v>55</v>
      </c>
      <c r="AG134" s="118" t="s">
        <v>55</v>
      </c>
      <c r="AH134" s="118" t="s">
        <v>55</v>
      </c>
      <c r="AI134" s="118" t="s">
        <v>55</v>
      </c>
      <c r="AJ134" s="118" t="s">
        <v>55</v>
      </c>
      <c r="AK134" s="118" t="s">
        <v>55</v>
      </c>
      <c r="AL134" s="118">
        <v>44.33</v>
      </c>
      <c r="AM134" s="118">
        <v>8.56</v>
      </c>
      <c r="AN134" s="118">
        <f>AL134-AM134</f>
        <v>35.769999999999996</v>
      </c>
      <c r="AO134" s="118" t="s">
        <v>55</v>
      </c>
      <c r="AP134" s="118" t="s">
        <v>55</v>
      </c>
      <c r="AQ134" s="118" t="s">
        <v>55</v>
      </c>
      <c r="AR134" s="2" t="s">
        <v>55</v>
      </c>
      <c r="BF134" s="41" t="s">
        <v>1113</v>
      </c>
    </row>
    <row r="135" spans="1:58" ht="60" customHeight="1" x14ac:dyDescent="0.35">
      <c r="O135" s="2">
        <v>2.25</v>
      </c>
      <c r="Q135" s="3">
        <v>46098</v>
      </c>
      <c r="R135" s="58">
        <v>0.75347222222222221</v>
      </c>
      <c r="T135" s="2">
        <f t="shared" si="10"/>
        <v>100</v>
      </c>
      <c r="U135" s="27" t="s">
        <v>55</v>
      </c>
      <c r="V135" s="27" t="s">
        <v>55</v>
      </c>
      <c r="W135" s="27" t="s">
        <v>55</v>
      </c>
      <c r="X135" s="27" t="s">
        <v>55</v>
      </c>
      <c r="Y135" s="27" t="s">
        <v>55</v>
      </c>
      <c r="Z135" s="27" t="s">
        <v>1109</v>
      </c>
      <c r="AA135" s="37" t="s">
        <v>1108</v>
      </c>
      <c r="AB135" s="27">
        <v>9</v>
      </c>
      <c r="AC135" s="27" t="s">
        <v>55</v>
      </c>
      <c r="AD135" s="27" t="s">
        <v>55</v>
      </c>
      <c r="AR135" s="2" t="s">
        <v>55</v>
      </c>
    </row>
    <row r="136" spans="1:58" ht="60" customHeight="1" x14ac:dyDescent="0.35">
      <c r="O136" s="2">
        <v>2.25</v>
      </c>
      <c r="Q136" s="3">
        <v>46105</v>
      </c>
      <c r="R136" s="58">
        <v>0.7270833333333333</v>
      </c>
      <c r="T136" s="2">
        <f t="shared" si="10"/>
        <v>107</v>
      </c>
      <c r="U136" s="27" t="s">
        <v>55</v>
      </c>
      <c r="V136" s="27" t="s">
        <v>55</v>
      </c>
      <c r="W136" s="27" t="s">
        <v>55</v>
      </c>
      <c r="X136" s="27" t="s">
        <v>55</v>
      </c>
      <c r="Y136" s="27" t="s">
        <v>55</v>
      </c>
      <c r="Z136" s="27" t="s">
        <v>1128</v>
      </c>
      <c r="AA136" s="27" t="s">
        <v>874</v>
      </c>
      <c r="AB136" s="27">
        <v>9</v>
      </c>
      <c r="AC136" s="27" t="s">
        <v>55</v>
      </c>
      <c r="AD136" s="27" t="s">
        <v>55</v>
      </c>
      <c r="AE136" s="27" t="s">
        <v>1127</v>
      </c>
      <c r="AF136" s="118">
        <v>109.32</v>
      </c>
      <c r="AG136" s="118">
        <v>6.83</v>
      </c>
      <c r="AH136" s="118">
        <f>AF136-AG136</f>
        <v>102.49</v>
      </c>
      <c r="AI136" s="118" t="s">
        <v>55</v>
      </c>
      <c r="AJ136" s="118" t="s">
        <v>55</v>
      </c>
      <c r="AK136" s="118" t="s">
        <v>55</v>
      </c>
      <c r="AL136" s="118" t="s">
        <v>55</v>
      </c>
      <c r="AM136" s="118" t="s">
        <v>55</v>
      </c>
      <c r="AN136" s="118" t="s">
        <v>55</v>
      </c>
      <c r="AO136" s="118" t="s">
        <v>55</v>
      </c>
      <c r="AP136" s="118" t="s">
        <v>55</v>
      </c>
      <c r="AQ136" s="118" t="s">
        <v>55</v>
      </c>
      <c r="AR136" s="2" t="s">
        <v>55</v>
      </c>
    </row>
    <row r="137" spans="1:58" ht="60" customHeight="1" x14ac:dyDescent="0.35">
      <c r="O137" s="2">
        <v>2.25</v>
      </c>
      <c r="Q137" s="3">
        <v>46108</v>
      </c>
      <c r="R137" s="58">
        <v>0.69652777777777775</v>
      </c>
      <c r="T137" s="2">
        <f t="shared" si="10"/>
        <v>110</v>
      </c>
      <c r="U137" s="27" t="s">
        <v>55</v>
      </c>
      <c r="V137" s="27" t="s">
        <v>55</v>
      </c>
      <c r="W137" s="27" t="s">
        <v>55</v>
      </c>
      <c r="X137" s="27" t="s">
        <v>55</v>
      </c>
      <c r="Y137" s="27" t="s">
        <v>55</v>
      </c>
      <c r="Z137" s="27" t="s">
        <v>1156</v>
      </c>
      <c r="AA137" s="27" t="s">
        <v>802</v>
      </c>
      <c r="AB137" s="27">
        <v>9</v>
      </c>
      <c r="AC137" s="27" t="s">
        <v>55</v>
      </c>
      <c r="AD137" s="27" t="s">
        <v>55</v>
      </c>
      <c r="AE137" s="27" t="s">
        <v>1155</v>
      </c>
      <c r="AF137" s="118">
        <v>131.5</v>
      </c>
      <c r="AG137" s="118">
        <v>1.95</v>
      </c>
      <c r="AH137" s="118">
        <f>AF137-AG137</f>
        <v>129.55000000000001</v>
      </c>
      <c r="AI137" s="118" t="s">
        <v>55</v>
      </c>
      <c r="AJ137" s="118" t="s">
        <v>55</v>
      </c>
      <c r="AK137" s="118" t="s">
        <v>55</v>
      </c>
      <c r="AL137" s="118" t="s">
        <v>55</v>
      </c>
      <c r="AM137" s="118" t="s">
        <v>55</v>
      </c>
      <c r="AN137" s="118" t="s">
        <v>55</v>
      </c>
      <c r="AO137" s="118" t="s">
        <v>55</v>
      </c>
      <c r="AP137" s="118" t="s">
        <v>55</v>
      </c>
      <c r="AQ137" s="118" t="s">
        <v>55</v>
      </c>
      <c r="AR137" s="2" t="s">
        <v>55</v>
      </c>
    </row>
    <row r="138" spans="1:58" ht="60" customHeight="1" x14ac:dyDescent="0.35">
      <c r="Q138" s="3"/>
      <c r="R138" s="58"/>
      <c r="AC138" s="27" t="s">
        <v>1157</v>
      </c>
    </row>
    <row r="139" spans="1:58" ht="60" customHeight="1" x14ac:dyDescent="0.35">
      <c r="A139" s="22">
        <v>7</v>
      </c>
      <c r="B139" s="136" t="s">
        <v>1039</v>
      </c>
      <c r="C139" s="3">
        <v>44228</v>
      </c>
      <c r="D139" s="3">
        <v>46003</v>
      </c>
      <c r="E139" s="44">
        <f t="shared" si="4"/>
        <v>1775</v>
      </c>
      <c r="F139" s="44">
        <f t="shared" si="5"/>
        <v>4.8630136986301373</v>
      </c>
      <c r="G139" s="44">
        <f t="shared" si="6"/>
        <v>6.645833333333333</v>
      </c>
      <c r="H139" s="2" t="s">
        <v>11</v>
      </c>
      <c r="I139" s="56"/>
      <c r="J139" s="2">
        <v>4124</v>
      </c>
      <c r="O139" s="2">
        <v>3</v>
      </c>
      <c r="Q139" s="3">
        <v>46010</v>
      </c>
      <c r="R139" s="58">
        <v>0.73888888888888893</v>
      </c>
      <c r="T139" s="2">
        <f>Q139-$D$139</f>
        <v>7</v>
      </c>
      <c r="U139" s="27">
        <v>20.85</v>
      </c>
      <c r="V139" s="27">
        <v>9.2799999999999994</v>
      </c>
      <c r="W139" s="27">
        <v>1.85</v>
      </c>
      <c r="X139" s="27">
        <v>9.0399999999999991</v>
      </c>
      <c r="Y139" s="27">
        <v>2.36</v>
      </c>
      <c r="Z139" s="27" t="s">
        <v>55</v>
      </c>
      <c r="AA139" s="27" t="s">
        <v>55</v>
      </c>
      <c r="AB139" s="27" t="s">
        <v>55</v>
      </c>
      <c r="AC139" s="27" t="s">
        <v>55</v>
      </c>
      <c r="AD139" s="27" t="s">
        <v>55</v>
      </c>
      <c r="AE139" s="27" t="s">
        <v>55</v>
      </c>
      <c r="AR139" s="2" t="s">
        <v>50</v>
      </c>
    </row>
    <row r="140" spans="1:58" ht="60" customHeight="1" x14ac:dyDescent="0.35">
      <c r="B140" s="20" t="s">
        <v>836</v>
      </c>
      <c r="O140" s="2">
        <v>3</v>
      </c>
      <c r="Q140" s="3">
        <v>46013</v>
      </c>
      <c r="R140" s="58">
        <v>0.53194444444444444</v>
      </c>
      <c r="T140" s="2">
        <f t="shared" ref="T140:T192" si="11">Q140-$D$139</f>
        <v>10</v>
      </c>
      <c r="U140" s="27">
        <v>26.9</v>
      </c>
      <c r="V140" s="27">
        <v>13.58</v>
      </c>
      <c r="W140" s="27">
        <v>2.0299999999999998</v>
      </c>
      <c r="X140" s="27" t="s">
        <v>679</v>
      </c>
      <c r="Y140" s="27">
        <v>2.85</v>
      </c>
      <c r="Z140" s="27" t="s">
        <v>55</v>
      </c>
      <c r="AA140" s="27" t="s">
        <v>55</v>
      </c>
      <c r="AB140" s="27" t="s">
        <v>55</v>
      </c>
      <c r="AC140" s="27" t="s">
        <v>55</v>
      </c>
      <c r="AD140" s="27" t="s">
        <v>55</v>
      </c>
      <c r="AE140" s="27" t="s">
        <v>55</v>
      </c>
      <c r="AR140" s="2" t="s">
        <v>50</v>
      </c>
    </row>
    <row r="141" spans="1:58" ht="60" customHeight="1" x14ac:dyDescent="0.35">
      <c r="O141" s="2">
        <v>3</v>
      </c>
      <c r="Q141" s="3">
        <v>46018</v>
      </c>
      <c r="R141" s="58">
        <v>0.52986111111111112</v>
      </c>
      <c r="T141" s="2">
        <f t="shared" si="11"/>
        <v>15</v>
      </c>
      <c r="U141" s="27">
        <v>18.95</v>
      </c>
      <c r="V141" s="27" t="s">
        <v>692</v>
      </c>
      <c r="W141" s="27">
        <v>1.47</v>
      </c>
      <c r="X141" s="27">
        <v>7.2</v>
      </c>
      <c r="Y141" s="27">
        <v>3.53</v>
      </c>
      <c r="Z141" s="27" t="s">
        <v>55</v>
      </c>
      <c r="AA141" s="27" t="s">
        <v>55</v>
      </c>
      <c r="AB141" s="27" t="s">
        <v>55</v>
      </c>
      <c r="AC141" s="27" t="s">
        <v>55</v>
      </c>
      <c r="AD141" s="27" t="s">
        <v>55</v>
      </c>
      <c r="AE141" s="27" t="s">
        <v>55</v>
      </c>
      <c r="AR141" s="2" t="s">
        <v>682</v>
      </c>
      <c r="AS141" s="2">
        <v>0.82</v>
      </c>
      <c r="AT141" s="2">
        <v>2.42</v>
      </c>
      <c r="AU141" s="2">
        <v>12.11</v>
      </c>
      <c r="AV141" s="2">
        <v>5.48</v>
      </c>
      <c r="AW141" s="2">
        <v>66.42</v>
      </c>
      <c r="AX141" s="2">
        <v>22.27</v>
      </c>
      <c r="AY141" s="2">
        <v>15.59</v>
      </c>
      <c r="AZ141" s="2">
        <v>0.69499999999999995</v>
      </c>
      <c r="BA141" s="2">
        <v>1.76</v>
      </c>
      <c r="BB141" s="2">
        <v>0.06</v>
      </c>
      <c r="BC141" s="2">
        <v>0.2</v>
      </c>
      <c r="BD141" s="2">
        <v>48</v>
      </c>
      <c r="BE141" s="2">
        <v>77</v>
      </c>
    </row>
    <row r="142" spans="1:58" ht="60" customHeight="1" x14ac:dyDescent="0.35">
      <c r="O142" s="2">
        <v>3.25</v>
      </c>
      <c r="Q142" s="3">
        <v>46021</v>
      </c>
      <c r="R142" s="2" t="s">
        <v>707</v>
      </c>
      <c r="T142" s="2">
        <f t="shared" si="11"/>
        <v>18</v>
      </c>
      <c r="U142" s="27">
        <v>22.26</v>
      </c>
      <c r="V142" s="27">
        <v>10.35</v>
      </c>
      <c r="W142" s="27">
        <v>2.82</v>
      </c>
      <c r="X142" s="27">
        <v>8.17</v>
      </c>
      <c r="Y142" s="27">
        <v>6.65</v>
      </c>
      <c r="Z142" s="27" t="s">
        <v>343</v>
      </c>
      <c r="AA142" s="27" t="s">
        <v>708</v>
      </c>
      <c r="AB142" s="27">
        <v>18</v>
      </c>
      <c r="AC142" s="27" t="s">
        <v>55</v>
      </c>
      <c r="AD142" s="27" t="e" cm="1">
        <f t="array" ref="AD142">--Àff  'Agnelli con maschi'!AY1521</f>
        <v>#NAME?</v>
      </c>
      <c r="AE142" s="27" t="s">
        <v>55</v>
      </c>
      <c r="AR142" s="2" t="s">
        <v>107</v>
      </c>
      <c r="AS142" s="2">
        <v>1</v>
      </c>
      <c r="AT142" s="2">
        <v>3.25</v>
      </c>
      <c r="AU142" s="2">
        <v>0</v>
      </c>
      <c r="AV142" s="2" t="s">
        <v>89</v>
      </c>
      <c r="AW142" s="2">
        <v>55.72</v>
      </c>
      <c r="AX142" s="2">
        <v>16.98</v>
      </c>
      <c r="AY142" s="2">
        <v>7.9</v>
      </c>
      <c r="AZ142" s="2">
        <v>0.46</v>
      </c>
      <c r="BA142" s="2">
        <v>1.24</v>
      </c>
      <c r="BB142" s="2">
        <v>0</v>
      </c>
      <c r="BC142" s="2">
        <v>0.12</v>
      </c>
      <c r="BD142" s="2">
        <v>50</v>
      </c>
      <c r="BE142" s="2">
        <v>114</v>
      </c>
    </row>
    <row r="143" spans="1:58" ht="60" customHeight="1" x14ac:dyDescent="0.35">
      <c r="O143" s="2">
        <v>3.25</v>
      </c>
      <c r="Q143" s="3">
        <v>46024</v>
      </c>
      <c r="R143" s="58">
        <v>0.70833333333333337</v>
      </c>
      <c r="T143" s="2">
        <f t="shared" si="11"/>
        <v>21</v>
      </c>
      <c r="U143" s="27">
        <v>16.36</v>
      </c>
      <c r="V143" s="27">
        <v>7.86</v>
      </c>
      <c r="W143" s="27">
        <v>1.96</v>
      </c>
      <c r="X143" s="27">
        <v>6.4</v>
      </c>
      <c r="Y143" s="27">
        <v>4.04</v>
      </c>
      <c r="Z143" s="27" t="s">
        <v>55</v>
      </c>
      <c r="AA143" s="27" t="s">
        <v>721</v>
      </c>
      <c r="AB143" s="27">
        <v>18</v>
      </c>
      <c r="AC143" s="27" t="s">
        <v>55</v>
      </c>
      <c r="AD143" s="27" t="s">
        <v>55</v>
      </c>
      <c r="AE143" s="27" t="s">
        <v>55</v>
      </c>
      <c r="AR143" s="2" t="s">
        <v>52</v>
      </c>
      <c r="AS143" s="2">
        <v>1</v>
      </c>
      <c r="AT143" s="2">
        <v>3.93</v>
      </c>
      <c r="AU143" s="2">
        <v>0</v>
      </c>
      <c r="AV143" s="2" t="s">
        <v>89</v>
      </c>
      <c r="AW143" s="2">
        <v>35.549999999999997</v>
      </c>
      <c r="AX143" s="2">
        <v>8.99</v>
      </c>
      <c r="AY143" s="2">
        <v>6.11</v>
      </c>
      <c r="AZ143" s="2">
        <v>0.67500000000000004</v>
      </c>
      <c r="BA143" s="2">
        <v>0.51</v>
      </c>
      <c r="BB143" s="2">
        <v>0</v>
      </c>
      <c r="BC143" s="2">
        <v>0.03</v>
      </c>
      <c r="BD143" s="2">
        <v>48</v>
      </c>
      <c r="BE143" s="2">
        <v>83</v>
      </c>
    </row>
    <row r="144" spans="1:58" ht="60" customHeight="1" x14ac:dyDescent="0.35">
      <c r="O144" s="2">
        <v>3</v>
      </c>
      <c r="Q144" s="3">
        <v>46027</v>
      </c>
      <c r="R144" s="58">
        <v>0.69791666666666663</v>
      </c>
      <c r="T144" s="2">
        <f t="shared" si="11"/>
        <v>24</v>
      </c>
      <c r="U144" s="27">
        <v>18.36</v>
      </c>
      <c r="V144" s="27">
        <v>9.9700000000000006</v>
      </c>
      <c r="W144" s="27">
        <v>1.37</v>
      </c>
      <c r="X144" s="27">
        <v>7.45</v>
      </c>
      <c r="Y144" s="27">
        <v>4.51</v>
      </c>
      <c r="Z144" s="27" t="s">
        <v>55</v>
      </c>
      <c r="AA144" s="27" t="s">
        <v>728</v>
      </c>
      <c r="AB144" s="27">
        <v>18</v>
      </c>
      <c r="AC144" s="27" t="s">
        <v>55</v>
      </c>
      <c r="AD144" s="27" t="s">
        <v>55</v>
      </c>
      <c r="AE144" s="27" t="s">
        <v>55</v>
      </c>
      <c r="AR144" s="2" t="s">
        <v>52</v>
      </c>
      <c r="AS144" s="2">
        <v>0.68</v>
      </c>
      <c r="AT144" s="2">
        <v>1.34</v>
      </c>
      <c r="AU144" s="2">
        <v>18.059999999999999</v>
      </c>
      <c r="AV144" s="2">
        <v>3.12</v>
      </c>
      <c r="AW144" s="2">
        <v>56.45</v>
      </c>
      <c r="AX144" s="2">
        <v>28.44</v>
      </c>
      <c r="AY144" s="2">
        <v>18.059999999999999</v>
      </c>
      <c r="AZ144" s="2">
        <v>0.63</v>
      </c>
      <c r="BA144" s="2">
        <v>1.27</v>
      </c>
      <c r="BB144" s="2">
        <v>0.13</v>
      </c>
      <c r="BC144" s="2">
        <v>0.32</v>
      </c>
      <c r="BD144" s="2">
        <v>46</v>
      </c>
      <c r="BE144" s="2">
        <v>80</v>
      </c>
      <c r="BF144" s="2" t="s">
        <v>437</v>
      </c>
    </row>
    <row r="145" spans="15:57" ht="60" customHeight="1" x14ac:dyDescent="0.35">
      <c r="O145" s="2">
        <v>2.75</v>
      </c>
      <c r="Q145" s="3">
        <v>46031</v>
      </c>
      <c r="R145" s="58">
        <v>0.71666666666666667</v>
      </c>
      <c r="T145" s="2">
        <f t="shared" si="11"/>
        <v>28</v>
      </c>
      <c r="U145" s="27">
        <v>14.77</v>
      </c>
      <c r="V145" s="27">
        <v>8.1199999999999992</v>
      </c>
      <c r="W145" s="27">
        <v>1.88</v>
      </c>
      <c r="X145" s="27">
        <v>4.79</v>
      </c>
      <c r="Y145" s="27">
        <v>3.13</v>
      </c>
      <c r="Z145" s="27" t="s">
        <v>741</v>
      </c>
      <c r="AA145" s="27" t="s">
        <v>742</v>
      </c>
      <c r="AB145" s="27">
        <v>18</v>
      </c>
      <c r="AC145" s="27" t="s">
        <v>55</v>
      </c>
      <c r="AD145" s="27" t="s">
        <v>55</v>
      </c>
      <c r="AE145" s="27" t="s">
        <v>55</v>
      </c>
      <c r="AR145" s="2" t="s">
        <v>52</v>
      </c>
      <c r="AS145" s="2">
        <v>1</v>
      </c>
      <c r="AT145" s="2">
        <v>5.24</v>
      </c>
      <c r="AU145" s="2">
        <v>0</v>
      </c>
      <c r="AV145" s="2" t="s">
        <v>89</v>
      </c>
      <c r="AW145" s="2">
        <v>45.54</v>
      </c>
      <c r="AX145" s="2">
        <v>8.6199999999999992</v>
      </c>
      <c r="AY145" s="2">
        <v>6.34</v>
      </c>
      <c r="AZ145" s="2">
        <v>0.73</v>
      </c>
      <c r="BA145" s="2">
        <v>0.83</v>
      </c>
      <c r="BB145" s="2">
        <v>0</v>
      </c>
      <c r="BC145" s="2">
        <v>0.03</v>
      </c>
      <c r="BD145" s="2">
        <v>46</v>
      </c>
      <c r="BE145" s="2">
        <v>77</v>
      </c>
    </row>
    <row r="146" spans="15:57" ht="60" customHeight="1" x14ac:dyDescent="0.35">
      <c r="O146" s="2">
        <v>2.75</v>
      </c>
      <c r="Q146" s="3">
        <v>46035</v>
      </c>
      <c r="R146" s="58">
        <v>0.77569444444444446</v>
      </c>
      <c r="T146" s="2">
        <f t="shared" si="11"/>
        <v>32</v>
      </c>
      <c r="U146" s="27">
        <v>17.190000000000001</v>
      </c>
      <c r="V146" s="27">
        <v>7.16</v>
      </c>
      <c r="W146" s="27">
        <v>2.19</v>
      </c>
      <c r="X146" s="27">
        <v>5.38</v>
      </c>
      <c r="Y146" s="27">
        <v>3.2</v>
      </c>
      <c r="Z146" s="27" t="s">
        <v>55</v>
      </c>
      <c r="AA146" s="27" t="s">
        <v>756</v>
      </c>
      <c r="AB146" s="27">
        <v>18</v>
      </c>
      <c r="AC146" s="27" t="s">
        <v>55</v>
      </c>
      <c r="AD146" s="27" t="s">
        <v>55</v>
      </c>
      <c r="AE146" s="27" t="s">
        <v>55</v>
      </c>
      <c r="AR146" s="2" t="s">
        <v>52</v>
      </c>
      <c r="AS146" s="2">
        <v>0.69</v>
      </c>
      <c r="AT146" s="2">
        <v>1.33</v>
      </c>
      <c r="AU146" s="2">
        <v>13.28</v>
      </c>
      <c r="AV146" s="2">
        <v>3.21</v>
      </c>
      <c r="AW146" s="2">
        <v>42.58</v>
      </c>
      <c r="AX146" s="2">
        <v>21.83</v>
      </c>
      <c r="AY146" s="2">
        <v>14.63</v>
      </c>
      <c r="AZ146" s="2">
        <v>0.66500000000000004</v>
      </c>
      <c r="BA146" s="2">
        <v>0.73</v>
      </c>
      <c r="BB146" s="2">
        <v>7.0000000000000007E-2</v>
      </c>
      <c r="BC146" s="2">
        <v>0.19</v>
      </c>
      <c r="BD146" s="2">
        <v>48</v>
      </c>
      <c r="BE146" s="2">
        <v>74</v>
      </c>
    </row>
    <row r="147" spans="15:57" ht="60" customHeight="1" x14ac:dyDescent="0.35">
      <c r="O147" s="2">
        <v>2.75</v>
      </c>
      <c r="Q147" s="3">
        <v>46038</v>
      </c>
      <c r="R147" s="58">
        <v>0.58125000000000004</v>
      </c>
      <c r="T147" s="2">
        <f t="shared" si="11"/>
        <v>35</v>
      </c>
      <c r="U147" s="27">
        <v>13.49</v>
      </c>
      <c r="V147" s="27">
        <v>7.37</v>
      </c>
      <c r="W147" s="27">
        <v>0.96</v>
      </c>
      <c r="X147" s="27">
        <v>5.3</v>
      </c>
      <c r="Y147" s="27">
        <v>2.29</v>
      </c>
      <c r="Z147" s="27" t="s">
        <v>772</v>
      </c>
      <c r="AA147" s="27" t="s">
        <v>776</v>
      </c>
      <c r="AB147" s="27">
        <v>18</v>
      </c>
      <c r="AC147" s="27" t="s">
        <v>55</v>
      </c>
      <c r="AD147" s="27" t="s">
        <v>55</v>
      </c>
      <c r="AE147" s="27" t="s">
        <v>55</v>
      </c>
      <c r="AR147" s="2" t="s">
        <v>107</v>
      </c>
      <c r="AS147" s="2">
        <v>1</v>
      </c>
      <c r="AT147" s="2">
        <v>5.26</v>
      </c>
      <c r="AU147" s="2">
        <v>0</v>
      </c>
      <c r="AV147" s="2" t="s">
        <v>89</v>
      </c>
      <c r="AW147" s="2">
        <v>27.98</v>
      </c>
      <c r="AX147" s="2">
        <v>5.28</v>
      </c>
      <c r="AY147" s="2">
        <v>3.43</v>
      </c>
      <c r="AZ147" s="2">
        <v>0.64500000000000002</v>
      </c>
      <c r="BA147" s="2">
        <v>0.31</v>
      </c>
      <c r="BB147" s="2">
        <v>0</v>
      </c>
      <c r="BC147" s="2">
        <v>0.01</v>
      </c>
      <c r="BD147" s="2">
        <v>44</v>
      </c>
      <c r="BE147" s="2">
        <v>88</v>
      </c>
    </row>
    <row r="148" spans="15:57" ht="60" customHeight="1" x14ac:dyDescent="0.35">
      <c r="O148" s="2">
        <v>2.75</v>
      </c>
      <c r="Q148" s="3">
        <v>46041</v>
      </c>
      <c r="R148" s="58">
        <v>0.7270833333333333</v>
      </c>
      <c r="T148" s="2">
        <f t="shared" si="11"/>
        <v>38</v>
      </c>
      <c r="U148" s="27">
        <v>12.7</v>
      </c>
      <c r="V148" s="27">
        <v>4.82</v>
      </c>
      <c r="W148" s="27">
        <v>1.33</v>
      </c>
      <c r="X148" s="27">
        <v>5.59</v>
      </c>
      <c r="Y148" s="27">
        <v>1.6</v>
      </c>
      <c r="Z148" s="27" t="s">
        <v>787</v>
      </c>
      <c r="AA148" s="27" t="s">
        <v>659</v>
      </c>
      <c r="AB148" s="27">
        <v>18</v>
      </c>
      <c r="AC148" s="27" t="s">
        <v>55</v>
      </c>
      <c r="AD148" s="27" t="s">
        <v>55</v>
      </c>
      <c r="AE148" s="27" t="s">
        <v>55</v>
      </c>
      <c r="AR148" s="56" t="s">
        <v>788</v>
      </c>
    </row>
    <row r="149" spans="15:57" ht="60" customHeight="1" x14ac:dyDescent="0.35">
      <c r="O149" s="2">
        <v>2.5</v>
      </c>
      <c r="Q149" s="3">
        <v>46045</v>
      </c>
      <c r="R149" s="58">
        <v>0.67777777777777781</v>
      </c>
      <c r="T149" s="2">
        <f t="shared" si="11"/>
        <v>42</v>
      </c>
      <c r="U149" s="27">
        <v>15.82</v>
      </c>
      <c r="V149" s="27">
        <v>6.66</v>
      </c>
      <c r="W149" s="27">
        <v>1.6</v>
      </c>
      <c r="X149" s="27">
        <v>5.55</v>
      </c>
      <c r="Y149" s="27">
        <v>4</v>
      </c>
      <c r="Z149" s="37" t="s">
        <v>796</v>
      </c>
      <c r="AA149" s="27" t="s">
        <v>242</v>
      </c>
      <c r="AB149" s="27">
        <v>18</v>
      </c>
      <c r="AC149" s="27" t="s">
        <v>55</v>
      </c>
      <c r="AD149" s="27" t="s">
        <v>55</v>
      </c>
      <c r="AE149" s="27" t="s">
        <v>55</v>
      </c>
      <c r="AR149" s="56" t="s">
        <v>797</v>
      </c>
    </row>
    <row r="150" spans="15:57" ht="60" customHeight="1" x14ac:dyDescent="0.35">
      <c r="O150" s="2">
        <v>2.5</v>
      </c>
      <c r="Q150" s="3">
        <v>46049</v>
      </c>
      <c r="R150" s="58">
        <v>0.75347222222222221</v>
      </c>
      <c r="T150" s="2">
        <f t="shared" si="11"/>
        <v>46</v>
      </c>
      <c r="U150" s="27">
        <v>13.32</v>
      </c>
      <c r="V150" s="27">
        <v>6.74</v>
      </c>
      <c r="W150" s="27">
        <v>2.14</v>
      </c>
      <c r="X150" s="27">
        <v>5.24</v>
      </c>
      <c r="Y150" s="27">
        <v>2.2599999999999998</v>
      </c>
      <c r="Z150" s="37" t="s">
        <v>805</v>
      </c>
      <c r="AA150" s="27" t="s">
        <v>299</v>
      </c>
      <c r="AB150" s="27">
        <v>18</v>
      </c>
      <c r="AC150" s="27" t="s">
        <v>55</v>
      </c>
      <c r="AD150" s="27" t="s">
        <v>55</v>
      </c>
      <c r="AE150" s="27" t="s">
        <v>55</v>
      </c>
      <c r="AR150" s="56" t="s">
        <v>806</v>
      </c>
    </row>
    <row r="151" spans="15:57" ht="60" customHeight="1" x14ac:dyDescent="0.35">
      <c r="O151" s="2">
        <v>2.5</v>
      </c>
      <c r="Q151" s="3">
        <v>46052</v>
      </c>
      <c r="R151" s="58">
        <v>0.76736111111111116</v>
      </c>
      <c r="T151" s="2">
        <f t="shared" si="11"/>
        <v>49</v>
      </c>
      <c r="U151" s="27">
        <v>11.84</v>
      </c>
      <c r="V151" s="27">
        <v>6.21</v>
      </c>
      <c r="W151" s="27">
        <v>1.43</v>
      </c>
      <c r="X151" s="27">
        <v>4.24</v>
      </c>
      <c r="Y151" s="27">
        <v>1.77</v>
      </c>
      <c r="Z151" s="27" t="s">
        <v>823</v>
      </c>
      <c r="AA151" s="27" t="s">
        <v>824</v>
      </c>
      <c r="AB151" s="27">
        <v>18</v>
      </c>
      <c r="AC151" s="27" t="s">
        <v>55</v>
      </c>
      <c r="AD151" s="27" t="s">
        <v>55</v>
      </c>
      <c r="AE151" s="27" t="s">
        <v>55</v>
      </c>
      <c r="AR151" s="2" t="s">
        <v>107</v>
      </c>
      <c r="AS151" s="2">
        <v>0.74</v>
      </c>
      <c r="AT151" s="2">
        <v>1.7</v>
      </c>
      <c r="AU151" s="2">
        <v>10.55</v>
      </c>
      <c r="AV151" s="2">
        <v>3.9</v>
      </c>
      <c r="AW151" s="2">
        <v>41.16</v>
      </c>
      <c r="AX151" s="2">
        <v>17.84</v>
      </c>
      <c r="AY151" s="2">
        <v>11.6</v>
      </c>
      <c r="AZ151" s="2">
        <v>0.64500000000000002</v>
      </c>
      <c r="BA151" s="2">
        <v>0.68</v>
      </c>
      <c r="BB151" s="2">
        <v>0.04</v>
      </c>
      <c r="BC151" s="2">
        <v>0.13</v>
      </c>
      <c r="BD151" s="2">
        <v>42</v>
      </c>
      <c r="BE151" s="2">
        <v>72</v>
      </c>
    </row>
    <row r="152" spans="15:57" ht="60" customHeight="1" x14ac:dyDescent="0.35">
      <c r="O152" s="2">
        <v>2.5</v>
      </c>
      <c r="Q152" s="3">
        <v>46056</v>
      </c>
      <c r="R152" s="58">
        <v>0.66805555555555551</v>
      </c>
      <c r="T152" s="2">
        <f t="shared" si="11"/>
        <v>53</v>
      </c>
      <c r="U152" s="27">
        <v>10.24</v>
      </c>
      <c r="V152" s="27">
        <v>5.28</v>
      </c>
      <c r="W152" s="27">
        <v>0.96</v>
      </c>
      <c r="X152" s="27">
        <v>4.16</v>
      </c>
      <c r="Y152" s="27">
        <v>1.43</v>
      </c>
      <c r="Z152" s="27" t="s">
        <v>848</v>
      </c>
      <c r="AA152" s="27" t="s">
        <v>232</v>
      </c>
      <c r="AB152" s="27">
        <v>18</v>
      </c>
      <c r="AC152" s="27" t="s">
        <v>55</v>
      </c>
      <c r="AD152" s="27" t="s">
        <v>55</v>
      </c>
      <c r="AE152" s="27" t="s">
        <v>55</v>
      </c>
      <c r="AR152" s="2" t="s">
        <v>52</v>
      </c>
      <c r="AS152" s="2">
        <v>1</v>
      </c>
      <c r="AT152" s="2">
        <v>4.3</v>
      </c>
      <c r="AU152" s="2">
        <v>0</v>
      </c>
      <c r="AV152" s="2" t="s">
        <v>89</v>
      </c>
      <c r="AW152" s="2">
        <v>49.21</v>
      </c>
      <c r="AX152" s="2">
        <v>11.35</v>
      </c>
      <c r="AY152" s="2">
        <v>7.49</v>
      </c>
      <c r="AZ152" s="2">
        <v>0.65500000000000003</v>
      </c>
      <c r="BA152" s="2">
        <v>0.97</v>
      </c>
      <c r="BB152" s="2">
        <v>0</v>
      </c>
      <c r="BC152" s="2">
        <v>0.05</v>
      </c>
      <c r="BD152" s="2">
        <v>50</v>
      </c>
      <c r="BE152" s="2">
        <v>83</v>
      </c>
    </row>
    <row r="153" spans="15:57" ht="60" customHeight="1" x14ac:dyDescent="0.35">
      <c r="O153" s="2">
        <v>2.5</v>
      </c>
      <c r="Q153" s="3">
        <v>46059</v>
      </c>
      <c r="R153" s="58">
        <v>0.4777777777777778</v>
      </c>
      <c r="T153" s="2">
        <f t="shared" si="11"/>
        <v>56</v>
      </c>
      <c r="U153" s="27" t="s">
        <v>55</v>
      </c>
      <c r="V153" s="27" t="s">
        <v>55</v>
      </c>
      <c r="W153" s="27" t="s">
        <v>55</v>
      </c>
      <c r="X153" s="27" t="s">
        <v>55</v>
      </c>
      <c r="Y153" s="27" t="s">
        <v>55</v>
      </c>
      <c r="Z153" s="27" t="s">
        <v>218</v>
      </c>
      <c r="AA153" s="27" t="s">
        <v>186</v>
      </c>
      <c r="AB153" s="27">
        <v>18</v>
      </c>
      <c r="AC153" s="27" t="s">
        <v>55</v>
      </c>
      <c r="AD153" s="27" t="s">
        <v>55</v>
      </c>
      <c r="AE153" s="27" t="s">
        <v>55</v>
      </c>
      <c r="AR153" s="2" t="s">
        <v>55</v>
      </c>
    </row>
    <row r="154" spans="15:57" ht="60" customHeight="1" x14ac:dyDescent="0.35">
      <c r="O154" s="2">
        <v>2.5</v>
      </c>
      <c r="Q154" s="3">
        <v>46062</v>
      </c>
      <c r="R154" s="58">
        <v>0.52013888888888893</v>
      </c>
      <c r="T154" s="2">
        <f t="shared" si="11"/>
        <v>59</v>
      </c>
      <c r="U154" s="27" t="s">
        <v>55</v>
      </c>
      <c r="V154" s="27" t="s">
        <v>55</v>
      </c>
      <c r="W154" s="27" t="s">
        <v>55</v>
      </c>
      <c r="X154" s="27" t="s">
        <v>55</v>
      </c>
      <c r="Y154" s="27" t="s">
        <v>55</v>
      </c>
      <c r="Z154" s="27" t="s">
        <v>867</v>
      </c>
      <c r="AA154" s="27" t="s">
        <v>82</v>
      </c>
      <c r="AB154" s="27">
        <v>18</v>
      </c>
      <c r="AC154" s="27" t="s">
        <v>55</v>
      </c>
      <c r="AD154" s="27" t="s">
        <v>55</v>
      </c>
      <c r="AE154" s="27" t="s">
        <v>55</v>
      </c>
      <c r="AR154" s="2" t="s">
        <v>55</v>
      </c>
    </row>
    <row r="155" spans="15:57" ht="60" customHeight="1" x14ac:dyDescent="0.35">
      <c r="O155" s="2">
        <v>2.5</v>
      </c>
      <c r="Q155" s="3">
        <v>46066</v>
      </c>
      <c r="R155" s="58">
        <v>0.73611111111111116</v>
      </c>
      <c r="T155" s="2">
        <f t="shared" si="11"/>
        <v>63</v>
      </c>
      <c r="U155" s="27" t="s">
        <v>55</v>
      </c>
      <c r="V155" s="27" t="s">
        <v>55</v>
      </c>
      <c r="W155" s="27" t="s">
        <v>55</v>
      </c>
      <c r="X155" s="27" t="s">
        <v>55</v>
      </c>
      <c r="Y155" s="27" t="s">
        <v>55</v>
      </c>
      <c r="Z155" s="27" t="s">
        <v>893</v>
      </c>
      <c r="AA155" s="27" t="s">
        <v>111</v>
      </c>
      <c r="AB155" s="27">
        <v>18</v>
      </c>
      <c r="AC155" s="27" t="s">
        <v>55</v>
      </c>
      <c r="AD155" s="27" t="s">
        <v>55</v>
      </c>
      <c r="AE155" s="27" t="s">
        <v>55</v>
      </c>
      <c r="AR155" s="2" t="s">
        <v>55</v>
      </c>
    </row>
    <row r="156" spans="15:57" ht="60" customHeight="1" x14ac:dyDescent="0.35">
      <c r="O156" s="2">
        <v>2.5</v>
      </c>
      <c r="Q156" s="3">
        <v>46070</v>
      </c>
      <c r="R156" s="58">
        <v>0.79236111111111107</v>
      </c>
      <c r="T156" s="2">
        <f t="shared" si="11"/>
        <v>67</v>
      </c>
      <c r="U156" s="27" t="s">
        <v>55</v>
      </c>
      <c r="V156" s="27" t="s">
        <v>55</v>
      </c>
      <c r="W156" s="27" t="s">
        <v>55</v>
      </c>
      <c r="X156" s="27" t="s">
        <v>55</v>
      </c>
      <c r="Y156" s="27" t="s">
        <v>55</v>
      </c>
      <c r="Z156" s="27" t="s">
        <v>904</v>
      </c>
      <c r="AA156" s="27" t="s">
        <v>691</v>
      </c>
      <c r="AB156" s="27">
        <v>18</v>
      </c>
      <c r="AC156" s="27" t="s">
        <v>55</v>
      </c>
      <c r="AD156" s="27" t="s">
        <v>55</v>
      </c>
      <c r="AE156" s="27" t="s">
        <v>55</v>
      </c>
      <c r="AR156" s="2" t="s">
        <v>55</v>
      </c>
    </row>
    <row r="157" spans="15:57" ht="60" customHeight="1" x14ac:dyDescent="0.35">
      <c r="O157" s="2">
        <v>2.75</v>
      </c>
      <c r="Q157" s="3">
        <v>46074</v>
      </c>
      <c r="R157" s="58">
        <v>0.48402777777777778</v>
      </c>
      <c r="T157" s="2">
        <f t="shared" si="11"/>
        <v>71</v>
      </c>
      <c r="U157" s="27" t="s">
        <v>55</v>
      </c>
      <c r="V157" s="27" t="s">
        <v>55</v>
      </c>
      <c r="W157" s="27" t="s">
        <v>55</v>
      </c>
      <c r="X157" s="27" t="s">
        <v>55</v>
      </c>
      <c r="Y157" s="27" t="s">
        <v>55</v>
      </c>
      <c r="Z157" s="27" t="s">
        <v>926</v>
      </c>
      <c r="AA157" s="27" t="s">
        <v>764</v>
      </c>
      <c r="AB157" s="27">
        <v>18</v>
      </c>
      <c r="AC157" s="27" t="s">
        <v>55</v>
      </c>
      <c r="AD157" s="27" t="s">
        <v>55</v>
      </c>
      <c r="AE157" s="27" t="s">
        <v>55</v>
      </c>
      <c r="AR157" s="2" t="s">
        <v>55</v>
      </c>
    </row>
    <row r="158" spans="15:57" ht="60" customHeight="1" x14ac:dyDescent="0.35">
      <c r="O158" s="2">
        <v>2.5</v>
      </c>
      <c r="Q158" s="3">
        <v>46077</v>
      </c>
      <c r="R158" s="58">
        <v>0.77500000000000002</v>
      </c>
      <c r="T158" s="2">
        <f t="shared" si="11"/>
        <v>74</v>
      </c>
      <c r="U158" s="27" t="s">
        <v>55</v>
      </c>
      <c r="V158" s="27" t="s">
        <v>55</v>
      </c>
      <c r="W158" s="27" t="s">
        <v>55</v>
      </c>
      <c r="X158" s="27" t="s">
        <v>55</v>
      </c>
      <c r="Y158" s="27" t="s">
        <v>55</v>
      </c>
      <c r="Z158" s="27" t="s">
        <v>947</v>
      </c>
      <c r="AA158" s="27" t="s">
        <v>946</v>
      </c>
      <c r="AB158" s="27">
        <v>18</v>
      </c>
      <c r="AC158" s="27" t="s">
        <v>55</v>
      </c>
      <c r="AD158" s="27" t="s">
        <v>55</v>
      </c>
      <c r="AE158" s="27" t="s">
        <v>55</v>
      </c>
      <c r="AR158" s="2" t="s">
        <v>55</v>
      </c>
    </row>
    <row r="159" spans="15:57" ht="60" customHeight="1" x14ac:dyDescent="0.35">
      <c r="O159" s="2">
        <v>2.5</v>
      </c>
      <c r="Q159" s="3">
        <v>46080</v>
      </c>
      <c r="R159" s="58">
        <v>0.52500000000000002</v>
      </c>
      <c r="T159" s="2">
        <f t="shared" si="11"/>
        <v>77</v>
      </c>
      <c r="U159" s="27" t="s">
        <v>55</v>
      </c>
      <c r="V159" s="27" t="s">
        <v>55</v>
      </c>
      <c r="W159" s="27" t="s">
        <v>55</v>
      </c>
      <c r="X159" s="27" t="s">
        <v>55</v>
      </c>
      <c r="Y159" s="27" t="s">
        <v>55</v>
      </c>
      <c r="Z159" s="27" t="s">
        <v>964</v>
      </c>
      <c r="AA159" s="27" t="s">
        <v>965</v>
      </c>
      <c r="AB159" s="27">
        <v>18</v>
      </c>
      <c r="AC159" s="27" t="s">
        <v>55</v>
      </c>
      <c r="AD159" s="27" t="s">
        <v>55</v>
      </c>
      <c r="AE159" s="27" t="s">
        <v>55</v>
      </c>
      <c r="AR159" s="2" t="s">
        <v>55</v>
      </c>
    </row>
    <row r="160" spans="15:57" ht="60" customHeight="1" x14ac:dyDescent="0.35">
      <c r="O160" s="2">
        <v>2.5</v>
      </c>
      <c r="Q160" s="3">
        <v>46084</v>
      </c>
      <c r="R160" s="58">
        <v>0.76597222222222228</v>
      </c>
      <c r="T160" s="2">
        <f t="shared" si="11"/>
        <v>81</v>
      </c>
      <c r="U160" s="27" t="s">
        <v>55</v>
      </c>
      <c r="V160" s="27" t="s">
        <v>55</v>
      </c>
      <c r="W160" s="27" t="s">
        <v>55</v>
      </c>
      <c r="X160" s="27" t="s">
        <v>55</v>
      </c>
      <c r="Y160" s="27" t="s">
        <v>55</v>
      </c>
      <c r="Z160" s="27" t="s">
        <v>208</v>
      </c>
      <c r="AA160" s="27" t="s">
        <v>989</v>
      </c>
      <c r="AB160" s="27">
        <v>18</v>
      </c>
      <c r="AC160" s="27" t="s">
        <v>55</v>
      </c>
      <c r="AD160" s="27" t="s">
        <v>55</v>
      </c>
      <c r="AE160" s="27" t="s">
        <v>55</v>
      </c>
      <c r="AR160" s="2" t="s">
        <v>55</v>
      </c>
    </row>
    <row r="161" spans="1:58" ht="60" customHeight="1" x14ac:dyDescent="0.35">
      <c r="O161" s="2">
        <v>2.5</v>
      </c>
      <c r="Q161" s="3">
        <v>46088</v>
      </c>
      <c r="R161" s="58">
        <v>0.43333333333333335</v>
      </c>
      <c r="T161" s="2">
        <f t="shared" si="11"/>
        <v>85</v>
      </c>
      <c r="U161" s="27" t="s">
        <v>55</v>
      </c>
      <c r="V161" s="27" t="s">
        <v>55</v>
      </c>
      <c r="W161" s="27" t="s">
        <v>55</v>
      </c>
      <c r="X161" s="27" t="s">
        <v>55</v>
      </c>
      <c r="Y161" s="27" t="s">
        <v>55</v>
      </c>
      <c r="Z161" s="27" t="s">
        <v>577</v>
      </c>
      <c r="AA161" s="27" t="s">
        <v>1020</v>
      </c>
      <c r="AB161" s="27">
        <v>18</v>
      </c>
      <c r="AC161" s="27" t="s">
        <v>55</v>
      </c>
      <c r="AD161" s="27" t="s">
        <v>55</v>
      </c>
      <c r="AE161" s="27" t="s">
        <v>55</v>
      </c>
      <c r="AR161" s="2" t="s">
        <v>55</v>
      </c>
    </row>
    <row r="162" spans="1:58" ht="60" customHeight="1" x14ac:dyDescent="0.35">
      <c r="O162" s="2">
        <v>2.5</v>
      </c>
      <c r="Q162" s="3">
        <v>46091</v>
      </c>
      <c r="R162" s="58">
        <v>0.83263888888888893</v>
      </c>
      <c r="T162" s="2">
        <f t="shared" si="11"/>
        <v>88</v>
      </c>
      <c r="U162" s="27" t="s">
        <v>55</v>
      </c>
      <c r="V162" s="27" t="s">
        <v>55</v>
      </c>
      <c r="W162" s="27" t="s">
        <v>55</v>
      </c>
      <c r="X162" s="27" t="s">
        <v>55</v>
      </c>
      <c r="Y162" s="27" t="s">
        <v>55</v>
      </c>
      <c r="Z162" s="27" t="s">
        <v>208</v>
      </c>
      <c r="AA162" s="27" t="s">
        <v>1058</v>
      </c>
      <c r="AB162" s="27">
        <v>18</v>
      </c>
      <c r="AC162" s="27" t="s">
        <v>55</v>
      </c>
      <c r="AD162" s="27" t="s">
        <v>55</v>
      </c>
      <c r="AE162" s="27" t="s">
        <v>55</v>
      </c>
      <c r="AR162" s="2" t="s">
        <v>55</v>
      </c>
    </row>
    <row r="163" spans="1:58" ht="60" customHeight="1" x14ac:dyDescent="0.35">
      <c r="O163" s="2">
        <v>2.5</v>
      </c>
      <c r="Q163" s="3">
        <v>46098</v>
      </c>
      <c r="R163" s="58">
        <v>0.70972222222222225</v>
      </c>
      <c r="T163" s="2">
        <f t="shared" si="11"/>
        <v>95</v>
      </c>
      <c r="U163" s="27" t="s">
        <v>55</v>
      </c>
      <c r="V163" s="27" t="s">
        <v>55</v>
      </c>
      <c r="W163" s="27" t="s">
        <v>55</v>
      </c>
      <c r="X163" s="27" t="s">
        <v>55</v>
      </c>
      <c r="Y163" s="27" t="s">
        <v>55</v>
      </c>
      <c r="Z163" s="27" t="s">
        <v>648</v>
      </c>
      <c r="AA163" s="27" t="s">
        <v>1091</v>
      </c>
      <c r="AB163" s="27">
        <v>18</v>
      </c>
      <c r="AC163" s="27" t="s">
        <v>55</v>
      </c>
      <c r="AD163" s="27" t="s">
        <v>55</v>
      </c>
      <c r="AE163" s="27" t="s">
        <v>55</v>
      </c>
      <c r="AR163" s="2" t="s">
        <v>55</v>
      </c>
    </row>
    <row r="164" spans="1:58" ht="60" customHeight="1" x14ac:dyDescent="0.35">
      <c r="O164" s="2">
        <v>2.5</v>
      </c>
      <c r="Q164" s="3">
        <v>46105</v>
      </c>
      <c r="R164" s="58">
        <v>0.74375000000000002</v>
      </c>
      <c r="T164" s="2">
        <f t="shared" si="11"/>
        <v>102</v>
      </c>
      <c r="U164" s="27" t="s">
        <v>55</v>
      </c>
      <c r="V164" s="27" t="s">
        <v>55</v>
      </c>
      <c r="W164" s="27" t="s">
        <v>55</v>
      </c>
      <c r="X164" s="27" t="s">
        <v>55</v>
      </c>
      <c r="Y164" s="27" t="s">
        <v>55</v>
      </c>
      <c r="Z164" s="27" t="s">
        <v>647</v>
      </c>
      <c r="AA164" s="27" t="s">
        <v>647</v>
      </c>
      <c r="AB164" s="27">
        <v>18</v>
      </c>
      <c r="AC164" s="27" t="s">
        <v>55</v>
      </c>
      <c r="AD164" s="27" t="s">
        <v>55</v>
      </c>
      <c r="AE164" s="27" t="s">
        <v>55</v>
      </c>
      <c r="AR164" s="2" t="s">
        <v>55</v>
      </c>
      <c r="BF164" s="2" t="s">
        <v>1143</v>
      </c>
    </row>
    <row r="165" spans="1:58" ht="60" customHeight="1" x14ac:dyDescent="0.35">
      <c r="O165" s="2">
        <v>2.75</v>
      </c>
      <c r="Q165" s="3">
        <v>46108</v>
      </c>
      <c r="R165" s="58">
        <v>0.6958333333333333</v>
      </c>
      <c r="T165" s="2">
        <f t="shared" si="11"/>
        <v>105</v>
      </c>
      <c r="U165" s="27" t="s">
        <v>55</v>
      </c>
      <c r="V165" s="27" t="s">
        <v>55</v>
      </c>
      <c r="W165" s="27" t="s">
        <v>55</v>
      </c>
      <c r="X165" s="27" t="s">
        <v>55</v>
      </c>
      <c r="Y165" s="27" t="s">
        <v>55</v>
      </c>
      <c r="Z165" s="27" t="s">
        <v>1154</v>
      </c>
      <c r="AA165" s="27" t="s">
        <v>362</v>
      </c>
      <c r="AB165" s="27">
        <v>18</v>
      </c>
      <c r="AC165" s="27" t="s">
        <v>55</v>
      </c>
      <c r="AD165" s="27" t="s">
        <v>55</v>
      </c>
      <c r="AE165" s="27" t="s">
        <v>55</v>
      </c>
      <c r="AR165" s="2" t="s">
        <v>55</v>
      </c>
    </row>
    <row r="166" spans="1:58" ht="60" customHeight="1" x14ac:dyDescent="0.35">
      <c r="O166" s="2">
        <v>2.75</v>
      </c>
      <c r="Q166" s="3">
        <v>46112</v>
      </c>
      <c r="R166" s="58">
        <v>0.7944444444444444</v>
      </c>
      <c r="T166" s="2">
        <f t="shared" si="11"/>
        <v>109</v>
      </c>
      <c r="U166" s="27" t="s">
        <v>55</v>
      </c>
      <c r="V166" s="27" t="s">
        <v>55</v>
      </c>
      <c r="W166" s="27" t="s">
        <v>55</v>
      </c>
      <c r="X166" s="27" t="s">
        <v>55</v>
      </c>
      <c r="Y166" s="27" t="s">
        <v>55</v>
      </c>
      <c r="Z166" s="27" t="s">
        <v>1182</v>
      </c>
      <c r="AA166" s="27" t="s">
        <v>1181</v>
      </c>
      <c r="AB166" s="27">
        <v>18</v>
      </c>
      <c r="AC166" s="27" t="s">
        <v>55</v>
      </c>
      <c r="AD166" s="27" t="s">
        <v>55</v>
      </c>
      <c r="AE166" s="27" t="s">
        <v>55</v>
      </c>
      <c r="AR166" s="2" t="s">
        <v>55</v>
      </c>
    </row>
    <row r="167" spans="1:58" ht="60" customHeight="1" x14ac:dyDescent="0.35">
      <c r="Q167" s="3"/>
      <c r="R167" s="58"/>
    </row>
    <row r="168" spans="1:58" ht="60" customHeight="1" x14ac:dyDescent="0.35">
      <c r="A168" s="22">
        <v>8</v>
      </c>
      <c r="B168" s="136" t="s">
        <v>1040</v>
      </c>
      <c r="C168" s="3">
        <v>45283</v>
      </c>
      <c r="D168" s="3">
        <v>46010</v>
      </c>
      <c r="E168" s="44">
        <f t="shared" si="4"/>
        <v>727</v>
      </c>
      <c r="F168" s="44">
        <f t="shared" si="5"/>
        <v>1.9917808219178081</v>
      </c>
      <c r="G168" s="44">
        <f t="shared" si="6"/>
        <v>2.2791666666666668</v>
      </c>
      <c r="H168" s="2" t="s">
        <v>11</v>
      </c>
      <c r="I168" s="56"/>
      <c r="J168" s="2">
        <v>4125</v>
      </c>
      <c r="O168" s="2">
        <v>3.25</v>
      </c>
      <c r="Q168" s="3">
        <v>46018</v>
      </c>
      <c r="R168" s="58">
        <v>0.50555555555555554</v>
      </c>
      <c r="T168" s="2">
        <f>Q168-$D$168</f>
        <v>8</v>
      </c>
      <c r="U168" s="27">
        <v>27.94</v>
      </c>
      <c r="V168" s="27">
        <v>16.8</v>
      </c>
      <c r="W168" s="27">
        <v>3.36</v>
      </c>
      <c r="X168" s="27">
        <v>12.65</v>
      </c>
      <c r="Y168" s="27">
        <v>5.91</v>
      </c>
      <c r="Z168" s="27" t="s">
        <v>55</v>
      </c>
      <c r="AA168" s="27" t="s">
        <v>55</v>
      </c>
      <c r="AB168" s="27" t="s">
        <v>55</v>
      </c>
      <c r="AC168" s="27" t="s">
        <v>55</v>
      </c>
      <c r="AD168" s="27" t="s">
        <v>55</v>
      </c>
      <c r="AE168" s="27" t="s">
        <v>55</v>
      </c>
      <c r="AR168" s="2" t="s">
        <v>682</v>
      </c>
      <c r="AS168" s="2">
        <v>0.76</v>
      </c>
      <c r="AT168" s="2">
        <v>2.4500000000000002</v>
      </c>
      <c r="AU168" s="2">
        <v>11.99</v>
      </c>
      <c r="AV168" s="2">
        <v>4.18</v>
      </c>
      <c r="AW168" s="2">
        <v>50.15</v>
      </c>
      <c r="AX168" s="2">
        <v>15.39</v>
      </c>
      <c r="AY168" s="2">
        <v>7.7</v>
      </c>
      <c r="AZ168" s="2">
        <v>0.495</v>
      </c>
      <c r="BA168" s="2">
        <v>1.01</v>
      </c>
      <c r="BB168" s="2">
        <v>0.06</v>
      </c>
      <c r="BC168" s="2">
        <v>0.09</v>
      </c>
      <c r="BD168" s="2">
        <v>44</v>
      </c>
      <c r="BE168" s="2">
        <v>110</v>
      </c>
    </row>
    <row r="169" spans="1:58" ht="60" customHeight="1" x14ac:dyDescent="0.35">
      <c r="B169" s="20" t="s">
        <v>850</v>
      </c>
      <c r="O169" s="2">
        <v>3.25</v>
      </c>
      <c r="Q169" s="3">
        <v>46021</v>
      </c>
      <c r="R169" s="58">
        <v>0.73541666666666661</v>
      </c>
      <c r="T169" s="2">
        <f t="shared" si="11"/>
        <v>18</v>
      </c>
      <c r="U169" s="27">
        <v>20.04</v>
      </c>
      <c r="V169" s="27">
        <v>10.1</v>
      </c>
      <c r="W169" s="27">
        <v>2.08</v>
      </c>
      <c r="X169" s="27">
        <v>8.08</v>
      </c>
      <c r="Y169" s="27">
        <v>2.74</v>
      </c>
      <c r="Z169" s="27" t="s">
        <v>55</v>
      </c>
      <c r="AA169" s="27" t="s">
        <v>55</v>
      </c>
      <c r="AB169" s="27" t="s">
        <v>55</v>
      </c>
      <c r="AC169" s="27" t="s">
        <v>55</v>
      </c>
      <c r="AD169" s="27" t="s">
        <v>55</v>
      </c>
      <c r="AE169" s="27" t="s">
        <v>55</v>
      </c>
      <c r="AR169" s="2" t="s">
        <v>107</v>
      </c>
      <c r="AS169" s="2">
        <v>1</v>
      </c>
      <c r="AT169" s="2">
        <v>4.78</v>
      </c>
      <c r="AU169" s="2">
        <v>0</v>
      </c>
      <c r="AV169" s="56">
        <v>8.9903058083360205E+18</v>
      </c>
      <c r="AW169" s="2">
        <v>31.19</v>
      </c>
      <c r="AX169" s="2">
        <v>6.45</v>
      </c>
      <c r="AY169" s="2">
        <v>3.26</v>
      </c>
      <c r="AZ169" s="2">
        <v>0.5</v>
      </c>
      <c r="BA169" s="2">
        <v>0.39</v>
      </c>
      <c r="BB169" s="2">
        <v>0</v>
      </c>
      <c r="BC169" s="2">
        <v>0.02</v>
      </c>
      <c r="BD169" s="2">
        <v>24</v>
      </c>
      <c r="BE169" s="2">
        <v>109</v>
      </c>
    </row>
    <row r="170" spans="1:58" ht="60" customHeight="1" x14ac:dyDescent="0.35">
      <c r="O170" s="2">
        <v>3</v>
      </c>
      <c r="Q170" s="3">
        <v>46024</v>
      </c>
      <c r="R170" s="58">
        <v>0.66041666666666665</v>
      </c>
      <c r="T170" s="2">
        <f t="shared" si="11"/>
        <v>21</v>
      </c>
      <c r="U170" s="27">
        <v>21.41</v>
      </c>
      <c r="V170" s="27">
        <v>8.65</v>
      </c>
      <c r="W170" s="27">
        <v>2.36</v>
      </c>
      <c r="X170" s="27">
        <v>6.94</v>
      </c>
      <c r="Y170" s="27">
        <v>11.97</v>
      </c>
      <c r="Z170" s="27" t="s">
        <v>55</v>
      </c>
      <c r="AA170" s="27" t="s">
        <v>711</v>
      </c>
      <c r="AB170" s="27">
        <v>21</v>
      </c>
      <c r="AC170" s="27" t="s">
        <v>55</v>
      </c>
      <c r="AD170" s="27" t="s">
        <v>55</v>
      </c>
      <c r="AE170" s="27" t="s">
        <v>55</v>
      </c>
      <c r="AR170" s="2" t="s">
        <v>52</v>
      </c>
      <c r="AS170" s="2">
        <v>1</v>
      </c>
      <c r="AT170" s="2">
        <v>3.91</v>
      </c>
      <c r="AU170" s="2">
        <v>0</v>
      </c>
      <c r="AV170" s="2" t="s">
        <v>89</v>
      </c>
      <c r="AW170" s="2">
        <v>24.88</v>
      </c>
      <c r="AX170" s="2">
        <v>6.3</v>
      </c>
      <c r="AY170" s="2">
        <v>3.37</v>
      </c>
      <c r="AZ170" s="2">
        <v>0.53</v>
      </c>
      <c r="BA170" s="2">
        <v>0.25</v>
      </c>
      <c r="BB170" s="2">
        <v>0</v>
      </c>
      <c r="BC170" s="2">
        <v>0.02</v>
      </c>
      <c r="BD170" s="2">
        <v>36</v>
      </c>
      <c r="BE170" s="2">
        <v>105</v>
      </c>
      <c r="BF170" s="2" t="s">
        <v>710</v>
      </c>
    </row>
    <row r="171" spans="1:58" ht="60" customHeight="1" x14ac:dyDescent="0.35">
      <c r="O171" s="2">
        <v>3</v>
      </c>
      <c r="Q171" s="3">
        <v>46027</v>
      </c>
      <c r="R171" s="2" t="s">
        <v>726</v>
      </c>
      <c r="T171" s="2">
        <f t="shared" si="11"/>
        <v>24</v>
      </c>
      <c r="U171" s="27">
        <v>19.71</v>
      </c>
      <c r="V171" s="27">
        <v>6.79</v>
      </c>
      <c r="W171" s="27">
        <v>1.61</v>
      </c>
      <c r="X171" s="27">
        <v>4.33</v>
      </c>
      <c r="Y171" s="27">
        <v>13.63</v>
      </c>
      <c r="Z171" s="27" t="s">
        <v>737</v>
      </c>
      <c r="AA171" s="27" t="s">
        <v>727</v>
      </c>
      <c r="AB171" s="27">
        <v>21</v>
      </c>
      <c r="AC171" s="27" t="s">
        <v>55</v>
      </c>
      <c r="AD171" s="27" t="s">
        <v>55</v>
      </c>
      <c r="AE171" s="27" t="s">
        <v>55</v>
      </c>
      <c r="AR171" s="2" t="s">
        <v>52</v>
      </c>
      <c r="AS171" s="2">
        <v>0.77</v>
      </c>
      <c r="AT171" s="2">
        <v>2.2000000000000002</v>
      </c>
      <c r="AU171" s="2">
        <v>11.56</v>
      </c>
      <c r="AV171" s="2">
        <v>4.3499999999999996</v>
      </c>
      <c r="AW171" s="2">
        <v>50.26</v>
      </c>
      <c r="AX171" s="2">
        <v>17.399999999999999</v>
      </c>
      <c r="AY171" s="2">
        <v>8.6999999999999993</v>
      </c>
      <c r="AZ171" s="2">
        <v>0.495</v>
      </c>
      <c r="BA171" s="2">
        <v>1.01</v>
      </c>
      <c r="BB171" s="2">
        <v>0.05</v>
      </c>
      <c r="BC171" s="2">
        <v>0.12</v>
      </c>
      <c r="BD171" s="2">
        <v>54</v>
      </c>
      <c r="BE171" s="2">
        <v>110</v>
      </c>
      <c r="BF171" s="2" t="s">
        <v>710</v>
      </c>
    </row>
    <row r="172" spans="1:58" ht="60" customHeight="1" x14ac:dyDescent="0.35">
      <c r="O172" s="2">
        <v>3</v>
      </c>
      <c r="Q172" s="3">
        <v>46031</v>
      </c>
      <c r="R172" s="58">
        <v>0.74375000000000002</v>
      </c>
      <c r="T172" s="2">
        <f t="shared" si="11"/>
        <v>28</v>
      </c>
      <c r="U172" s="27">
        <v>15.83</v>
      </c>
      <c r="V172" s="27">
        <v>8.67</v>
      </c>
      <c r="W172" s="27">
        <v>2.0299999999999998</v>
      </c>
      <c r="X172" s="27">
        <v>5.64</v>
      </c>
      <c r="Y172" s="27">
        <v>1.62</v>
      </c>
      <c r="Z172" s="27" t="s">
        <v>746</v>
      </c>
      <c r="AA172" s="27" t="s">
        <v>98</v>
      </c>
      <c r="AB172" s="27">
        <v>21</v>
      </c>
      <c r="AC172" s="27" t="s">
        <v>55</v>
      </c>
      <c r="AD172" s="27" t="s">
        <v>55</v>
      </c>
      <c r="AE172" s="27" t="s">
        <v>55</v>
      </c>
      <c r="AR172" s="2" t="s">
        <v>50</v>
      </c>
    </row>
    <row r="173" spans="1:58" ht="60" customHeight="1" x14ac:dyDescent="0.35">
      <c r="O173" s="2">
        <v>2.75</v>
      </c>
      <c r="Q173" s="3">
        <v>46035</v>
      </c>
      <c r="R173" s="58">
        <v>0.7416666666666667</v>
      </c>
      <c r="T173" s="2">
        <f t="shared" si="11"/>
        <v>32</v>
      </c>
      <c r="U173" s="27">
        <v>15</v>
      </c>
      <c r="V173" s="27">
        <v>8.25</v>
      </c>
      <c r="W173" s="27">
        <v>2.5299999999999998</v>
      </c>
      <c r="X173" s="27">
        <v>6.66</v>
      </c>
      <c r="Y173" s="27">
        <v>5</v>
      </c>
      <c r="Z173" s="27" t="s">
        <v>751</v>
      </c>
      <c r="AA173" s="27" t="s">
        <v>199</v>
      </c>
      <c r="AB173" s="27">
        <v>21</v>
      </c>
      <c r="AC173" s="27" t="s">
        <v>55</v>
      </c>
      <c r="AD173" s="27" t="s">
        <v>55</v>
      </c>
      <c r="AE173" s="27" t="s">
        <v>55</v>
      </c>
      <c r="AR173" s="2" t="s">
        <v>52</v>
      </c>
      <c r="AS173" s="2">
        <v>1</v>
      </c>
      <c r="AT173" s="2">
        <v>5.0599999999999996</v>
      </c>
      <c r="AU173" s="2">
        <v>0</v>
      </c>
      <c r="AV173" s="2" t="s">
        <v>89</v>
      </c>
      <c r="AW173" s="2">
        <v>17.829999999999998</v>
      </c>
      <c r="AX173" s="2">
        <v>3.5</v>
      </c>
      <c r="AY173" s="2">
        <v>2.56</v>
      </c>
      <c r="AZ173" s="2">
        <v>0.72499999999999998</v>
      </c>
      <c r="BA173" s="2">
        <v>0.13</v>
      </c>
      <c r="BB173" s="2">
        <v>0</v>
      </c>
      <c r="BC173" s="2">
        <v>0</v>
      </c>
      <c r="BD173" s="2">
        <v>52</v>
      </c>
      <c r="BE173" s="2">
        <v>78</v>
      </c>
    </row>
    <row r="174" spans="1:58" ht="60" customHeight="1" x14ac:dyDescent="0.35">
      <c r="O174" s="2">
        <v>2.75</v>
      </c>
      <c r="Q174" s="3">
        <v>46038</v>
      </c>
      <c r="R174" s="58">
        <v>0.54583333333333328</v>
      </c>
      <c r="T174" s="2">
        <f t="shared" si="11"/>
        <v>35</v>
      </c>
      <c r="U174" s="27">
        <v>14.39</v>
      </c>
      <c r="V174" s="27">
        <v>5.48</v>
      </c>
      <c r="W174" s="27">
        <v>2.87</v>
      </c>
      <c r="X174" s="27">
        <v>2.8</v>
      </c>
      <c r="Y174" s="27">
        <v>2.39</v>
      </c>
      <c r="Z174" s="27" t="s">
        <v>87</v>
      </c>
      <c r="AA174" s="27" t="s">
        <v>766</v>
      </c>
      <c r="AB174" s="27">
        <v>21</v>
      </c>
      <c r="AC174" s="27" t="s">
        <v>55</v>
      </c>
      <c r="AD174" s="27" t="s">
        <v>55</v>
      </c>
      <c r="AE174" s="27" t="s">
        <v>55</v>
      </c>
      <c r="AR174" s="2" t="s">
        <v>52</v>
      </c>
      <c r="AS174" s="2">
        <v>1</v>
      </c>
      <c r="AT174" s="2">
        <v>3.91</v>
      </c>
      <c r="AU174" s="2">
        <v>0</v>
      </c>
      <c r="AV174" s="2" t="s">
        <v>89</v>
      </c>
      <c r="AW174" s="2">
        <v>35.58</v>
      </c>
      <c r="AX174" s="2">
        <v>9</v>
      </c>
      <c r="AY174" s="2">
        <v>4.2300000000000004</v>
      </c>
      <c r="AZ174" s="2">
        <v>0.46500000000000002</v>
      </c>
      <c r="BA174" s="2">
        <v>0.51</v>
      </c>
      <c r="BB174" s="2">
        <v>0</v>
      </c>
      <c r="BC174" s="2">
        <v>0.03</v>
      </c>
      <c r="BD174" s="2">
        <v>54</v>
      </c>
      <c r="BE174" s="2">
        <v>118</v>
      </c>
    </row>
    <row r="175" spans="1:58" ht="60" customHeight="1" x14ac:dyDescent="0.35">
      <c r="O175" s="2">
        <v>2.75</v>
      </c>
      <c r="Q175" s="3">
        <v>46041</v>
      </c>
      <c r="R175" s="58">
        <v>0.71250000000000002</v>
      </c>
      <c r="T175" s="2">
        <f t="shared" si="11"/>
        <v>38</v>
      </c>
      <c r="U175" s="27">
        <v>16.95</v>
      </c>
      <c r="V175" s="27">
        <v>9.0299999999999994</v>
      </c>
      <c r="W175" s="27">
        <v>0.94</v>
      </c>
      <c r="X175" s="27">
        <v>6.74</v>
      </c>
      <c r="Y175" s="27">
        <v>2.1</v>
      </c>
      <c r="Z175" s="27" t="s">
        <v>305</v>
      </c>
      <c r="AA175" s="27" t="s">
        <v>785</v>
      </c>
      <c r="AB175" s="27">
        <v>21</v>
      </c>
      <c r="AC175" s="27" t="s">
        <v>55</v>
      </c>
      <c r="AD175" s="27" t="s">
        <v>55</v>
      </c>
      <c r="AE175" s="27" t="s">
        <v>55</v>
      </c>
      <c r="AR175" s="2" t="s">
        <v>52</v>
      </c>
      <c r="AS175" s="2">
        <v>1</v>
      </c>
      <c r="AT175" s="2">
        <v>3.42</v>
      </c>
      <c r="AU175" s="2">
        <v>0</v>
      </c>
      <c r="AV175" s="2" t="s">
        <v>89</v>
      </c>
      <c r="AW175" s="2">
        <v>28.13</v>
      </c>
      <c r="AX175" s="2">
        <v>8.16</v>
      </c>
      <c r="AY175" s="2">
        <v>4.6900000000000004</v>
      </c>
      <c r="AZ175" s="2">
        <v>0.56999999999999995</v>
      </c>
      <c r="BA175" s="2">
        <v>0.32</v>
      </c>
      <c r="BB175" s="2">
        <v>0</v>
      </c>
      <c r="BC175" s="2">
        <v>0.03</v>
      </c>
      <c r="BD175" s="2">
        <v>48</v>
      </c>
      <c r="BE175" s="2">
        <v>93</v>
      </c>
    </row>
    <row r="176" spans="1:58" ht="60" customHeight="1" x14ac:dyDescent="0.35">
      <c r="O176" s="2">
        <v>2.75</v>
      </c>
      <c r="Q176" s="3">
        <v>46045</v>
      </c>
      <c r="R176" s="58">
        <v>0.65833333333333333</v>
      </c>
      <c r="T176" s="2">
        <f t="shared" si="11"/>
        <v>42</v>
      </c>
      <c r="U176" s="27">
        <v>13.38</v>
      </c>
      <c r="V176" s="27">
        <v>7.34</v>
      </c>
      <c r="W176" s="27">
        <v>1.06</v>
      </c>
      <c r="X176" s="27">
        <v>5.0599999999999996</v>
      </c>
      <c r="Y176" s="27">
        <v>2.61</v>
      </c>
      <c r="Z176" s="27" t="s">
        <v>100</v>
      </c>
      <c r="AA176" s="27" t="s">
        <v>226</v>
      </c>
      <c r="AB176" s="27">
        <v>21</v>
      </c>
      <c r="AC176" s="27" t="s">
        <v>55</v>
      </c>
      <c r="AD176" s="27" t="s">
        <v>55</v>
      </c>
      <c r="AE176" s="27" t="s">
        <v>55</v>
      </c>
      <c r="AR176" s="2" t="s">
        <v>50</v>
      </c>
    </row>
    <row r="177" spans="15:58" ht="60" customHeight="1" x14ac:dyDescent="0.35">
      <c r="O177" s="2">
        <v>2.75</v>
      </c>
      <c r="Q177" s="3">
        <v>46049</v>
      </c>
      <c r="R177" s="58">
        <v>0.72291666666666665</v>
      </c>
      <c r="T177" s="2">
        <f t="shared" si="11"/>
        <v>46</v>
      </c>
      <c r="U177" s="27">
        <v>12.97</v>
      </c>
      <c r="V177" s="27">
        <v>6.12</v>
      </c>
      <c r="W177" s="27">
        <v>0.78</v>
      </c>
      <c r="X177" s="27">
        <v>4.55</v>
      </c>
      <c r="Y177" s="27">
        <v>0.94</v>
      </c>
      <c r="Z177" s="27" t="s">
        <v>801</v>
      </c>
      <c r="AA177" s="27" t="s">
        <v>802</v>
      </c>
      <c r="AB177" s="27">
        <v>21</v>
      </c>
      <c r="AC177" s="27" t="s">
        <v>55</v>
      </c>
      <c r="AD177" s="27" t="s">
        <v>55</v>
      </c>
      <c r="AE177" s="27" t="s">
        <v>55</v>
      </c>
      <c r="AR177" s="2" t="s">
        <v>50</v>
      </c>
    </row>
    <row r="178" spans="15:58" ht="60" customHeight="1" x14ac:dyDescent="0.35">
      <c r="O178" s="2">
        <v>2.75</v>
      </c>
      <c r="Q178" s="3">
        <v>46052</v>
      </c>
      <c r="R178" s="58">
        <v>0.74791666666666667</v>
      </c>
      <c r="T178" s="2">
        <f t="shared" si="11"/>
        <v>49</v>
      </c>
      <c r="U178" s="27">
        <v>14.48</v>
      </c>
      <c r="V178" s="27">
        <v>7.53</v>
      </c>
      <c r="W178" s="27">
        <v>2.2599999999999998</v>
      </c>
      <c r="X178" s="27">
        <v>5.75</v>
      </c>
      <c r="Y178" s="27">
        <v>1.1299999999999999</v>
      </c>
      <c r="Z178" s="27" t="s">
        <v>317</v>
      </c>
      <c r="AA178" s="27" t="s">
        <v>130</v>
      </c>
      <c r="AB178" s="27">
        <v>21</v>
      </c>
      <c r="AC178" s="27" t="s">
        <v>55</v>
      </c>
      <c r="AD178" s="27" t="s">
        <v>55</v>
      </c>
      <c r="AE178" s="27" t="s">
        <v>55</v>
      </c>
      <c r="AR178" s="2" t="s">
        <v>50</v>
      </c>
    </row>
    <row r="179" spans="15:58" ht="60" customHeight="1" x14ac:dyDescent="0.35">
      <c r="O179" s="2">
        <v>2.75</v>
      </c>
      <c r="Q179" s="3">
        <v>46056</v>
      </c>
      <c r="R179" s="58">
        <v>0.63055555555555554</v>
      </c>
      <c r="T179" s="2">
        <f t="shared" si="11"/>
        <v>53</v>
      </c>
      <c r="U179" s="27" t="s">
        <v>55</v>
      </c>
      <c r="V179" s="27" t="s">
        <v>55</v>
      </c>
      <c r="W179" s="27" t="s">
        <v>55</v>
      </c>
      <c r="X179" s="27" t="s">
        <v>55</v>
      </c>
      <c r="Y179" s="27" t="s">
        <v>55</v>
      </c>
      <c r="Z179" s="27" t="s">
        <v>242</v>
      </c>
      <c r="AA179" s="27" t="s">
        <v>98</v>
      </c>
      <c r="AB179" s="27">
        <v>21</v>
      </c>
      <c r="AC179" s="27" t="s">
        <v>55</v>
      </c>
      <c r="AD179" s="27" t="s">
        <v>55</v>
      </c>
      <c r="AE179" s="27" t="s">
        <v>55</v>
      </c>
      <c r="AR179" s="2" t="s">
        <v>55</v>
      </c>
      <c r="BF179" s="41" t="s">
        <v>831</v>
      </c>
    </row>
    <row r="180" spans="15:58" ht="60" customHeight="1" x14ac:dyDescent="0.35">
      <c r="O180" s="2">
        <v>2.75</v>
      </c>
      <c r="Q180" s="3">
        <v>46059</v>
      </c>
      <c r="R180" s="58">
        <v>0.46111111111111114</v>
      </c>
      <c r="T180" s="2">
        <f t="shared" si="11"/>
        <v>56</v>
      </c>
      <c r="U180" s="27" t="s">
        <v>55</v>
      </c>
      <c r="V180" s="27" t="s">
        <v>55</v>
      </c>
      <c r="W180" s="27" t="s">
        <v>55</v>
      </c>
      <c r="X180" s="27" t="s">
        <v>55</v>
      </c>
      <c r="Y180" s="27" t="s">
        <v>55</v>
      </c>
      <c r="Z180" s="27" t="s">
        <v>134</v>
      </c>
      <c r="AA180" s="27" t="s">
        <v>186</v>
      </c>
      <c r="AB180" s="27">
        <v>21</v>
      </c>
      <c r="AC180" s="27" t="s">
        <v>55</v>
      </c>
      <c r="AD180" s="27" t="s">
        <v>55</v>
      </c>
      <c r="AE180" s="27" t="s">
        <v>55</v>
      </c>
      <c r="AR180" s="2" t="s">
        <v>55</v>
      </c>
      <c r="BF180" s="2" t="s">
        <v>852</v>
      </c>
    </row>
    <row r="181" spans="15:58" ht="60" customHeight="1" x14ac:dyDescent="0.35">
      <c r="O181" s="2">
        <v>2.75</v>
      </c>
      <c r="Q181" s="3">
        <v>46062</v>
      </c>
      <c r="R181" s="58">
        <v>0.50069444444444444</v>
      </c>
      <c r="T181" s="2">
        <f t="shared" si="11"/>
        <v>59</v>
      </c>
      <c r="U181" s="27" t="s">
        <v>55</v>
      </c>
      <c r="V181" s="27" t="s">
        <v>55</v>
      </c>
      <c r="W181" s="27" t="s">
        <v>55</v>
      </c>
      <c r="X181" s="27" t="s">
        <v>55</v>
      </c>
      <c r="Y181" s="27" t="s">
        <v>55</v>
      </c>
      <c r="Z181" s="27" t="s">
        <v>81</v>
      </c>
      <c r="AA181" s="27" t="s">
        <v>862</v>
      </c>
      <c r="AB181" s="27">
        <v>21</v>
      </c>
      <c r="AC181" s="27" t="s">
        <v>55</v>
      </c>
      <c r="AD181" s="27" t="s">
        <v>55</v>
      </c>
      <c r="AE181" s="27" t="s">
        <v>55</v>
      </c>
      <c r="AR181" s="2" t="s">
        <v>55</v>
      </c>
    </row>
    <row r="182" spans="15:58" ht="60" customHeight="1" x14ac:dyDescent="0.35">
      <c r="O182" s="2">
        <v>2.75</v>
      </c>
      <c r="Q182" s="3">
        <v>46066</v>
      </c>
      <c r="R182" s="58">
        <v>0.75486111111111109</v>
      </c>
      <c r="T182" s="2">
        <f t="shared" si="11"/>
        <v>63</v>
      </c>
      <c r="U182" s="27" t="s">
        <v>55</v>
      </c>
      <c r="V182" s="27" t="s">
        <v>55</v>
      </c>
      <c r="W182" s="27" t="s">
        <v>55</v>
      </c>
      <c r="X182" s="27" t="s">
        <v>55</v>
      </c>
      <c r="Y182" s="27" t="s">
        <v>55</v>
      </c>
      <c r="Z182" s="27" t="s">
        <v>223</v>
      </c>
      <c r="AA182" s="27" t="s">
        <v>887</v>
      </c>
      <c r="AB182" s="27">
        <v>21</v>
      </c>
      <c r="AC182" s="27" t="s">
        <v>55</v>
      </c>
      <c r="AD182" s="27" t="s">
        <v>55</v>
      </c>
      <c r="AE182" s="27" t="s">
        <v>55</v>
      </c>
      <c r="AR182" s="2" t="s">
        <v>55</v>
      </c>
    </row>
    <row r="183" spans="15:58" ht="60" customHeight="1" x14ac:dyDescent="0.35">
      <c r="O183" s="2">
        <v>2.5</v>
      </c>
      <c r="Q183" s="3">
        <v>46070</v>
      </c>
      <c r="R183" s="58">
        <v>0.75972222222222219</v>
      </c>
      <c r="T183" s="2">
        <f t="shared" si="11"/>
        <v>67</v>
      </c>
      <c r="U183" s="27" t="s">
        <v>55</v>
      </c>
      <c r="V183" s="27" t="s">
        <v>55</v>
      </c>
      <c r="W183" s="27" t="s">
        <v>55</v>
      </c>
      <c r="X183" s="27" t="s">
        <v>55</v>
      </c>
      <c r="Y183" s="27" t="s">
        <v>55</v>
      </c>
      <c r="Z183" s="27" t="s">
        <v>326</v>
      </c>
      <c r="AA183" s="27" t="s">
        <v>657</v>
      </c>
      <c r="AB183" s="27">
        <v>21</v>
      </c>
      <c r="AC183" s="27" t="s">
        <v>55</v>
      </c>
      <c r="AD183" s="27" t="s">
        <v>55</v>
      </c>
      <c r="AE183" s="27" t="s">
        <v>55</v>
      </c>
      <c r="AR183" s="2" t="s">
        <v>55</v>
      </c>
    </row>
    <row r="184" spans="15:58" ht="60" customHeight="1" x14ac:dyDescent="0.35">
      <c r="O184" s="2">
        <v>2.5</v>
      </c>
      <c r="Q184" s="3">
        <v>46074</v>
      </c>
      <c r="R184" s="58">
        <v>0.4777777777777778</v>
      </c>
      <c r="T184" s="2">
        <f t="shared" si="11"/>
        <v>71</v>
      </c>
      <c r="U184" s="27" t="s">
        <v>55</v>
      </c>
      <c r="V184" s="27" t="s">
        <v>55</v>
      </c>
      <c r="W184" s="27" t="s">
        <v>55</v>
      </c>
      <c r="X184" s="27" t="s">
        <v>55</v>
      </c>
      <c r="Y184" s="27" t="s">
        <v>55</v>
      </c>
      <c r="Z184" s="27" t="s">
        <v>924</v>
      </c>
      <c r="AA184" s="27" t="s">
        <v>871</v>
      </c>
      <c r="AB184" s="27">
        <v>21</v>
      </c>
      <c r="AC184" s="27" t="s">
        <v>55</v>
      </c>
      <c r="AD184" s="27" t="s">
        <v>55</v>
      </c>
      <c r="AE184" s="27" t="s">
        <v>55</v>
      </c>
      <c r="AR184" s="2" t="s">
        <v>55</v>
      </c>
    </row>
    <row r="185" spans="15:58" ht="60" customHeight="1" x14ac:dyDescent="0.35">
      <c r="O185" s="2">
        <v>2.5</v>
      </c>
      <c r="Q185" s="3">
        <v>46077</v>
      </c>
      <c r="R185" s="58">
        <v>0.77222222222222225</v>
      </c>
      <c r="T185" s="2">
        <f t="shared" si="11"/>
        <v>74</v>
      </c>
      <c r="U185" s="27" t="s">
        <v>55</v>
      </c>
      <c r="V185" s="27" t="s">
        <v>55</v>
      </c>
      <c r="W185" s="27" t="s">
        <v>55</v>
      </c>
      <c r="X185" s="27" t="s">
        <v>55</v>
      </c>
      <c r="Y185" s="27" t="s">
        <v>55</v>
      </c>
      <c r="Z185" s="27" t="s">
        <v>384</v>
      </c>
      <c r="AA185" s="27" t="s">
        <v>247</v>
      </c>
      <c r="AB185" s="27">
        <v>21</v>
      </c>
      <c r="AC185" s="27" t="s">
        <v>55</v>
      </c>
      <c r="AD185" s="27" t="s">
        <v>55</v>
      </c>
      <c r="AE185" s="27" t="s">
        <v>55</v>
      </c>
      <c r="AR185" s="2" t="s">
        <v>55</v>
      </c>
    </row>
    <row r="186" spans="15:58" ht="60" customHeight="1" x14ac:dyDescent="0.35">
      <c r="O186" s="2">
        <v>2.5</v>
      </c>
      <c r="Q186" s="3">
        <v>46080</v>
      </c>
      <c r="R186" s="58">
        <v>0.54652777777777772</v>
      </c>
      <c r="T186" s="2">
        <f t="shared" si="11"/>
        <v>77</v>
      </c>
      <c r="U186" s="27" t="s">
        <v>55</v>
      </c>
      <c r="V186" s="27" t="s">
        <v>55</v>
      </c>
      <c r="W186" s="27" t="s">
        <v>55</v>
      </c>
      <c r="X186" s="27" t="s">
        <v>55</v>
      </c>
      <c r="Y186" s="27" t="s">
        <v>55</v>
      </c>
      <c r="Z186" s="27" t="s">
        <v>220</v>
      </c>
      <c r="AA186" s="27" t="s">
        <v>232</v>
      </c>
      <c r="AB186" s="27">
        <v>21</v>
      </c>
      <c r="AC186" s="27" t="s">
        <v>55</v>
      </c>
      <c r="AD186" s="27" t="s">
        <v>55</v>
      </c>
      <c r="AE186" s="27" t="s">
        <v>55</v>
      </c>
      <c r="AR186" s="2" t="s">
        <v>55</v>
      </c>
    </row>
    <row r="187" spans="15:58" ht="60" customHeight="1" x14ac:dyDescent="0.35">
      <c r="O187" s="2">
        <v>2.5</v>
      </c>
      <c r="Q187" s="3">
        <v>46084</v>
      </c>
      <c r="R187" s="58">
        <v>0.78194444444444444</v>
      </c>
      <c r="T187" s="2">
        <f t="shared" si="11"/>
        <v>81</v>
      </c>
      <c r="U187" s="27" t="s">
        <v>55</v>
      </c>
      <c r="V187" s="27" t="s">
        <v>55</v>
      </c>
      <c r="W187" s="27" t="s">
        <v>55</v>
      </c>
      <c r="X187" s="27" t="s">
        <v>55</v>
      </c>
      <c r="Y187" s="27" t="s">
        <v>55</v>
      </c>
      <c r="Z187" s="27" t="s">
        <v>647</v>
      </c>
      <c r="AA187" s="27" t="s">
        <v>995</v>
      </c>
      <c r="AB187" s="27">
        <v>21</v>
      </c>
      <c r="AC187" s="27" t="s">
        <v>55</v>
      </c>
      <c r="AD187" s="27" t="s">
        <v>55</v>
      </c>
      <c r="AE187" s="27" t="s">
        <v>55</v>
      </c>
      <c r="AR187" s="2" t="s">
        <v>55</v>
      </c>
    </row>
    <row r="188" spans="15:58" ht="60" customHeight="1" x14ac:dyDescent="0.35">
      <c r="O188" s="2">
        <v>2.5</v>
      </c>
      <c r="Q188" s="3">
        <v>46088</v>
      </c>
      <c r="R188" s="58">
        <v>0.41041666666666665</v>
      </c>
      <c r="T188" s="2">
        <f t="shared" si="11"/>
        <v>85</v>
      </c>
      <c r="U188" s="27" t="s">
        <v>55</v>
      </c>
      <c r="V188" s="27" t="s">
        <v>55</v>
      </c>
      <c r="W188" s="27" t="s">
        <v>55</v>
      </c>
      <c r="X188" s="27" t="s">
        <v>55</v>
      </c>
      <c r="Y188" s="27" t="s">
        <v>55</v>
      </c>
      <c r="Z188" s="27" t="s">
        <v>1010</v>
      </c>
      <c r="AA188" s="27" t="s">
        <v>1009</v>
      </c>
      <c r="AB188" s="27">
        <v>21</v>
      </c>
      <c r="AC188" s="27" t="s">
        <v>55</v>
      </c>
      <c r="AD188" s="27" t="s">
        <v>55</v>
      </c>
      <c r="AE188" s="27" t="s">
        <v>55</v>
      </c>
      <c r="AR188" s="2" t="s">
        <v>55</v>
      </c>
    </row>
    <row r="189" spans="15:58" ht="60" customHeight="1" x14ac:dyDescent="0.35">
      <c r="O189" s="2">
        <v>2.5</v>
      </c>
      <c r="Q189" s="3">
        <v>46091</v>
      </c>
      <c r="R189" s="58">
        <v>0.85138888888888886</v>
      </c>
      <c r="T189" s="2">
        <f t="shared" si="11"/>
        <v>88</v>
      </c>
      <c r="U189" s="27" t="s">
        <v>55</v>
      </c>
      <c r="V189" s="27" t="s">
        <v>55</v>
      </c>
      <c r="W189" s="27" t="s">
        <v>55</v>
      </c>
      <c r="X189" s="27" t="s">
        <v>55</v>
      </c>
      <c r="Y189" s="27" t="s">
        <v>55</v>
      </c>
      <c r="Z189" s="27" t="s">
        <v>1073</v>
      </c>
      <c r="AA189" s="27" t="s">
        <v>1072</v>
      </c>
      <c r="AB189" s="27">
        <v>21</v>
      </c>
      <c r="AC189" s="27" t="s">
        <v>55</v>
      </c>
      <c r="AD189" s="27" t="s">
        <v>55</v>
      </c>
      <c r="AE189" s="27" t="s">
        <v>55</v>
      </c>
      <c r="AR189" s="2" t="s">
        <v>55</v>
      </c>
    </row>
    <row r="190" spans="15:58" ht="60" customHeight="1" x14ac:dyDescent="0.35">
      <c r="O190" s="2">
        <v>2.5</v>
      </c>
      <c r="Q190" s="3">
        <v>46098</v>
      </c>
      <c r="R190" s="58">
        <v>0.71180555555555558</v>
      </c>
      <c r="T190" s="2">
        <f t="shared" si="11"/>
        <v>95</v>
      </c>
      <c r="U190" s="27" t="s">
        <v>55</v>
      </c>
      <c r="V190" s="27" t="s">
        <v>55</v>
      </c>
      <c r="W190" s="27" t="s">
        <v>55</v>
      </c>
      <c r="X190" s="27" t="s">
        <v>55</v>
      </c>
      <c r="Y190" s="27" t="s">
        <v>55</v>
      </c>
      <c r="Z190" s="27" t="s">
        <v>647</v>
      </c>
      <c r="AA190" s="27" t="s">
        <v>298</v>
      </c>
      <c r="AB190" s="27">
        <v>21</v>
      </c>
      <c r="AC190" s="27" t="s">
        <v>55</v>
      </c>
      <c r="AD190" s="27" t="s">
        <v>55</v>
      </c>
      <c r="AE190" s="27" t="s">
        <v>55</v>
      </c>
      <c r="AR190" s="2" t="s">
        <v>55</v>
      </c>
    </row>
    <row r="191" spans="15:58" ht="60" customHeight="1" x14ac:dyDescent="0.35">
      <c r="O191" s="2">
        <v>2.75</v>
      </c>
      <c r="Q191" s="3">
        <v>46105</v>
      </c>
      <c r="R191" s="58">
        <v>0.72291666666666665</v>
      </c>
      <c r="T191" s="2">
        <f t="shared" si="11"/>
        <v>102</v>
      </c>
      <c r="U191" s="27" t="s">
        <v>55</v>
      </c>
      <c r="V191" s="27" t="s">
        <v>55</v>
      </c>
      <c r="W191" s="27" t="s">
        <v>55</v>
      </c>
      <c r="X191" s="27" t="s">
        <v>55</v>
      </c>
      <c r="Y191" s="27" t="s">
        <v>55</v>
      </c>
      <c r="Z191" s="27" t="s">
        <v>1126</v>
      </c>
      <c r="AA191" s="27" t="s">
        <v>1125</v>
      </c>
      <c r="AB191" s="27">
        <v>21</v>
      </c>
      <c r="AC191" s="27" t="s">
        <v>55</v>
      </c>
      <c r="AD191" s="27" t="s">
        <v>55</v>
      </c>
      <c r="AE191" s="27" t="s">
        <v>55</v>
      </c>
      <c r="AR191" s="2" t="s">
        <v>55</v>
      </c>
    </row>
    <row r="192" spans="15:58" ht="60" customHeight="1" x14ac:dyDescent="0.35">
      <c r="O192" s="2">
        <v>2.75</v>
      </c>
      <c r="Q192" s="3">
        <v>46112</v>
      </c>
      <c r="R192" s="58">
        <v>0.79236111111111107</v>
      </c>
      <c r="T192" s="2">
        <f t="shared" si="11"/>
        <v>109</v>
      </c>
      <c r="U192" s="27" t="s">
        <v>55</v>
      </c>
      <c r="V192" s="27" t="s">
        <v>55</v>
      </c>
      <c r="W192" s="27" t="s">
        <v>55</v>
      </c>
      <c r="X192" s="27" t="s">
        <v>55</v>
      </c>
      <c r="Y192" s="27" t="s">
        <v>55</v>
      </c>
      <c r="Z192" s="27" t="s">
        <v>124</v>
      </c>
      <c r="AA192" s="27" t="s">
        <v>130</v>
      </c>
      <c r="AB192" s="27">
        <v>21</v>
      </c>
      <c r="AC192" s="27" t="s">
        <v>55</v>
      </c>
      <c r="AD192" s="27" t="s">
        <v>55</v>
      </c>
      <c r="AE192" s="27" t="s">
        <v>55</v>
      </c>
      <c r="AR192" s="2" t="s">
        <v>55</v>
      </c>
    </row>
    <row r="193" spans="1:58" ht="60" customHeight="1" x14ac:dyDescent="0.35"/>
    <row r="194" spans="1:58" ht="60" customHeight="1" x14ac:dyDescent="0.35">
      <c r="A194" s="22">
        <v>9</v>
      </c>
      <c r="B194" s="136" t="s">
        <v>1041</v>
      </c>
      <c r="C194" s="43">
        <v>45283</v>
      </c>
      <c r="D194" s="43">
        <v>46024</v>
      </c>
      <c r="E194" s="44">
        <f t="shared" si="4"/>
        <v>741</v>
      </c>
      <c r="F194" s="44">
        <f t="shared" si="5"/>
        <v>2.0301369863013701</v>
      </c>
      <c r="G194" s="44">
        <f t="shared" si="6"/>
        <v>2.3374999999999999</v>
      </c>
      <c r="H194" s="2" t="s">
        <v>11</v>
      </c>
      <c r="I194" s="56"/>
      <c r="J194" s="2">
        <v>4126</v>
      </c>
      <c r="O194" s="2">
        <v>2.75</v>
      </c>
      <c r="Q194" s="3">
        <v>46031</v>
      </c>
      <c r="R194" s="58">
        <v>0.70625000000000004</v>
      </c>
      <c r="T194" s="38">
        <f t="shared" ref="T194:T214" si="12">Q194-$D$194</f>
        <v>7</v>
      </c>
      <c r="U194" s="27">
        <v>33.61</v>
      </c>
      <c r="V194" s="27">
        <v>17.13</v>
      </c>
      <c r="W194" s="27">
        <v>2.85</v>
      </c>
      <c r="X194" s="27">
        <v>15.59</v>
      </c>
      <c r="Y194" s="27">
        <v>5.32</v>
      </c>
      <c r="Z194" s="27" t="s">
        <v>738</v>
      </c>
      <c r="AA194" s="27" t="s">
        <v>55</v>
      </c>
      <c r="AB194" s="27">
        <v>7</v>
      </c>
      <c r="AC194" s="27" t="s">
        <v>55</v>
      </c>
      <c r="AD194" s="27" t="s">
        <v>55</v>
      </c>
      <c r="AE194" s="27" t="s">
        <v>55</v>
      </c>
      <c r="AR194" s="2" t="s">
        <v>682</v>
      </c>
      <c r="AS194" s="2">
        <v>0.86</v>
      </c>
      <c r="AT194" s="2">
        <v>2.5299999999999998</v>
      </c>
      <c r="AU194" s="2">
        <v>6.18</v>
      </c>
      <c r="AV194" s="2">
        <v>7.12</v>
      </c>
      <c r="AW194" s="2">
        <v>43.97</v>
      </c>
      <c r="AX194" s="2">
        <v>14.83</v>
      </c>
      <c r="AY194" s="2">
        <v>8.75</v>
      </c>
      <c r="AZ194" s="2">
        <v>0.58499999999999996</v>
      </c>
      <c r="BA194" s="2">
        <v>0.77</v>
      </c>
      <c r="BB194" s="2">
        <v>0.02</v>
      </c>
      <c r="BC194" s="2">
        <v>0.09</v>
      </c>
      <c r="BD194" s="2">
        <v>44</v>
      </c>
      <c r="BE194" s="2">
        <v>95</v>
      </c>
    </row>
    <row r="195" spans="1:58" ht="60" customHeight="1" x14ac:dyDescent="0.35">
      <c r="B195" s="20" t="s">
        <v>836</v>
      </c>
      <c r="O195" s="2">
        <v>2.5</v>
      </c>
      <c r="Q195" s="3">
        <v>46035</v>
      </c>
      <c r="R195" s="58">
        <v>0.7319444444444444</v>
      </c>
      <c r="T195" s="38">
        <f t="shared" si="12"/>
        <v>11</v>
      </c>
      <c r="U195" s="27">
        <v>23.95</v>
      </c>
      <c r="V195" s="27">
        <v>10.87</v>
      </c>
      <c r="W195" s="27">
        <v>3.13</v>
      </c>
      <c r="X195" s="27">
        <v>7.85</v>
      </c>
      <c r="Y195" s="27">
        <v>8.6300000000000008</v>
      </c>
      <c r="Z195" s="27" t="s">
        <v>232</v>
      </c>
      <c r="AA195" s="27" t="s">
        <v>88</v>
      </c>
      <c r="AB195" s="27">
        <v>7</v>
      </c>
      <c r="AC195" s="27" t="s">
        <v>55</v>
      </c>
      <c r="AD195" s="27" t="s">
        <v>55</v>
      </c>
      <c r="AE195" s="27" t="s">
        <v>55</v>
      </c>
      <c r="AR195" s="2" t="s">
        <v>52</v>
      </c>
      <c r="AS195" s="2">
        <v>0.74</v>
      </c>
      <c r="AT195" s="2">
        <v>1.55</v>
      </c>
      <c r="AU195" s="2">
        <v>8.5299999999999994</v>
      </c>
      <c r="AV195" s="2">
        <v>3.92</v>
      </c>
      <c r="AW195" s="2">
        <v>33.44</v>
      </c>
      <c r="AX195" s="2">
        <v>15.97</v>
      </c>
      <c r="AY195" s="2">
        <v>14.53</v>
      </c>
      <c r="AZ195" s="2">
        <v>0.90500000000000003</v>
      </c>
      <c r="BA195" s="2">
        <v>0.45</v>
      </c>
      <c r="BB195" s="2">
        <v>0.03</v>
      </c>
      <c r="BC195" s="2">
        <v>0.1</v>
      </c>
      <c r="BD195" s="2">
        <v>40</v>
      </c>
      <c r="BE195" s="2">
        <v>59</v>
      </c>
      <c r="BF195" s="2" t="s">
        <v>118</v>
      </c>
    </row>
    <row r="196" spans="1:58" ht="60" customHeight="1" x14ac:dyDescent="0.35">
      <c r="O196" s="2">
        <v>2.5</v>
      </c>
      <c r="Q196" s="3">
        <v>46038</v>
      </c>
      <c r="R196" s="58">
        <v>0.53541666666666665</v>
      </c>
      <c r="T196" s="38">
        <f t="shared" si="12"/>
        <v>14</v>
      </c>
      <c r="U196" s="27">
        <v>20.83</v>
      </c>
      <c r="V196" s="27">
        <v>10.53</v>
      </c>
      <c r="W196" s="27">
        <v>1.73</v>
      </c>
      <c r="X196" s="27">
        <v>6.16</v>
      </c>
      <c r="Y196" s="27">
        <v>13.35</v>
      </c>
      <c r="Z196" s="27" t="s">
        <v>764</v>
      </c>
      <c r="AA196" s="27" t="s">
        <v>154</v>
      </c>
      <c r="AB196" s="27">
        <v>7</v>
      </c>
      <c r="AC196" s="27" t="s">
        <v>55</v>
      </c>
      <c r="AD196" s="27" t="s">
        <v>55</v>
      </c>
      <c r="AE196" s="27" t="s">
        <v>55</v>
      </c>
      <c r="AR196" s="2" t="s">
        <v>52</v>
      </c>
      <c r="AS196" s="2">
        <v>1</v>
      </c>
      <c r="AT196" s="2">
        <v>2.79</v>
      </c>
      <c r="AU196" s="2">
        <v>0</v>
      </c>
      <c r="AV196" s="2" t="s">
        <v>89</v>
      </c>
      <c r="AW196" s="2">
        <v>44.45</v>
      </c>
      <c r="AX196" s="2">
        <v>15.81</v>
      </c>
      <c r="AY196" s="2">
        <v>8.77</v>
      </c>
      <c r="AZ196" s="2">
        <v>0.55000000000000004</v>
      </c>
      <c r="BA196" s="2">
        <v>0.79</v>
      </c>
      <c r="BB196" s="2">
        <v>0</v>
      </c>
      <c r="BC196" s="2">
        <v>0.1</v>
      </c>
      <c r="BD196" s="2">
        <v>38</v>
      </c>
      <c r="BE196" s="2">
        <v>99</v>
      </c>
      <c r="BF196" s="2" t="s">
        <v>118</v>
      </c>
    </row>
    <row r="197" spans="1:58" ht="60" customHeight="1" x14ac:dyDescent="0.35">
      <c r="O197" s="2">
        <v>2.5</v>
      </c>
      <c r="Q197" s="3">
        <v>46041</v>
      </c>
      <c r="R197" s="58">
        <v>0.68125000000000002</v>
      </c>
      <c r="T197" s="38">
        <f t="shared" si="12"/>
        <v>17</v>
      </c>
      <c r="U197" s="27">
        <v>22.65</v>
      </c>
      <c r="V197" s="27">
        <v>10.69</v>
      </c>
      <c r="W197" s="27">
        <v>1.33</v>
      </c>
      <c r="X197" s="27">
        <v>10.23</v>
      </c>
      <c r="Y197" s="27">
        <v>4.2300000000000004</v>
      </c>
      <c r="Z197" s="27" t="s">
        <v>203</v>
      </c>
      <c r="AA197" s="27" t="s">
        <v>721</v>
      </c>
      <c r="AB197" s="27">
        <v>7</v>
      </c>
      <c r="AC197" s="27" t="s">
        <v>55</v>
      </c>
      <c r="AD197" s="27" t="s">
        <v>55</v>
      </c>
      <c r="AE197" s="27" t="s">
        <v>55</v>
      </c>
      <c r="AR197" s="2" t="s">
        <v>52</v>
      </c>
      <c r="AS197" s="2">
        <v>0.68</v>
      </c>
      <c r="AT197" s="2">
        <v>1.34</v>
      </c>
      <c r="AU197" s="2">
        <v>17.809999999999999</v>
      </c>
      <c r="AV197" s="2">
        <v>3.1</v>
      </c>
      <c r="AW197" s="2">
        <v>55.24</v>
      </c>
      <c r="AX197" s="2">
        <v>27.69</v>
      </c>
      <c r="AY197" s="2">
        <v>16.059999999999999</v>
      </c>
      <c r="AZ197" s="2">
        <v>0.57499999999999996</v>
      </c>
      <c r="BA197" s="2">
        <v>1.22</v>
      </c>
      <c r="BB197" s="2">
        <v>0.13</v>
      </c>
      <c r="BC197" s="2">
        <v>0.31</v>
      </c>
      <c r="BD197" s="2">
        <v>44</v>
      </c>
      <c r="BE197" s="2">
        <v>88</v>
      </c>
    </row>
    <row r="198" spans="1:58" ht="60" customHeight="1" x14ac:dyDescent="0.35">
      <c r="O198" s="2">
        <v>2.5</v>
      </c>
      <c r="Q198" s="3">
        <v>46045</v>
      </c>
      <c r="R198" s="58">
        <v>0.63472222222222219</v>
      </c>
      <c r="T198" s="2">
        <f t="shared" si="12"/>
        <v>21</v>
      </c>
      <c r="U198" s="27">
        <v>18.920000000000002</v>
      </c>
      <c r="V198" s="27">
        <v>10.71</v>
      </c>
      <c r="W198" s="27">
        <v>2.4700000000000002</v>
      </c>
      <c r="X198" s="27">
        <v>8.82</v>
      </c>
      <c r="Y198" s="27">
        <v>2.36</v>
      </c>
      <c r="Z198" s="27" t="s">
        <v>438</v>
      </c>
      <c r="AA198" s="27" t="s">
        <v>791</v>
      </c>
      <c r="AB198" s="27">
        <v>7</v>
      </c>
      <c r="AC198" s="27" t="s">
        <v>55</v>
      </c>
      <c r="AD198" s="27" t="s">
        <v>55</v>
      </c>
      <c r="AE198" s="27" t="s">
        <v>55</v>
      </c>
      <c r="AR198" s="2" t="s">
        <v>52</v>
      </c>
      <c r="AS198" s="2">
        <v>1</v>
      </c>
      <c r="AT198" s="2">
        <v>2.41</v>
      </c>
      <c r="AU198" s="2">
        <v>0</v>
      </c>
      <c r="AV198" s="2">
        <v>1.33837745027777E+19</v>
      </c>
      <c r="AW198" s="2">
        <v>46.43</v>
      </c>
      <c r="AX198" s="2">
        <v>19.12</v>
      </c>
      <c r="AY198" s="2">
        <v>10.23</v>
      </c>
      <c r="AZ198" s="2">
        <v>0.53</v>
      </c>
      <c r="BA198" s="2">
        <v>0.86</v>
      </c>
      <c r="BB198" s="2">
        <v>0</v>
      </c>
      <c r="BC198" s="2">
        <v>0.15</v>
      </c>
      <c r="BD198" s="2">
        <v>42</v>
      </c>
      <c r="BE198" s="2">
        <v>86</v>
      </c>
    </row>
    <row r="199" spans="1:58" ht="60" customHeight="1" x14ac:dyDescent="0.35">
      <c r="O199" s="2">
        <v>2.5</v>
      </c>
      <c r="Q199" s="3">
        <v>46049</v>
      </c>
      <c r="R199" s="58">
        <v>0.73055555555555551</v>
      </c>
      <c r="T199" s="2">
        <f t="shared" si="12"/>
        <v>25</v>
      </c>
      <c r="U199" s="27">
        <v>16.02</v>
      </c>
      <c r="V199" s="27">
        <v>7.91</v>
      </c>
      <c r="W199" s="27">
        <v>1.33</v>
      </c>
      <c r="X199" s="27">
        <v>5.32</v>
      </c>
      <c r="Y199" s="27">
        <v>3.2</v>
      </c>
      <c r="Z199" s="27" t="s">
        <v>98</v>
      </c>
      <c r="AA199" s="27" t="s">
        <v>803</v>
      </c>
      <c r="AB199" s="27">
        <v>7</v>
      </c>
      <c r="AC199" s="27" t="s">
        <v>55</v>
      </c>
      <c r="AD199" s="27" t="s">
        <v>55</v>
      </c>
      <c r="AE199" s="27" t="s">
        <v>55</v>
      </c>
      <c r="AR199" s="2" t="s">
        <v>52</v>
      </c>
      <c r="AS199" s="2">
        <v>1</v>
      </c>
      <c r="AT199" s="2">
        <v>7.04</v>
      </c>
      <c r="AU199" s="2">
        <v>0</v>
      </c>
      <c r="AV199" s="2" t="s">
        <v>89</v>
      </c>
      <c r="AW199" s="2">
        <v>21.07</v>
      </c>
      <c r="AX199" s="2">
        <v>2.98</v>
      </c>
      <c r="AY199" s="2">
        <v>2.95</v>
      </c>
      <c r="AZ199" s="2">
        <v>0.98499999999999999</v>
      </c>
      <c r="BA199" s="2">
        <v>0.18</v>
      </c>
      <c r="BB199" s="2">
        <v>0</v>
      </c>
      <c r="BC199" s="2">
        <v>0</v>
      </c>
      <c r="BD199" s="2">
        <v>46</v>
      </c>
      <c r="BE199" s="2">
        <v>56</v>
      </c>
    </row>
    <row r="200" spans="1:58" ht="60" customHeight="1" x14ac:dyDescent="0.35">
      <c r="O200" s="2">
        <v>2.5</v>
      </c>
      <c r="Q200" s="3">
        <v>46052</v>
      </c>
      <c r="R200" s="58">
        <v>0.70902777777777781</v>
      </c>
      <c r="T200" s="2">
        <f t="shared" si="12"/>
        <v>28</v>
      </c>
      <c r="U200" s="27">
        <v>16.12</v>
      </c>
      <c r="V200" s="27">
        <v>7.3</v>
      </c>
      <c r="W200" s="27">
        <v>1.52</v>
      </c>
      <c r="X200" s="27">
        <v>5.69</v>
      </c>
      <c r="Y200" s="27">
        <v>3.96</v>
      </c>
      <c r="Z200" s="27" t="s">
        <v>226</v>
      </c>
      <c r="AA200" s="27" t="s">
        <v>817</v>
      </c>
      <c r="AB200" s="27">
        <v>7</v>
      </c>
      <c r="AC200" s="27" t="s">
        <v>55</v>
      </c>
      <c r="AD200" s="27" t="s">
        <v>55</v>
      </c>
      <c r="AE200" s="27" t="s">
        <v>55</v>
      </c>
      <c r="AR200" s="2" t="s">
        <v>50</v>
      </c>
    </row>
    <row r="201" spans="1:58" ht="60" customHeight="1" x14ac:dyDescent="0.35">
      <c r="O201" s="2">
        <v>2.5</v>
      </c>
      <c r="Q201" s="3">
        <v>46056</v>
      </c>
      <c r="R201" s="58">
        <v>0.6430555555555556</v>
      </c>
      <c r="T201" s="2">
        <f t="shared" si="12"/>
        <v>32</v>
      </c>
      <c r="U201" s="27">
        <v>11.32</v>
      </c>
      <c r="V201" s="27">
        <v>6.49</v>
      </c>
      <c r="W201" s="27">
        <v>1.19</v>
      </c>
      <c r="X201" s="27">
        <v>5.18</v>
      </c>
      <c r="Y201" s="27">
        <v>0.59</v>
      </c>
      <c r="Z201" s="27" t="s">
        <v>833</v>
      </c>
      <c r="AA201" s="27" t="s">
        <v>832</v>
      </c>
      <c r="AB201" s="27">
        <v>7</v>
      </c>
      <c r="AC201" s="27" t="s">
        <v>55</v>
      </c>
      <c r="AD201" s="27" t="s">
        <v>55</v>
      </c>
      <c r="AE201" s="27" t="s">
        <v>55</v>
      </c>
      <c r="AR201" s="2" t="s">
        <v>50</v>
      </c>
    </row>
    <row r="202" spans="1:58" ht="60" customHeight="1" x14ac:dyDescent="0.35">
      <c r="O202" s="2">
        <v>2.5</v>
      </c>
      <c r="Q202" s="3">
        <v>46059</v>
      </c>
      <c r="R202" s="58">
        <v>0.46250000000000002</v>
      </c>
      <c r="T202" s="2">
        <f t="shared" si="12"/>
        <v>35</v>
      </c>
      <c r="U202" s="27">
        <v>18.63</v>
      </c>
      <c r="V202" s="27">
        <v>9.35</v>
      </c>
      <c r="W202" s="27">
        <v>2.2999999999999998</v>
      </c>
      <c r="X202" s="27">
        <v>4.29</v>
      </c>
      <c r="Y202" s="27">
        <v>2.71</v>
      </c>
      <c r="Z202" s="27" t="s">
        <v>407</v>
      </c>
      <c r="AA202" s="27" t="s">
        <v>186</v>
      </c>
      <c r="AB202" s="27">
        <v>7</v>
      </c>
      <c r="AC202" s="27" t="s">
        <v>55</v>
      </c>
      <c r="AD202" s="27" t="s">
        <v>55</v>
      </c>
      <c r="AE202" s="27" t="s">
        <v>55</v>
      </c>
      <c r="AR202" s="2" t="s">
        <v>50</v>
      </c>
    </row>
    <row r="203" spans="1:58" ht="60" customHeight="1" x14ac:dyDescent="0.35">
      <c r="O203" s="2">
        <v>2.5</v>
      </c>
      <c r="Q203" s="3">
        <v>46062</v>
      </c>
      <c r="R203" s="58">
        <v>0.52708333333333335</v>
      </c>
      <c r="T203" s="2">
        <f t="shared" si="12"/>
        <v>38</v>
      </c>
      <c r="U203" s="27">
        <v>11.32</v>
      </c>
      <c r="V203" s="27">
        <v>5.54</v>
      </c>
      <c r="W203" s="27">
        <v>1.23</v>
      </c>
      <c r="X203" s="27">
        <v>3.6</v>
      </c>
      <c r="Y203" s="27">
        <v>1.69</v>
      </c>
      <c r="Z203" s="27" t="s">
        <v>869</v>
      </c>
      <c r="AA203" s="27" t="s">
        <v>186</v>
      </c>
      <c r="AB203" s="27">
        <v>7</v>
      </c>
      <c r="AC203" s="27" t="s">
        <v>55</v>
      </c>
      <c r="AD203" s="27" t="s">
        <v>55</v>
      </c>
      <c r="AE203" s="27" t="s">
        <v>55</v>
      </c>
      <c r="AR203" s="2" t="s">
        <v>50</v>
      </c>
    </row>
    <row r="204" spans="1:58" ht="60" customHeight="1" x14ac:dyDescent="0.35">
      <c r="O204" s="2">
        <v>2.5</v>
      </c>
      <c r="Q204" s="3">
        <v>46066</v>
      </c>
      <c r="R204" s="58">
        <v>0.73749999999999993</v>
      </c>
      <c r="T204" s="2">
        <f t="shared" si="12"/>
        <v>42</v>
      </c>
      <c r="U204" s="27">
        <v>15.21</v>
      </c>
      <c r="V204" s="27">
        <v>8.2899999999999991</v>
      </c>
      <c r="W204" s="27">
        <v>2.06</v>
      </c>
      <c r="X204" s="27">
        <v>4.32</v>
      </c>
      <c r="Y204" s="27">
        <v>2.0299999999999998</v>
      </c>
      <c r="Z204" s="27" t="s">
        <v>242</v>
      </c>
      <c r="AA204" s="27" t="s">
        <v>242</v>
      </c>
      <c r="AB204" s="27">
        <v>7</v>
      </c>
      <c r="AC204" s="27" t="s">
        <v>55</v>
      </c>
      <c r="AD204" s="27" t="s">
        <v>55</v>
      </c>
      <c r="AE204" s="27" t="s">
        <v>55</v>
      </c>
      <c r="AR204" s="2" t="s">
        <v>50</v>
      </c>
    </row>
    <row r="205" spans="1:58" ht="60" customHeight="1" x14ac:dyDescent="0.35">
      <c r="O205" s="2">
        <v>2.5</v>
      </c>
      <c r="Q205" s="3">
        <v>46070</v>
      </c>
      <c r="R205" s="58">
        <v>0.77916666666666667</v>
      </c>
      <c r="T205" s="2">
        <f t="shared" si="12"/>
        <v>46</v>
      </c>
      <c r="U205" s="27">
        <v>13.02</v>
      </c>
      <c r="V205" s="27">
        <v>6.25</v>
      </c>
      <c r="W205" s="27">
        <v>1.94</v>
      </c>
      <c r="X205" s="27">
        <v>3.97</v>
      </c>
      <c r="Y205" s="27">
        <v>1.92</v>
      </c>
      <c r="Z205" s="27" t="s">
        <v>691</v>
      </c>
      <c r="AA205" s="27" t="s">
        <v>487</v>
      </c>
      <c r="AB205" s="27">
        <v>7</v>
      </c>
      <c r="AC205" s="27" t="s">
        <v>55</v>
      </c>
      <c r="AD205" s="27" t="s">
        <v>55</v>
      </c>
      <c r="AE205" s="27" t="s">
        <v>55</v>
      </c>
      <c r="AR205" s="2" t="s">
        <v>50</v>
      </c>
    </row>
    <row r="206" spans="1:58" ht="60" customHeight="1" x14ac:dyDescent="0.35">
      <c r="O206" s="2">
        <v>2.5</v>
      </c>
      <c r="Q206" s="3">
        <v>46074</v>
      </c>
      <c r="R206" s="58">
        <v>0.44791666666666669</v>
      </c>
      <c r="T206" s="2">
        <f t="shared" si="12"/>
        <v>50</v>
      </c>
      <c r="U206" s="27">
        <v>16.73</v>
      </c>
      <c r="V206" s="27">
        <v>8.3699999999999992</v>
      </c>
      <c r="W206" s="27">
        <v>2.33</v>
      </c>
      <c r="X206" s="27">
        <v>5.98</v>
      </c>
      <c r="Y206" s="27">
        <v>3.41</v>
      </c>
      <c r="Z206" s="27" t="s">
        <v>923</v>
      </c>
      <c r="AA206" s="27" t="s">
        <v>922</v>
      </c>
      <c r="AB206" s="27">
        <v>7</v>
      </c>
      <c r="AC206" s="27" t="s">
        <v>55</v>
      </c>
      <c r="AD206" s="27" t="s">
        <v>55</v>
      </c>
      <c r="AE206" s="27" t="s">
        <v>55</v>
      </c>
      <c r="AR206" s="2" t="s">
        <v>50</v>
      </c>
    </row>
    <row r="207" spans="1:58" ht="60" customHeight="1" x14ac:dyDescent="0.35">
      <c r="O207" s="2">
        <v>2.5</v>
      </c>
      <c r="Q207" s="3">
        <v>46077</v>
      </c>
      <c r="R207" s="58">
        <v>0.76736111111111116</v>
      </c>
      <c r="T207" s="2">
        <f t="shared" si="12"/>
        <v>53</v>
      </c>
      <c r="U207" s="27">
        <v>10.5</v>
      </c>
      <c r="V207" s="27">
        <v>5.44</v>
      </c>
      <c r="W207" s="27">
        <v>1.47</v>
      </c>
      <c r="X207" s="27">
        <v>1.97</v>
      </c>
      <c r="Y207" s="27">
        <v>1.42</v>
      </c>
      <c r="Z207" s="27" t="s">
        <v>945</v>
      </c>
      <c r="AA207" s="27" t="s">
        <v>308</v>
      </c>
      <c r="AB207" s="27">
        <v>7</v>
      </c>
      <c r="AC207" s="27" t="s">
        <v>55</v>
      </c>
      <c r="AD207" s="27" t="s">
        <v>55</v>
      </c>
      <c r="AE207" s="27" t="s">
        <v>55</v>
      </c>
      <c r="AR207" s="2" t="s">
        <v>50</v>
      </c>
    </row>
    <row r="208" spans="1:58" ht="60" customHeight="1" x14ac:dyDescent="0.35">
      <c r="O208" s="2">
        <v>2.5</v>
      </c>
      <c r="Q208" s="3">
        <v>46080</v>
      </c>
      <c r="R208" s="58">
        <v>0.5083333333333333</v>
      </c>
      <c r="T208" s="2">
        <f t="shared" si="12"/>
        <v>56</v>
      </c>
      <c r="U208" s="27">
        <v>16.41</v>
      </c>
      <c r="V208" s="27">
        <v>6.72</v>
      </c>
      <c r="W208" s="27">
        <v>2.29</v>
      </c>
      <c r="X208" s="27">
        <v>4.24</v>
      </c>
      <c r="Y208" s="27">
        <v>2.38</v>
      </c>
      <c r="Z208" s="27" t="s">
        <v>379</v>
      </c>
      <c r="AA208" s="27" t="s">
        <v>960</v>
      </c>
      <c r="AB208" s="27">
        <v>7</v>
      </c>
      <c r="AC208" s="27" t="s">
        <v>55</v>
      </c>
      <c r="AD208" s="27" t="s">
        <v>55</v>
      </c>
      <c r="AE208" s="27" t="s">
        <v>55</v>
      </c>
      <c r="AR208" s="2" t="s">
        <v>50</v>
      </c>
    </row>
    <row r="209" spans="1:58" ht="60" customHeight="1" x14ac:dyDescent="0.35">
      <c r="O209" s="2">
        <v>2.5</v>
      </c>
      <c r="Q209" s="3">
        <v>46084</v>
      </c>
      <c r="R209" s="58">
        <v>0.77083333333333337</v>
      </c>
      <c r="T209" s="2">
        <f t="shared" si="12"/>
        <v>60</v>
      </c>
      <c r="U209" s="27">
        <v>15.31</v>
      </c>
      <c r="V209" s="27">
        <v>8.19</v>
      </c>
      <c r="W209" s="27">
        <v>1.47</v>
      </c>
      <c r="X209" s="27">
        <v>5.35</v>
      </c>
      <c r="Y209" s="27">
        <v>0.59</v>
      </c>
      <c r="Z209" s="27" t="s">
        <v>990</v>
      </c>
      <c r="AA209" s="27" t="s">
        <v>944</v>
      </c>
      <c r="AB209" s="27">
        <v>7</v>
      </c>
      <c r="AC209" s="27" t="s">
        <v>55</v>
      </c>
      <c r="AD209" s="27" t="s">
        <v>55</v>
      </c>
      <c r="AE209" s="27" t="s">
        <v>55</v>
      </c>
      <c r="AR209" s="2" t="s">
        <v>50</v>
      </c>
    </row>
    <row r="210" spans="1:58" ht="60" customHeight="1" x14ac:dyDescent="0.35">
      <c r="O210" s="2">
        <v>2.5</v>
      </c>
      <c r="Q210" s="3">
        <v>46088</v>
      </c>
      <c r="R210" s="58">
        <v>0.41597222222222224</v>
      </c>
      <c r="T210" s="2">
        <f t="shared" si="12"/>
        <v>64</v>
      </c>
      <c r="U210" s="27" t="s">
        <v>55</v>
      </c>
      <c r="V210" s="27" t="s">
        <v>55</v>
      </c>
      <c r="W210" s="27" t="s">
        <v>55</v>
      </c>
      <c r="X210" s="27" t="s">
        <v>55</v>
      </c>
      <c r="Y210" s="27" t="s">
        <v>55</v>
      </c>
      <c r="Z210" s="27" t="s">
        <v>134</v>
      </c>
      <c r="AA210" s="27" t="s">
        <v>198</v>
      </c>
      <c r="AB210" s="27">
        <v>7</v>
      </c>
      <c r="AC210" s="27" t="s">
        <v>55</v>
      </c>
      <c r="AD210" s="27" t="s">
        <v>55</v>
      </c>
      <c r="AE210" s="27" t="s">
        <v>55</v>
      </c>
      <c r="AR210" s="2" t="s">
        <v>55</v>
      </c>
    </row>
    <row r="211" spans="1:58" ht="60" customHeight="1" x14ac:dyDescent="0.35">
      <c r="O211" s="2">
        <v>2.25</v>
      </c>
      <c r="Q211" s="3">
        <v>46091</v>
      </c>
      <c r="R211" s="58">
        <v>0.84166666666666667</v>
      </c>
      <c r="T211" s="2">
        <f t="shared" si="12"/>
        <v>67</v>
      </c>
      <c r="U211" s="27" t="s">
        <v>55</v>
      </c>
      <c r="V211" s="27" t="s">
        <v>55</v>
      </c>
      <c r="W211" s="27" t="s">
        <v>55</v>
      </c>
      <c r="X211" s="27" t="s">
        <v>55</v>
      </c>
      <c r="Y211" s="27" t="s">
        <v>55</v>
      </c>
      <c r="Z211" s="27" t="s">
        <v>492</v>
      </c>
      <c r="AA211" s="27" t="s">
        <v>1061</v>
      </c>
      <c r="AB211" s="27">
        <v>7</v>
      </c>
      <c r="AC211" s="27" t="s">
        <v>55</v>
      </c>
      <c r="AD211" s="27" t="s">
        <v>55</v>
      </c>
      <c r="AE211" s="27" t="s">
        <v>55</v>
      </c>
      <c r="AR211" s="2" t="s">
        <v>55</v>
      </c>
    </row>
    <row r="212" spans="1:58" ht="60" customHeight="1" x14ac:dyDescent="0.35">
      <c r="O212" s="2">
        <v>2.25</v>
      </c>
      <c r="Q212" s="3">
        <v>46098</v>
      </c>
      <c r="R212" s="58">
        <v>0.72569444444444442</v>
      </c>
      <c r="T212" s="2">
        <f t="shared" si="12"/>
        <v>74</v>
      </c>
      <c r="U212" s="27" t="s">
        <v>55</v>
      </c>
      <c r="V212" s="27" t="s">
        <v>55</v>
      </c>
      <c r="W212" s="27" t="s">
        <v>55</v>
      </c>
      <c r="X212" s="27" t="s">
        <v>55</v>
      </c>
      <c r="Y212" s="27" t="s">
        <v>55</v>
      </c>
      <c r="Z212" s="27" t="s">
        <v>1098</v>
      </c>
      <c r="AA212" s="27" t="s">
        <v>742</v>
      </c>
      <c r="AB212" s="27">
        <v>7</v>
      </c>
      <c r="AC212" s="27" t="s">
        <v>55</v>
      </c>
      <c r="AD212" s="27" t="s">
        <v>55</v>
      </c>
      <c r="AE212" s="27" t="s">
        <v>55</v>
      </c>
      <c r="AR212" s="2" t="s">
        <v>55</v>
      </c>
    </row>
    <row r="213" spans="1:58" ht="60" customHeight="1" x14ac:dyDescent="0.35">
      <c r="O213" s="2">
        <v>2.5</v>
      </c>
      <c r="Q213" s="3">
        <v>46105</v>
      </c>
      <c r="R213" s="58">
        <v>0.72083333333333333</v>
      </c>
      <c r="T213" s="2">
        <f t="shared" si="12"/>
        <v>81</v>
      </c>
      <c r="U213" s="27" t="s">
        <v>55</v>
      </c>
      <c r="V213" s="27" t="s">
        <v>55</v>
      </c>
      <c r="W213" s="27" t="s">
        <v>55</v>
      </c>
      <c r="X213" s="27" t="s">
        <v>55</v>
      </c>
      <c r="Y213" s="27" t="s">
        <v>55</v>
      </c>
      <c r="Z213" s="27" t="s">
        <v>355</v>
      </c>
      <c r="AA213" s="37" t="s">
        <v>1124</v>
      </c>
      <c r="AB213" s="27">
        <v>7</v>
      </c>
      <c r="AC213" s="27" t="s">
        <v>55</v>
      </c>
      <c r="AD213" s="27" t="s">
        <v>55</v>
      </c>
      <c r="AE213" s="27" t="s">
        <v>55</v>
      </c>
      <c r="AR213" s="2" t="s">
        <v>55</v>
      </c>
    </row>
    <row r="214" spans="1:58" ht="60" customHeight="1" x14ac:dyDescent="0.35">
      <c r="O214" s="2">
        <v>2.5</v>
      </c>
      <c r="Q214" s="3">
        <v>46112</v>
      </c>
      <c r="R214" s="58">
        <v>0.77638888888888891</v>
      </c>
      <c r="T214" s="2">
        <f t="shared" si="12"/>
        <v>88</v>
      </c>
      <c r="U214" s="27" t="s">
        <v>55</v>
      </c>
      <c r="V214" s="27" t="s">
        <v>55</v>
      </c>
      <c r="W214" s="27" t="s">
        <v>55</v>
      </c>
      <c r="X214" s="27" t="s">
        <v>55</v>
      </c>
      <c r="Y214" s="27" t="s">
        <v>55</v>
      </c>
      <c r="Z214" s="27" t="s">
        <v>1172</v>
      </c>
      <c r="AA214" s="37" t="s">
        <v>1173</v>
      </c>
      <c r="AB214" s="27">
        <v>7</v>
      </c>
      <c r="AC214" s="27" t="s">
        <v>55</v>
      </c>
      <c r="AD214" s="27" t="s">
        <v>55</v>
      </c>
      <c r="AE214" s="27" t="s">
        <v>55</v>
      </c>
      <c r="AR214" s="2" t="s">
        <v>55</v>
      </c>
    </row>
    <row r="215" spans="1:58" ht="60" customHeight="1" x14ac:dyDescent="0.35"/>
    <row r="216" spans="1:58" ht="60" customHeight="1" x14ac:dyDescent="0.35">
      <c r="A216" s="22">
        <v>10</v>
      </c>
      <c r="B216" s="136" t="s">
        <v>1042</v>
      </c>
      <c r="C216" s="43">
        <v>45283</v>
      </c>
      <c r="D216" s="3">
        <v>46029</v>
      </c>
      <c r="E216" s="44">
        <f t="shared" ref="E216:E363" si="13">D216-C216</f>
        <v>746</v>
      </c>
      <c r="F216" s="44">
        <f t="shared" ref="F216:F363" si="14">E216/365</f>
        <v>2.043835616438356</v>
      </c>
      <c r="G216" s="44">
        <f t="shared" ref="G216:G363" si="15">(E216-180)/240</f>
        <v>2.3583333333333334</v>
      </c>
      <c r="J216" s="2" t="s">
        <v>761</v>
      </c>
      <c r="N216" s="2" t="s">
        <v>762</v>
      </c>
      <c r="O216" s="2">
        <v>2.75</v>
      </c>
      <c r="Q216" s="3">
        <v>46035</v>
      </c>
      <c r="R216" s="58">
        <v>0.71875</v>
      </c>
      <c r="T216" s="2">
        <f t="shared" ref="T216:T235" si="16">Q216-$D$216</f>
        <v>6</v>
      </c>
      <c r="U216" s="27">
        <v>33.65</v>
      </c>
      <c r="V216" s="27">
        <v>17.95</v>
      </c>
      <c r="W216" s="27">
        <v>2.94</v>
      </c>
      <c r="X216" s="27">
        <v>14.19</v>
      </c>
      <c r="Y216" s="27">
        <v>2.4500000000000002</v>
      </c>
      <c r="Z216" s="27" t="s">
        <v>55</v>
      </c>
      <c r="AA216" s="27" t="s">
        <v>55</v>
      </c>
      <c r="AB216" s="27" t="s">
        <v>55</v>
      </c>
      <c r="AC216" s="27" t="s">
        <v>55</v>
      </c>
      <c r="AD216" s="27" t="s">
        <v>55</v>
      </c>
      <c r="AE216" s="27" t="s">
        <v>55</v>
      </c>
      <c r="AR216" s="2" t="s">
        <v>52</v>
      </c>
      <c r="AS216" s="2">
        <v>0.72</v>
      </c>
      <c r="AT216" s="2">
        <v>2.0499999999999998</v>
      </c>
      <c r="AU216" s="2">
        <v>8.5500000000000007</v>
      </c>
      <c r="AV216" s="2">
        <v>3.59</v>
      </c>
      <c r="AW216" s="2">
        <v>30.73</v>
      </c>
      <c r="AX216" s="2">
        <v>10.72</v>
      </c>
      <c r="AY216" s="2">
        <v>5.04</v>
      </c>
      <c r="AZ216" s="2">
        <v>0.46500000000000002</v>
      </c>
      <c r="BA216" s="2">
        <v>0.38</v>
      </c>
      <c r="BB216" s="2">
        <v>0.03</v>
      </c>
      <c r="BC216" s="2">
        <v>0.05</v>
      </c>
      <c r="BD216" s="2">
        <v>12</v>
      </c>
      <c r="BE216" s="2">
        <v>119</v>
      </c>
    </row>
    <row r="217" spans="1:58" ht="60" customHeight="1" x14ac:dyDescent="0.35">
      <c r="B217" s="20" t="s">
        <v>850</v>
      </c>
      <c r="O217" s="2">
        <v>2.75</v>
      </c>
      <c r="Q217" s="3">
        <v>46038</v>
      </c>
      <c r="R217" s="58">
        <v>0.56874999999999998</v>
      </c>
      <c r="T217" s="2">
        <f t="shared" si="16"/>
        <v>9</v>
      </c>
      <c r="U217" s="27">
        <v>20.5</v>
      </c>
      <c r="V217" s="27">
        <v>10.39</v>
      </c>
      <c r="W217" s="27">
        <v>2.87</v>
      </c>
      <c r="X217" s="27">
        <v>6.12</v>
      </c>
      <c r="Y217" s="27">
        <v>5.32</v>
      </c>
      <c r="Z217" s="27" t="s">
        <v>55</v>
      </c>
      <c r="AA217" s="27" t="s">
        <v>55</v>
      </c>
      <c r="AB217" s="27" t="s">
        <v>55</v>
      </c>
      <c r="AC217" s="27" t="s">
        <v>55</v>
      </c>
      <c r="AD217" s="27" t="s">
        <v>55</v>
      </c>
      <c r="AE217" s="27" t="s">
        <v>55</v>
      </c>
      <c r="AR217" s="2" t="s">
        <v>52</v>
      </c>
      <c r="AS217" s="2">
        <v>1</v>
      </c>
      <c r="AT217" s="2">
        <v>3.15</v>
      </c>
      <c r="AU217" s="2">
        <v>0</v>
      </c>
      <c r="AV217" s="2" t="s">
        <v>89</v>
      </c>
      <c r="AW217" s="2">
        <v>35.67</v>
      </c>
      <c r="AX217" s="2">
        <v>11.19</v>
      </c>
      <c r="AY217" s="2">
        <v>4.92</v>
      </c>
      <c r="AZ217" s="2">
        <v>0.435</v>
      </c>
      <c r="BA217" s="2">
        <v>0.51</v>
      </c>
      <c r="BB217" s="2">
        <v>0</v>
      </c>
      <c r="BC217" s="2">
        <v>0.05</v>
      </c>
      <c r="BD217" s="2">
        <v>52</v>
      </c>
      <c r="BE217" s="2">
        <v>114</v>
      </c>
    </row>
    <row r="218" spans="1:58" ht="60" customHeight="1" x14ac:dyDescent="0.35">
      <c r="O218" s="2">
        <v>2.75</v>
      </c>
      <c r="Q218" s="3">
        <v>46041</v>
      </c>
      <c r="R218" s="58">
        <v>0.74375000000000002</v>
      </c>
      <c r="T218" s="2">
        <f t="shared" si="16"/>
        <v>12</v>
      </c>
      <c r="U218" s="27">
        <v>25.23</v>
      </c>
      <c r="V218" s="27">
        <v>11.41</v>
      </c>
      <c r="W218" s="27">
        <v>2.4700000000000002</v>
      </c>
      <c r="X218" s="27">
        <v>9.43</v>
      </c>
      <c r="Y218" s="27">
        <v>9.1999999999999993</v>
      </c>
      <c r="Z218" s="27" t="s">
        <v>133</v>
      </c>
      <c r="AA218" s="27" t="s">
        <v>111</v>
      </c>
      <c r="AB218" s="27">
        <v>12</v>
      </c>
      <c r="AC218" s="27" t="s">
        <v>55</v>
      </c>
      <c r="AD218" s="27" t="s">
        <v>55</v>
      </c>
      <c r="AE218" s="27" t="s">
        <v>55</v>
      </c>
      <c r="AR218" s="2" t="s">
        <v>52</v>
      </c>
      <c r="AS218" s="2">
        <v>0.66</v>
      </c>
      <c r="AT218" s="2">
        <v>1.39</v>
      </c>
      <c r="AU218" s="2">
        <v>10.55</v>
      </c>
      <c r="AV218" s="2">
        <v>2.96</v>
      </c>
      <c r="AW218" s="2">
        <v>31.25</v>
      </c>
      <c r="AX218" s="2">
        <v>14.84</v>
      </c>
      <c r="AY218" s="2">
        <v>11.5</v>
      </c>
      <c r="AZ218" s="2">
        <v>0.77</v>
      </c>
      <c r="BA218" s="2">
        <v>0.39</v>
      </c>
      <c r="BB218" s="2">
        <v>0.04</v>
      </c>
      <c r="BC218" s="2">
        <v>0.09</v>
      </c>
      <c r="BD218" s="2">
        <v>48</v>
      </c>
      <c r="BE218" s="2">
        <v>68</v>
      </c>
      <c r="BF218" s="2" t="s">
        <v>118</v>
      </c>
    </row>
    <row r="219" spans="1:58" ht="60" customHeight="1" x14ac:dyDescent="0.35">
      <c r="O219" s="2">
        <v>2.75</v>
      </c>
      <c r="Q219" s="3">
        <v>46045</v>
      </c>
      <c r="R219" s="58">
        <v>0.65</v>
      </c>
      <c r="T219" s="2">
        <f t="shared" si="16"/>
        <v>16</v>
      </c>
      <c r="U219" s="27">
        <v>14.76</v>
      </c>
      <c r="V219" s="27">
        <v>8.01</v>
      </c>
      <c r="W219" s="27">
        <v>2.38</v>
      </c>
      <c r="X219" s="27">
        <v>5.43</v>
      </c>
      <c r="Y219" s="27">
        <v>2.1</v>
      </c>
      <c r="Z219" s="27" t="s">
        <v>793</v>
      </c>
      <c r="AA219" s="27" t="s">
        <v>792</v>
      </c>
      <c r="AB219" s="27">
        <v>12</v>
      </c>
      <c r="AC219" s="27" t="s">
        <v>55</v>
      </c>
      <c r="AD219" s="27" t="s">
        <v>55</v>
      </c>
      <c r="AE219" s="27" t="s">
        <v>55</v>
      </c>
      <c r="AR219" s="2" t="s">
        <v>52</v>
      </c>
      <c r="AS219" s="2">
        <v>1</v>
      </c>
      <c r="AT219" s="2">
        <v>3.01</v>
      </c>
      <c r="AU219" s="2">
        <v>0</v>
      </c>
      <c r="AV219" s="2" t="s">
        <v>89</v>
      </c>
      <c r="AW219" s="2">
        <v>29.3</v>
      </c>
      <c r="AX219" s="2">
        <v>9.69</v>
      </c>
      <c r="AY219" s="2">
        <v>9.6</v>
      </c>
      <c r="AZ219" s="2">
        <v>0.98499999999999999</v>
      </c>
      <c r="BA219" s="2">
        <v>0.34</v>
      </c>
      <c r="BB219" s="2">
        <v>0</v>
      </c>
      <c r="BC219" s="2">
        <v>0.04</v>
      </c>
      <c r="BD219" s="2">
        <v>48</v>
      </c>
      <c r="BE219" s="2">
        <v>58</v>
      </c>
    </row>
    <row r="220" spans="1:58" ht="60" customHeight="1" x14ac:dyDescent="0.35">
      <c r="O220" s="2">
        <v>2.75</v>
      </c>
      <c r="Q220" s="3">
        <v>46049</v>
      </c>
      <c r="R220" s="58">
        <v>0.7368055555555556</v>
      </c>
      <c r="T220" s="2">
        <f t="shared" si="16"/>
        <v>20</v>
      </c>
      <c r="U220" s="27">
        <v>15.61</v>
      </c>
      <c r="V220" s="27">
        <v>8.82</v>
      </c>
      <c r="W220" s="27">
        <v>2.69</v>
      </c>
      <c r="X220" s="27">
        <v>5.79</v>
      </c>
      <c r="Y220" s="27">
        <v>1.37</v>
      </c>
      <c r="Z220" s="27" t="s">
        <v>235</v>
      </c>
      <c r="AA220" s="27" t="s">
        <v>804</v>
      </c>
      <c r="AB220" s="27">
        <v>12</v>
      </c>
      <c r="AC220" s="27" t="s">
        <v>55</v>
      </c>
      <c r="AD220" s="27" t="s">
        <v>55</v>
      </c>
      <c r="AE220" s="27" t="s">
        <v>55</v>
      </c>
      <c r="AR220" s="2" t="s">
        <v>682</v>
      </c>
      <c r="AS220" s="2">
        <v>1</v>
      </c>
      <c r="AT220" s="2">
        <v>3.66</v>
      </c>
      <c r="AU220" s="2">
        <v>0</v>
      </c>
      <c r="AV220" s="2" t="s">
        <v>89</v>
      </c>
      <c r="AW220" s="2">
        <v>37.42</v>
      </c>
      <c r="AX220" s="2">
        <v>10.17</v>
      </c>
      <c r="AY220" s="2">
        <v>11.34</v>
      </c>
      <c r="AZ220" s="2">
        <v>1.1100000000000001</v>
      </c>
      <c r="BA220" s="2">
        <v>0.56000000000000005</v>
      </c>
      <c r="BB220" s="2">
        <v>0</v>
      </c>
      <c r="BC220" s="2">
        <v>0.04</v>
      </c>
      <c r="BD220" s="2">
        <v>50</v>
      </c>
      <c r="BE220" s="2">
        <v>52</v>
      </c>
    </row>
    <row r="221" spans="1:58" ht="60" customHeight="1" x14ac:dyDescent="0.35">
      <c r="O221" s="2">
        <v>2.75</v>
      </c>
      <c r="Q221" s="3">
        <v>46052</v>
      </c>
      <c r="R221" s="58">
        <v>0.74236111111111114</v>
      </c>
      <c r="T221" s="2">
        <f t="shared" si="16"/>
        <v>23</v>
      </c>
      <c r="U221" s="27">
        <v>13.25</v>
      </c>
      <c r="V221" s="27">
        <v>6.98</v>
      </c>
      <c r="W221" s="27">
        <v>1.62</v>
      </c>
      <c r="X221" s="27">
        <v>4.3899999999999997</v>
      </c>
      <c r="Y221" s="27">
        <v>1.89</v>
      </c>
      <c r="Z221" s="27" t="s">
        <v>242</v>
      </c>
      <c r="AA221" s="27" t="s">
        <v>820</v>
      </c>
      <c r="AB221" s="27">
        <v>12</v>
      </c>
      <c r="AC221" s="27" t="s">
        <v>55</v>
      </c>
      <c r="AD221" s="27" t="s">
        <v>55</v>
      </c>
      <c r="AE221" s="27" t="s">
        <v>55</v>
      </c>
      <c r="AR221" s="2" t="s">
        <v>52</v>
      </c>
      <c r="AS221" s="2">
        <v>0.75</v>
      </c>
      <c r="AT221" s="2">
        <v>2.2400000000000002</v>
      </c>
      <c r="AU221" s="2">
        <v>12.2</v>
      </c>
      <c r="AV221" s="2">
        <v>4.07</v>
      </c>
      <c r="AW221" s="2">
        <v>49.62</v>
      </c>
      <c r="AX221" s="2">
        <v>16.61</v>
      </c>
      <c r="AY221" s="2">
        <v>15.2</v>
      </c>
      <c r="AZ221" s="2">
        <v>0.91</v>
      </c>
      <c r="BA221" s="2">
        <v>0.98</v>
      </c>
      <c r="BB221" s="2">
        <v>0.06</v>
      </c>
      <c r="BC221" s="2">
        <v>0.11</v>
      </c>
      <c r="BD221" s="2">
        <v>50</v>
      </c>
      <c r="BE221" s="2">
        <v>62</v>
      </c>
    </row>
    <row r="222" spans="1:58" ht="60" customHeight="1" x14ac:dyDescent="0.35">
      <c r="O222" s="2">
        <v>2.5</v>
      </c>
      <c r="Q222" s="3">
        <v>46056</v>
      </c>
      <c r="R222" s="58">
        <v>0.67847222222222225</v>
      </c>
      <c r="T222" s="2">
        <f t="shared" si="16"/>
        <v>27</v>
      </c>
      <c r="U222" s="27">
        <v>14.45</v>
      </c>
      <c r="V222" s="27">
        <v>7.74</v>
      </c>
      <c r="W222" s="27">
        <v>1.47</v>
      </c>
      <c r="X222" s="27">
        <v>5.55</v>
      </c>
      <c r="Y222" s="27">
        <v>2.66</v>
      </c>
      <c r="Z222" s="27" t="s">
        <v>101</v>
      </c>
      <c r="AA222" s="27" t="s">
        <v>434</v>
      </c>
      <c r="AB222" s="27">
        <v>12</v>
      </c>
      <c r="AC222" s="27" t="s">
        <v>55</v>
      </c>
      <c r="AD222" s="27" t="s">
        <v>55</v>
      </c>
      <c r="AE222" s="27" t="s">
        <v>55</v>
      </c>
      <c r="AR222" s="2" t="s">
        <v>52</v>
      </c>
      <c r="AS222" s="2">
        <v>0.76</v>
      </c>
      <c r="AT222" s="2">
        <v>2.2400000000000002</v>
      </c>
      <c r="AU222" s="2">
        <v>12.45</v>
      </c>
      <c r="AV222" s="2">
        <v>4.1100000000000003</v>
      </c>
      <c r="AW222" s="2">
        <v>51.15</v>
      </c>
      <c r="AX222" s="2">
        <v>17.170000000000002</v>
      </c>
      <c r="AY222" s="2">
        <v>15.54</v>
      </c>
      <c r="AZ222" s="2">
        <v>0.9</v>
      </c>
      <c r="BA222" s="2">
        <v>1.05</v>
      </c>
      <c r="BB222" s="2">
        <v>0.06</v>
      </c>
      <c r="BC222" s="2">
        <v>0.12</v>
      </c>
      <c r="BD222" s="2">
        <v>54</v>
      </c>
      <c r="BE222" s="2">
        <v>62</v>
      </c>
    </row>
    <row r="223" spans="1:58" ht="60" customHeight="1" x14ac:dyDescent="0.35">
      <c r="O223" s="2">
        <v>2.5</v>
      </c>
      <c r="Q223" s="3">
        <v>46059</v>
      </c>
      <c r="R223" s="58">
        <v>0.48958333333333331</v>
      </c>
      <c r="T223" s="2">
        <f t="shared" si="16"/>
        <v>30</v>
      </c>
      <c r="U223" s="27">
        <v>14.56</v>
      </c>
      <c r="V223" s="27">
        <v>6.92</v>
      </c>
      <c r="W223" s="27">
        <v>2.0299999999999998</v>
      </c>
      <c r="X223" s="27">
        <v>6.66</v>
      </c>
      <c r="Y223" s="27">
        <v>1.1000000000000001</v>
      </c>
      <c r="Z223" s="27" t="s">
        <v>235</v>
      </c>
      <c r="AA223" s="27" t="s">
        <v>691</v>
      </c>
      <c r="AB223" s="27">
        <v>12</v>
      </c>
      <c r="AC223" s="27" t="s">
        <v>55</v>
      </c>
      <c r="AD223" s="27" t="s">
        <v>55</v>
      </c>
      <c r="AE223" s="27" t="s">
        <v>55</v>
      </c>
      <c r="AR223" s="2" t="s">
        <v>50</v>
      </c>
      <c r="BF223" s="2" t="s">
        <v>855</v>
      </c>
    </row>
    <row r="224" spans="1:58" ht="60" customHeight="1" x14ac:dyDescent="0.35">
      <c r="O224" s="2">
        <v>2.5</v>
      </c>
      <c r="Q224" s="3">
        <v>46062</v>
      </c>
      <c r="R224" s="58">
        <v>0.4861111111111111</v>
      </c>
      <c r="T224" s="2">
        <f t="shared" si="16"/>
        <v>33</v>
      </c>
      <c r="U224" s="27">
        <v>14.57</v>
      </c>
      <c r="V224" s="27">
        <v>5.48</v>
      </c>
      <c r="W224" s="27">
        <v>1.06</v>
      </c>
      <c r="X224" s="27">
        <v>5.89</v>
      </c>
      <c r="Y224" s="27">
        <v>0.84</v>
      </c>
      <c r="Z224" s="27" t="s">
        <v>98</v>
      </c>
      <c r="AA224" s="27" t="s">
        <v>134</v>
      </c>
      <c r="AB224" s="27">
        <v>12</v>
      </c>
      <c r="AC224" s="27" t="s">
        <v>55</v>
      </c>
      <c r="AD224" s="27" t="s">
        <v>55</v>
      </c>
      <c r="AE224" s="27" t="s">
        <v>55</v>
      </c>
      <c r="AR224" s="2" t="s">
        <v>52</v>
      </c>
      <c r="AS224" s="2">
        <v>1</v>
      </c>
      <c r="AT224" s="2">
        <v>4.08</v>
      </c>
      <c r="AU224" s="2">
        <v>0</v>
      </c>
      <c r="AV224" s="2" t="s">
        <v>89</v>
      </c>
      <c r="AW224" s="2">
        <v>49.23</v>
      </c>
      <c r="AX224" s="2">
        <v>12</v>
      </c>
      <c r="AY224" s="2">
        <v>12.6</v>
      </c>
      <c r="AZ224" s="2">
        <v>1.0449999999999999</v>
      </c>
      <c r="BA224" s="2">
        <v>0.97</v>
      </c>
      <c r="BB224" s="2">
        <v>0</v>
      </c>
      <c r="BC224" s="2">
        <v>0.06</v>
      </c>
      <c r="BD224" s="2">
        <v>48</v>
      </c>
      <c r="BE224" s="2">
        <v>54</v>
      </c>
    </row>
    <row r="225" spans="1:58" ht="60" customHeight="1" x14ac:dyDescent="0.35">
      <c r="O225" s="2">
        <v>2.5</v>
      </c>
      <c r="Q225" s="3">
        <v>46066</v>
      </c>
      <c r="R225" s="58">
        <v>0.75277777777777777</v>
      </c>
      <c r="T225" s="2">
        <f t="shared" si="16"/>
        <v>37</v>
      </c>
      <c r="U225" s="27" t="s">
        <v>55</v>
      </c>
      <c r="V225" s="27" t="s">
        <v>55</v>
      </c>
      <c r="W225" s="27" t="s">
        <v>55</v>
      </c>
      <c r="X225" s="27" t="s">
        <v>55</v>
      </c>
      <c r="Y225" s="27" t="s">
        <v>55</v>
      </c>
      <c r="Z225" s="27" t="s">
        <v>299</v>
      </c>
      <c r="AA225" s="27" t="s">
        <v>894</v>
      </c>
      <c r="AB225" s="27">
        <v>12</v>
      </c>
      <c r="AC225" s="27" t="s">
        <v>55</v>
      </c>
      <c r="AD225" s="27" t="s">
        <v>55</v>
      </c>
      <c r="AE225" s="27" t="s">
        <v>55</v>
      </c>
      <c r="AR225" s="2" t="s">
        <v>55</v>
      </c>
    </row>
    <row r="226" spans="1:58" ht="60" customHeight="1" x14ac:dyDescent="0.35">
      <c r="O226" s="2">
        <v>2.75</v>
      </c>
      <c r="Q226" s="3">
        <v>46070</v>
      </c>
      <c r="R226" s="58">
        <v>0.78263888888888888</v>
      </c>
      <c r="T226" s="2">
        <f t="shared" si="16"/>
        <v>41</v>
      </c>
      <c r="U226" s="27" t="s">
        <v>55</v>
      </c>
      <c r="V226" s="27" t="s">
        <v>55</v>
      </c>
      <c r="W226" s="27" t="s">
        <v>55</v>
      </c>
      <c r="X226" s="27" t="s">
        <v>55</v>
      </c>
      <c r="Y226" s="27" t="s">
        <v>55</v>
      </c>
      <c r="Z226" s="27" t="s">
        <v>131</v>
      </c>
      <c r="AA226" s="27" t="s">
        <v>122</v>
      </c>
      <c r="AB226" s="27">
        <v>12</v>
      </c>
      <c r="AC226" s="27" t="s">
        <v>55</v>
      </c>
      <c r="AD226" s="27" t="s">
        <v>55</v>
      </c>
      <c r="AE226" s="27" t="s">
        <v>55</v>
      </c>
      <c r="AR226" s="2" t="s">
        <v>55</v>
      </c>
    </row>
    <row r="227" spans="1:58" ht="60" customHeight="1" x14ac:dyDescent="0.35">
      <c r="O227" s="2">
        <v>2.75</v>
      </c>
      <c r="Q227" s="3">
        <v>46074</v>
      </c>
      <c r="R227" s="58">
        <v>0.42708333333333331</v>
      </c>
      <c r="T227" s="2">
        <f t="shared" si="16"/>
        <v>45</v>
      </c>
      <c r="U227" s="27" t="s">
        <v>55</v>
      </c>
      <c r="V227" s="27" t="s">
        <v>55</v>
      </c>
      <c r="W227" s="27" t="s">
        <v>55</v>
      </c>
      <c r="X227" s="27" t="s">
        <v>55</v>
      </c>
      <c r="Y227" s="27" t="s">
        <v>55</v>
      </c>
      <c r="Z227" s="27" t="s">
        <v>920</v>
      </c>
      <c r="AA227" s="37" t="s">
        <v>919</v>
      </c>
      <c r="AB227" s="27">
        <v>12</v>
      </c>
      <c r="AC227" s="27" t="s">
        <v>55</v>
      </c>
      <c r="AD227" s="27" t="s">
        <v>55</v>
      </c>
      <c r="AE227" s="27" t="s">
        <v>55</v>
      </c>
      <c r="AR227" s="2" t="s">
        <v>55</v>
      </c>
    </row>
    <row r="228" spans="1:58" ht="60" customHeight="1" x14ac:dyDescent="0.35">
      <c r="O228" s="2">
        <v>2.75</v>
      </c>
      <c r="Q228" s="3">
        <v>46077</v>
      </c>
      <c r="R228" s="58">
        <v>0.76180555555555551</v>
      </c>
      <c r="T228" s="2">
        <f t="shared" si="16"/>
        <v>48</v>
      </c>
      <c r="U228" s="27" t="s">
        <v>55</v>
      </c>
      <c r="V228" s="27" t="s">
        <v>55</v>
      </c>
      <c r="W228" s="27" t="s">
        <v>55</v>
      </c>
      <c r="X228" s="27" t="s">
        <v>55</v>
      </c>
      <c r="Y228" s="27" t="s">
        <v>55</v>
      </c>
      <c r="Z228" s="27" t="s">
        <v>131</v>
      </c>
      <c r="AA228" s="27" t="s">
        <v>942</v>
      </c>
      <c r="AB228" s="27">
        <v>12</v>
      </c>
      <c r="AC228" s="27" t="s">
        <v>55</v>
      </c>
      <c r="AD228" s="27" t="s">
        <v>55</v>
      </c>
      <c r="AE228" s="27" t="s">
        <v>55</v>
      </c>
      <c r="AR228" s="2" t="s">
        <v>55</v>
      </c>
    </row>
    <row r="229" spans="1:58" ht="60" customHeight="1" x14ac:dyDescent="0.35">
      <c r="O229" s="2">
        <v>2.75</v>
      </c>
      <c r="Q229" s="3">
        <v>46080</v>
      </c>
      <c r="R229" s="58">
        <v>0.50347222222222221</v>
      </c>
      <c r="T229" s="2">
        <f t="shared" si="16"/>
        <v>51</v>
      </c>
      <c r="U229" s="27" t="s">
        <v>55</v>
      </c>
      <c r="V229" s="27" t="s">
        <v>55</v>
      </c>
      <c r="W229" s="27" t="s">
        <v>55</v>
      </c>
      <c r="X229" s="27" t="s">
        <v>55</v>
      </c>
      <c r="Y229" s="27" t="s">
        <v>55</v>
      </c>
      <c r="Z229" s="27" t="s">
        <v>299</v>
      </c>
      <c r="AA229" s="37" t="s">
        <v>986</v>
      </c>
      <c r="AB229" s="27">
        <v>12</v>
      </c>
      <c r="AC229" s="27" t="s">
        <v>55</v>
      </c>
      <c r="AD229" s="27" t="s">
        <v>55</v>
      </c>
      <c r="AE229" s="27" t="s">
        <v>55</v>
      </c>
      <c r="AR229" s="2" t="s">
        <v>55</v>
      </c>
    </row>
    <row r="230" spans="1:58" ht="60" customHeight="1" x14ac:dyDescent="0.35">
      <c r="O230" s="2">
        <v>2.75</v>
      </c>
      <c r="Q230" s="3">
        <v>46084</v>
      </c>
      <c r="R230" s="58">
        <v>0.76180555555555551</v>
      </c>
      <c r="T230" s="2">
        <f t="shared" si="16"/>
        <v>55</v>
      </c>
      <c r="U230" s="27" t="s">
        <v>55</v>
      </c>
      <c r="V230" s="27" t="s">
        <v>55</v>
      </c>
      <c r="W230" s="27" t="s">
        <v>55</v>
      </c>
      <c r="X230" s="27" t="s">
        <v>55</v>
      </c>
      <c r="Y230" s="27" t="s">
        <v>55</v>
      </c>
      <c r="Z230" s="27" t="s">
        <v>959</v>
      </c>
      <c r="AA230" s="27" t="s">
        <v>988</v>
      </c>
      <c r="AB230" s="27">
        <v>12</v>
      </c>
      <c r="AC230" s="27" t="s">
        <v>55</v>
      </c>
      <c r="AD230" s="27" t="s">
        <v>55</v>
      </c>
      <c r="AE230" s="27" t="s">
        <v>55</v>
      </c>
      <c r="AR230" s="2" t="s">
        <v>55</v>
      </c>
    </row>
    <row r="231" spans="1:58" ht="60" customHeight="1" x14ac:dyDescent="0.35">
      <c r="O231" s="2">
        <v>2.75</v>
      </c>
      <c r="Q231" s="3">
        <v>46088</v>
      </c>
      <c r="R231" s="58">
        <v>0.40625</v>
      </c>
      <c r="T231" s="2">
        <f t="shared" si="16"/>
        <v>59</v>
      </c>
      <c r="U231" s="27" t="s">
        <v>55</v>
      </c>
      <c r="V231" s="27" t="s">
        <v>55</v>
      </c>
      <c r="W231" s="27" t="s">
        <v>55</v>
      </c>
      <c r="X231" s="27" t="s">
        <v>55</v>
      </c>
      <c r="Y231" s="27" t="s">
        <v>55</v>
      </c>
      <c r="Z231" s="27" t="s">
        <v>1008</v>
      </c>
      <c r="AA231" s="27" t="s">
        <v>989</v>
      </c>
      <c r="AB231" s="27">
        <v>12</v>
      </c>
      <c r="AC231" s="27" t="s">
        <v>55</v>
      </c>
      <c r="AD231" s="27" t="s">
        <v>55</v>
      </c>
      <c r="AE231" s="27" t="s">
        <v>55</v>
      </c>
      <c r="AR231" s="2" t="s">
        <v>55</v>
      </c>
    </row>
    <row r="232" spans="1:58" ht="60" customHeight="1" x14ac:dyDescent="0.35">
      <c r="O232" s="2">
        <v>2.75</v>
      </c>
      <c r="Q232" s="3">
        <v>46091</v>
      </c>
      <c r="R232" s="58">
        <v>0.82777777777777772</v>
      </c>
      <c r="T232" s="2">
        <f t="shared" si="16"/>
        <v>62</v>
      </c>
      <c r="U232" s="27" t="s">
        <v>55</v>
      </c>
      <c r="V232" s="27" t="s">
        <v>55</v>
      </c>
      <c r="W232" s="27" t="s">
        <v>55</v>
      </c>
      <c r="X232" s="27" t="s">
        <v>55</v>
      </c>
      <c r="Y232" s="27" t="s">
        <v>55</v>
      </c>
      <c r="Z232" s="27" t="s">
        <v>1053</v>
      </c>
      <c r="AA232" s="27" t="s">
        <v>1052</v>
      </c>
      <c r="AB232" s="27">
        <v>12</v>
      </c>
      <c r="AC232" s="27" t="s">
        <v>55</v>
      </c>
      <c r="AD232" s="27" t="s">
        <v>55</v>
      </c>
      <c r="AE232" s="27" t="s">
        <v>55</v>
      </c>
      <c r="AR232" s="2" t="s">
        <v>55</v>
      </c>
    </row>
    <row r="233" spans="1:58" ht="60" customHeight="1" x14ac:dyDescent="0.35">
      <c r="O233" s="2">
        <v>2.75</v>
      </c>
      <c r="Q233" s="3">
        <v>46098</v>
      </c>
      <c r="R233" s="58">
        <v>0.73055555555555551</v>
      </c>
      <c r="T233" s="2">
        <f t="shared" si="16"/>
        <v>69</v>
      </c>
      <c r="U233" s="27" t="s">
        <v>55</v>
      </c>
      <c r="V233" s="27" t="s">
        <v>55</v>
      </c>
      <c r="W233" s="27" t="s">
        <v>55</v>
      </c>
      <c r="X233" s="27" t="s">
        <v>55</v>
      </c>
      <c r="Y233" s="27" t="s">
        <v>55</v>
      </c>
      <c r="Z233" s="27" t="s">
        <v>397</v>
      </c>
      <c r="AA233" s="37" t="s">
        <v>1099</v>
      </c>
      <c r="AB233" s="27">
        <v>12</v>
      </c>
      <c r="AC233" s="27" t="s">
        <v>55</v>
      </c>
      <c r="AD233" s="27" t="s">
        <v>55</v>
      </c>
      <c r="AE233" s="27" t="s">
        <v>55</v>
      </c>
      <c r="AR233" s="2" t="s">
        <v>55</v>
      </c>
    </row>
    <row r="234" spans="1:58" ht="60" customHeight="1" x14ac:dyDescent="0.35">
      <c r="O234" s="2">
        <v>3</v>
      </c>
      <c r="Q234" s="3">
        <v>46105</v>
      </c>
      <c r="R234" s="58">
        <v>0.71805555555555556</v>
      </c>
      <c r="T234" s="2">
        <f t="shared" si="16"/>
        <v>76</v>
      </c>
      <c r="U234" s="27" t="s">
        <v>55</v>
      </c>
      <c r="V234" s="27" t="s">
        <v>55</v>
      </c>
      <c r="W234" s="27" t="s">
        <v>55</v>
      </c>
      <c r="X234" s="27" t="s">
        <v>55</v>
      </c>
      <c r="Y234" s="27" t="s">
        <v>55</v>
      </c>
      <c r="Z234" s="27" t="s">
        <v>200</v>
      </c>
      <c r="AA234" s="27" t="s">
        <v>1123</v>
      </c>
      <c r="AB234" s="27">
        <v>12</v>
      </c>
      <c r="AC234" s="27" t="s">
        <v>55</v>
      </c>
      <c r="AD234" s="27" t="s">
        <v>55</v>
      </c>
      <c r="AE234" s="27" t="s">
        <v>55</v>
      </c>
      <c r="AR234" s="2" t="s">
        <v>55</v>
      </c>
    </row>
    <row r="235" spans="1:58" ht="60" customHeight="1" x14ac:dyDescent="0.35">
      <c r="O235" s="2">
        <v>3.25</v>
      </c>
      <c r="Q235" s="3">
        <v>46112</v>
      </c>
      <c r="R235" s="58">
        <v>0.8</v>
      </c>
      <c r="T235" s="2">
        <f t="shared" si="16"/>
        <v>83</v>
      </c>
      <c r="U235" s="27" t="s">
        <v>55</v>
      </c>
      <c r="V235" s="27" t="s">
        <v>55</v>
      </c>
      <c r="W235" s="27" t="s">
        <v>55</v>
      </c>
      <c r="X235" s="27" t="s">
        <v>55</v>
      </c>
      <c r="Y235" s="27" t="s">
        <v>55</v>
      </c>
      <c r="Z235" s="27" t="s">
        <v>134</v>
      </c>
      <c r="AA235" s="27" t="s">
        <v>1188</v>
      </c>
      <c r="AB235" s="27">
        <v>12</v>
      </c>
      <c r="AC235" s="27" t="s">
        <v>55</v>
      </c>
      <c r="AD235" s="27" t="s">
        <v>55</v>
      </c>
      <c r="AE235" s="27" t="s">
        <v>1184</v>
      </c>
      <c r="AF235" s="118" t="s">
        <v>55</v>
      </c>
      <c r="AG235" s="118" t="s">
        <v>55</v>
      </c>
      <c r="AH235" s="118" t="s">
        <v>55</v>
      </c>
      <c r="AI235" s="118" t="s">
        <v>55</v>
      </c>
      <c r="AJ235" s="118" t="s">
        <v>55</v>
      </c>
      <c r="AK235" s="118" t="s">
        <v>55</v>
      </c>
      <c r="AL235" s="118">
        <v>75.66</v>
      </c>
      <c r="AM235" s="118">
        <v>43.74</v>
      </c>
      <c r="AN235" s="118">
        <f>AL235-AM235</f>
        <v>31.919999999999995</v>
      </c>
      <c r="AO235" s="118" t="s">
        <v>55</v>
      </c>
      <c r="AP235" s="118" t="s">
        <v>55</v>
      </c>
      <c r="AQ235" s="118" t="s">
        <v>55</v>
      </c>
      <c r="AR235" s="2" t="s">
        <v>55</v>
      </c>
      <c r="BF235" s="2" t="s">
        <v>1185</v>
      </c>
    </row>
    <row r="236" spans="1:58" ht="60" customHeight="1" x14ac:dyDescent="0.35"/>
    <row r="237" spans="1:58" ht="60" customHeight="1" x14ac:dyDescent="0.35">
      <c r="A237" s="22">
        <v>11</v>
      </c>
      <c r="B237" s="137" t="s">
        <v>1043</v>
      </c>
      <c r="C237" s="43">
        <v>45283</v>
      </c>
      <c r="D237" s="3">
        <v>46025</v>
      </c>
      <c r="E237" s="44">
        <f t="shared" si="13"/>
        <v>742</v>
      </c>
      <c r="F237" s="44">
        <f t="shared" si="14"/>
        <v>2.032876712328767</v>
      </c>
      <c r="G237" s="44">
        <f t="shared" si="15"/>
        <v>2.3416666666666668</v>
      </c>
      <c r="H237" s="2" t="s">
        <v>10</v>
      </c>
      <c r="I237" s="56"/>
      <c r="J237" s="2">
        <v>4127</v>
      </c>
      <c r="O237" s="2">
        <v>3.25</v>
      </c>
      <c r="Q237" s="3">
        <v>46035</v>
      </c>
      <c r="R237" s="58">
        <v>0.72291666666666665</v>
      </c>
      <c r="T237" s="2">
        <f t="shared" ref="T237:T248" si="17">Q237-$D$237</f>
        <v>10</v>
      </c>
      <c r="U237" s="27">
        <v>19.43</v>
      </c>
      <c r="V237" s="27">
        <v>9.08</v>
      </c>
      <c r="W237" s="27">
        <v>2.2999999999999998</v>
      </c>
      <c r="X237" s="27">
        <v>7.08</v>
      </c>
      <c r="Y237" s="27">
        <v>3.11</v>
      </c>
      <c r="Z237" s="27" t="s">
        <v>749</v>
      </c>
      <c r="AA237" s="27" t="s">
        <v>82</v>
      </c>
      <c r="AB237" s="27">
        <f>T237</f>
        <v>10</v>
      </c>
      <c r="AC237" s="27" t="s">
        <v>55</v>
      </c>
      <c r="AD237" s="27" t="s">
        <v>55</v>
      </c>
      <c r="AE237" s="27" t="s">
        <v>55</v>
      </c>
      <c r="AR237" s="2" t="s">
        <v>52</v>
      </c>
      <c r="AS237" s="2">
        <v>1</v>
      </c>
      <c r="AT237" s="2">
        <v>2.95</v>
      </c>
      <c r="AU237" s="2">
        <v>0</v>
      </c>
      <c r="AV237" s="2" t="s">
        <v>89</v>
      </c>
      <c r="AW237" s="2">
        <v>23.33</v>
      </c>
      <c r="AX237" s="2">
        <v>7.83</v>
      </c>
      <c r="AY237" s="2">
        <v>4.3099999999999996</v>
      </c>
      <c r="AZ237" s="2">
        <v>0.54500000000000004</v>
      </c>
      <c r="BA237" s="2">
        <v>0.22</v>
      </c>
      <c r="BB237" s="2">
        <v>0</v>
      </c>
      <c r="BC237" s="2">
        <v>0.02</v>
      </c>
      <c r="BD237" s="2">
        <v>46</v>
      </c>
      <c r="BE237" s="2">
        <v>103</v>
      </c>
    </row>
    <row r="238" spans="1:58" ht="60" customHeight="1" x14ac:dyDescent="0.35">
      <c r="O238" s="2">
        <v>3.25</v>
      </c>
      <c r="Q238" s="3">
        <v>46038</v>
      </c>
      <c r="R238" s="58">
        <v>0.58402777777777781</v>
      </c>
      <c r="T238" s="2">
        <f t="shared" si="17"/>
        <v>13</v>
      </c>
      <c r="U238" s="27">
        <v>14.02</v>
      </c>
      <c r="V238" s="27">
        <v>8.27</v>
      </c>
      <c r="W238" s="27">
        <v>1.88</v>
      </c>
      <c r="X238" s="27">
        <v>5.43</v>
      </c>
      <c r="Y238" s="27">
        <v>2.52</v>
      </c>
      <c r="Z238" s="27" t="s">
        <v>773</v>
      </c>
      <c r="AA238" s="37" t="s">
        <v>774</v>
      </c>
      <c r="AB238" s="27">
        <v>10</v>
      </c>
      <c r="AC238" s="27" t="s">
        <v>55</v>
      </c>
      <c r="AD238" s="27" t="s">
        <v>55</v>
      </c>
      <c r="AE238" s="27" t="s">
        <v>55</v>
      </c>
      <c r="AR238" s="2" t="s">
        <v>52</v>
      </c>
      <c r="AS238" s="2">
        <v>1</v>
      </c>
      <c r="AT238" s="2">
        <v>3.45</v>
      </c>
      <c r="AU238" s="2">
        <v>0</v>
      </c>
      <c r="AV238" s="2" t="s">
        <v>89</v>
      </c>
      <c r="AW238" s="2">
        <v>30.85</v>
      </c>
      <c r="AX238" s="2">
        <v>8.8800000000000008</v>
      </c>
      <c r="AY238" s="2">
        <v>5.19</v>
      </c>
      <c r="AZ238" s="2">
        <v>0.57999999999999996</v>
      </c>
      <c r="BA238" s="2">
        <v>0.38</v>
      </c>
      <c r="BB238" s="2">
        <v>0</v>
      </c>
      <c r="BC238" s="2">
        <v>0.03</v>
      </c>
      <c r="BD238" s="2">
        <v>38</v>
      </c>
      <c r="BE238" s="2">
        <v>97</v>
      </c>
    </row>
    <row r="239" spans="1:58" ht="60" customHeight="1" x14ac:dyDescent="0.35">
      <c r="O239" s="2">
        <v>3.25</v>
      </c>
      <c r="Q239" s="3">
        <v>46041</v>
      </c>
      <c r="R239" s="58">
        <v>0.68472222222222223</v>
      </c>
      <c r="T239" s="2">
        <f t="shared" si="17"/>
        <v>16</v>
      </c>
      <c r="U239" s="27">
        <v>14.69</v>
      </c>
      <c r="V239" s="27">
        <v>6.59</v>
      </c>
      <c r="W239" s="27">
        <v>2.1</v>
      </c>
      <c r="X239" s="27">
        <v>6.43</v>
      </c>
      <c r="Y239" s="27">
        <v>2.52</v>
      </c>
      <c r="Z239" s="27" t="s">
        <v>154</v>
      </c>
      <c r="AA239" s="27" t="s">
        <v>781</v>
      </c>
      <c r="AB239" s="27">
        <v>10</v>
      </c>
      <c r="AC239" s="27" t="s">
        <v>55</v>
      </c>
      <c r="AD239" s="27" t="s">
        <v>55</v>
      </c>
      <c r="AE239" s="27" t="s">
        <v>55</v>
      </c>
      <c r="AR239" s="2" t="s">
        <v>52</v>
      </c>
      <c r="AS239" s="2">
        <v>0.75</v>
      </c>
      <c r="AT239" s="2">
        <v>1.68</v>
      </c>
      <c r="AU239" s="2">
        <v>10.94</v>
      </c>
      <c r="AV239" s="2">
        <v>4</v>
      </c>
      <c r="AW239" s="2">
        <v>43.76</v>
      </c>
      <c r="AX239" s="2">
        <v>19.329999999999998</v>
      </c>
      <c r="AY239" s="2">
        <v>11.98</v>
      </c>
      <c r="AZ239" s="2">
        <v>0.61499999999999999</v>
      </c>
      <c r="BA239" s="2">
        <v>0.77</v>
      </c>
      <c r="BB239" s="2">
        <v>0.05</v>
      </c>
      <c r="BC239" s="2">
        <v>0.15</v>
      </c>
      <c r="BD239" s="2">
        <v>48</v>
      </c>
      <c r="BE239" s="2">
        <v>88</v>
      </c>
    </row>
    <row r="240" spans="1:58" ht="60" customHeight="1" x14ac:dyDescent="0.35">
      <c r="O240" s="2">
        <v>3.25</v>
      </c>
      <c r="Q240" s="3">
        <v>46045</v>
      </c>
      <c r="R240" s="58">
        <v>0.67361111111111116</v>
      </c>
      <c r="T240" s="2">
        <f t="shared" si="17"/>
        <v>20</v>
      </c>
      <c r="U240" s="27">
        <v>14.01</v>
      </c>
      <c r="V240" s="27">
        <v>6.9</v>
      </c>
      <c r="W240" s="27">
        <v>1.26</v>
      </c>
      <c r="X240" s="27">
        <v>4.97</v>
      </c>
      <c r="Y240" s="27">
        <v>1.61</v>
      </c>
      <c r="Z240" s="27" t="s">
        <v>741</v>
      </c>
      <c r="AA240" s="27" t="s">
        <v>795</v>
      </c>
      <c r="AB240" s="27">
        <v>10</v>
      </c>
      <c r="AC240" s="27" t="s">
        <v>55</v>
      </c>
      <c r="AD240" s="27" t="s">
        <v>55</v>
      </c>
      <c r="AE240" s="27" t="s">
        <v>55</v>
      </c>
      <c r="AR240" s="2" t="s">
        <v>52</v>
      </c>
      <c r="AS240" s="2">
        <v>1</v>
      </c>
      <c r="AT240" s="2">
        <v>3.69</v>
      </c>
      <c r="AU240" s="2">
        <v>0</v>
      </c>
      <c r="AV240" s="2" t="s">
        <v>89</v>
      </c>
      <c r="AW240" s="2">
        <v>28.46</v>
      </c>
      <c r="AX240" s="2">
        <v>7.65</v>
      </c>
      <c r="AY240" s="2">
        <v>5.35</v>
      </c>
      <c r="AZ240" s="2">
        <v>0.69499999999999995</v>
      </c>
      <c r="BA240" s="2">
        <v>0.32</v>
      </c>
      <c r="BB240" s="2">
        <v>0</v>
      </c>
      <c r="BC240" s="2">
        <v>0.02</v>
      </c>
      <c r="BD240" s="2">
        <v>54</v>
      </c>
      <c r="BE240" s="2">
        <v>76</v>
      </c>
    </row>
    <row r="241" spans="1:58" ht="60" customHeight="1" x14ac:dyDescent="0.35">
      <c r="O241" s="2">
        <v>3</v>
      </c>
      <c r="Q241" s="3">
        <v>46049</v>
      </c>
      <c r="R241" s="58">
        <v>0.74652777777777779</v>
      </c>
      <c r="T241" s="2">
        <f t="shared" si="17"/>
        <v>24</v>
      </c>
      <c r="U241" s="27">
        <v>19.52</v>
      </c>
      <c r="V241" s="27">
        <v>8.99</v>
      </c>
      <c r="W241" s="27">
        <v>3.62</v>
      </c>
      <c r="X241" s="27">
        <v>5.16</v>
      </c>
      <c r="Y241" s="27">
        <v>2.92</v>
      </c>
      <c r="Z241" s="27" t="s">
        <v>267</v>
      </c>
      <c r="AA241" s="27" t="s">
        <v>249</v>
      </c>
      <c r="AB241" s="27">
        <v>10</v>
      </c>
      <c r="AC241" s="27" t="s">
        <v>55</v>
      </c>
      <c r="AD241" s="27" t="s">
        <v>55</v>
      </c>
      <c r="AE241" s="27" t="s">
        <v>55</v>
      </c>
      <c r="AR241" s="2" t="s">
        <v>50</v>
      </c>
    </row>
    <row r="242" spans="1:58" ht="60" customHeight="1" x14ac:dyDescent="0.35">
      <c r="O242" s="2">
        <v>3</v>
      </c>
      <c r="Q242" s="3">
        <v>46052</v>
      </c>
      <c r="R242" s="58">
        <v>0.72083333333333333</v>
      </c>
      <c r="T242" s="2">
        <f t="shared" si="17"/>
        <v>27</v>
      </c>
      <c r="U242" s="27">
        <v>16.559999999999999</v>
      </c>
      <c r="V242" s="27">
        <v>7.36</v>
      </c>
      <c r="W242" s="27">
        <v>1.7</v>
      </c>
      <c r="X242" s="27">
        <v>4.71</v>
      </c>
      <c r="Y242" s="27">
        <v>4.3899999999999997</v>
      </c>
      <c r="Z242" s="27" t="s">
        <v>220</v>
      </c>
      <c r="AA242" s="27" t="s">
        <v>203</v>
      </c>
      <c r="AB242" s="27">
        <v>10</v>
      </c>
      <c r="AC242" s="27" t="s">
        <v>55</v>
      </c>
      <c r="AD242" s="27" t="s">
        <v>55</v>
      </c>
      <c r="AE242" s="27" t="s">
        <v>55</v>
      </c>
      <c r="AR242" s="2" t="s">
        <v>52</v>
      </c>
      <c r="AS242" s="2">
        <v>1</v>
      </c>
      <c r="AT242" s="2">
        <v>3.7</v>
      </c>
      <c r="AU242" s="2">
        <v>0</v>
      </c>
      <c r="AV242" s="2" t="s">
        <v>89</v>
      </c>
      <c r="AW242" s="2">
        <v>34.53</v>
      </c>
      <c r="AX242" s="2">
        <v>9.26</v>
      </c>
      <c r="AY242" s="2">
        <v>6.39</v>
      </c>
      <c r="AZ242" s="2">
        <v>0.68500000000000005</v>
      </c>
      <c r="BA242" s="2">
        <v>0.48</v>
      </c>
      <c r="BB242" s="2">
        <v>0</v>
      </c>
      <c r="BC242" s="2">
        <v>0.03</v>
      </c>
      <c r="BD242" s="2">
        <v>58</v>
      </c>
      <c r="BE242" s="2">
        <v>84</v>
      </c>
    </row>
    <row r="243" spans="1:58" ht="60" customHeight="1" x14ac:dyDescent="0.35">
      <c r="O243" s="2">
        <v>3</v>
      </c>
      <c r="Q243" s="3">
        <v>46056</v>
      </c>
      <c r="R243" s="58">
        <v>0.6118055555555556</v>
      </c>
      <c r="T243" s="2">
        <f t="shared" si="17"/>
        <v>31</v>
      </c>
      <c r="U243" s="27">
        <v>13.14</v>
      </c>
      <c r="V243" s="27">
        <v>6.5</v>
      </c>
      <c r="W243" s="27">
        <v>1.88</v>
      </c>
      <c r="X243" s="27">
        <v>5.13</v>
      </c>
      <c r="Y243" s="27">
        <v>1.96</v>
      </c>
      <c r="Z243" s="27" t="s">
        <v>157</v>
      </c>
      <c r="AA243" s="27" t="s">
        <v>232</v>
      </c>
      <c r="AB243" s="27">
        <v>10</v>
      </c>
      <c r="AC243" s="27" t="s">
        <v>55</v>
      </c>
      <c r="AD243" s="27" t="s">
        <v>55</v>
      </c>
      <c r="AE243" s="27" t="s">
        <v>55</v>
      </c>
      <c r="AR243" s="2" t="s">
        <v>50</v>
      </c>
    </row>
    <row r="244" spans="1:58" ht="60" customHeight="1" x14ac:dyDescent="0.35">
      <c r="O244" s="2">
        <v>3</v>
      </c>
      <c r="Q244" s="3">
        <v>46059</v>
      </c>
      <c r="R244" s="58">
        <v>0.48194444444444445</v>
      </c>
      <c r="T244" s="2">
        <f t="shared" si="17"/>
        <v>34</v>
      </c>
      <c r="U244" s="27">
        <v>16.420000000000002</v>
      </c>
      <c r="V244" s="27">
        <v>9.0299999999999994</v>
      </c>
      <c r="W244" s="27">
        <v>2.38</v>
      </c>
      <c r="X244" s="27">
        <v>6.18</v>
      </c>
      <c r="Y244" s="27">
        <v>2.77</v>
      </c>
      <c r="Z244" s="27" t="s">
        <v>854</v>
      </c>
      <c r="AA244" s="27" t="s">
        <v>82</v>
      </c>
      <c r="AB244" s="27">
        <v>10</v>
      </c>
      <c r="AC244" s="27" t="s">
        <v>55</v>
      </c>
      <c r="AD244" s="27" t="s">
        <v>55</v>
      </c>
      <c r="AE244" s="27" t="s">
        <v>55</v>
      </c>
      <c r="AR244" s="2" t="s">
        <v>52</v>
      </c>
      <c r="AS244" s="2">
        <v>0.13</v>
      </c>
      <c r="AT244" s="2">
        <v>0.24</v>
      </c>
      <c r="AU244" s="2">
        <v>36.200000000000003</v>
      </c>
      <c r="AV244" s="2">
        <v>1.1499999999999999</v>
      </c>
      <c r="AW244" s="2">
        <v>41.48</v>
      </c>
      <c r="AX244" s="2">
        <v>22.36</v>
      </c>
      <c r="AY244" s="2">
        <v>18.89</v>
      </c>
      <c r="AZ244" s="2">
        <v>0.84</v>
      </c>
      <c r="BA244" s="2">
        <v>0.69</v>
      </c>
      <c r="BB244" s="2">
        <v>0.52</v>
      </c>
      <c r="BC244" s="2">
        <v>0.2</v>
      </c>
      <c r="BD244" s="2">
        <v>50</v>
      </c>
      <c r="BE244" s="2">
        <v>70</v>
      </c>
      <c r="BF244" s="2" t="s">
        <v>853</v>
      </c>
    </row>
    <row r="245" spans="1:58" ht="60" customHeight="1" x14ac:dyDescent="0.35">
      <c r="O245" s="2">
        <v>3</v>
      </c>
      <c r="Q245" s="3">
        <v>46062</v>
      </c>
      <c r="R245" s="58">
        <v>0.48125000000000001</v>
      </c>
      <c r="T245" s="2">
        <f t="shared" si="17"/>
        <v>37</v>
      </c>
      <c r="U245" s="27">
        <v>12.79</v>
      </c>
      <c r="V245" s="27">
        <v>5.73</v>
      </c>
      <c r="W245" s="27">
        <v>1.06</v>
      </c>
      <c r="X245" s="27">
        <v>4.18</v>
      </c>
      <c r="Y245" s="27">
        <v>0.84</v>
      </c>
      <c r="Z245" s="27" t="s">
        <v>134</v>
      </c>
      <c r="AA245" s="27" t="s">
        <v>186</v>
      </c>
      <c r="AB245" s="27">
        <v>10</v>
      </c>
      <c r="AC245" s="27" t="s">
        <v>55</v>
      </c>
      <c r="AD245" s="27" t="s">
        <v>55</v>
      </c>
      <c r="AE245" s="27" t="s">
        <v>55</v>
      </c>
      <c r="AR245" s="2" t="s">
        <v>52</v>
      </c>
      <c r="AS245" s="2">
        <v>1</v>
      </c>
      <c r="AT245" s="2">
        <v>4.33</v>
      </c>
      <c r="AU245" s="2">
        <v>0</v>
      </c>
      <c r="AV245" s="2" t="s">
        <v>89</v>
      </c>
      <c r="AW245" s="2">
        <v>22.37</v>
      </c>
      <c r="AX245" s="2">
        <v>5.13</v>
      </c>
      <c r="AY245" s="2">
        <v>4.28</v>
      </c>
      <c r="AZ245" s="2">
        <v>0.83</v>
      </c>
      <c r="BA245" s="2">
        <v>0.2</v>
      </c>
      <c r="BB245" s="2">
        <v>0</v>
      </c>
      <c r="BC245" s="2">
        <v>0.01</v>
      </c>
      <c r="BD245" s="2">
        <v>50</v>
      </c>
      <c r="BE245" s="2">
        <v>67</v>
      </c>
    </row>
    <row r="246" spans="1:58" ht="60" customHeight="1" x14ac:dyDescent="0.35">
      <c r="O246" s="2">
        <v>3</v>
      </c>
      <c r="Q246" s="3">
        <v>46066</v>
      </c>
      <c r="R246" s="61">
        <v>46066.745833333334</v>
      </c>
      <c r="S246" s="2" t="s">
        <v>1078</v>
      </c>
      <c r="T246" s="2">
        <f t="shared" si="17"/>
        <v>41</v>
      </c>
      <c r="U246" s="27">
        <v>13.11</v>
      </c>
      <c r="V246" s="27">
        <v>6.05</v>
      </c>
      <c r="W246" s="27">
        <v>1.38</v>
      </c>
      <c r="X246" s="27">
        <v>3.75</v>
      </c>
      <c r="Y246" s="27">
        <v>2.14</v>
      </c>
      <c r="Z246" s="27" t="s">
        <v>435</v>
      </c>
      <c r="AA246" s="27" t="s">
        <v>407</v>
      </c>
      <c r="AB246" s="27">
        <v>10</v>
      </c>
      <c r="AC246" s="27" t="s">
        <v>55</v>
      </c>
      <c r="AD246" s="27" t="s">
        <v>55</v>
      </c>
      <c r="AE246" s="27" t="s">
        <v>55</v>
      </c>
      <c r="AR246" s="38" t="s">
        <v>52</v>
      </c>
      <c r="AS246" s="2">
        <v>0.74</v>
      </c>
      <c r="AT246" s="2">
        <v>1.75</v>
      </c>
      <c r="AU246" s="2">
        <v>11.89</v>
      </c>
      <c r="AV246" s="2">
        <v>3.79</v>
      </c>
      <c r="AW246" s="2">
        <v>45.01</v>
      </c>
      <c r="AX246" s="2">
        <v>18.760000000000002</v>
      </c>
      <c r="AY246" s="2">
        <v>15.38</v>
      </c>
      <c r="AZ246" s="2">
        <v>0.81499999999999995</v>
      </c>
      <c r="BA246" s="2">
        <v>0.81</v>
      </c>
      <c r="BB246" s="2">
        <v>0.06</v>
      </c>
      <c r="BC246" s="2">
        <v>0.14000000000000001</v>
      </c>
      <c r="BD246" s="2">
        <v>52</v>
      </c>
      <c r="BE246" s="2">
        <v>69</v>
      </c>
    </row>
    <row r="247" spans="1:58" ht="60" customHeight="1" x14ac:dyDescent="0.35">
      <c r="O247" s="2">
        <v>3</v>
      </c>
      <c r="Q247" s="3">
        <v>46070</v>
      </c>
      <c r="R247" s="61">
        <v>46070.76666666667</v>
      </c>
      <c r="S247" s="2">
        <f>R247-R246</f>
        <v>4.0208333333357587</v>
      </c>
      <c r="T247" s="2">
        <f t="shared" si="17"/>
        <v>45</v>
      </c>
      <c r="U247" s="27">
        <v>14.95</v>
      </c>
      <c r="V247" s="27">
        <v>5.9</v>
      </c>
      <c r="W247" s="27">
        <v>1.36</v>
      </c>
      <c r="X247" s="27">
        <v>4.13</v>
      </c>
      <c r="Y247" s="27">
        <v>2.46</v>
      </c>
      <c r="Z247" s="27" t="s">
        <v>899</v>
      </c>
      <c r="AA247" s="27" t="s">
        <v>218</v>
      </c>
      <c r="AB247" s="27">
        <v>10</v>
      </c>
      <c r="AC247" s="62">
        <f>$R$246+($S$247/2)</f>
        <v>46068.756250000006</v>
      </c>
      <c r="AD247" s="27">
        <f>$T$246+($S$247/2)</f>
        <v>43.010416666667879</v>
      </c>
      <c r="AE247" s="27">
        <v>51.75</v>
      </c>
      <c r="AF247" s="118">
        <v>51.75</v>
      </c>
      <c r="AG247" s="118">
        <v>0</v>
      </c>
      <c r="AH247" s="118">
        <f>AF247-AG247</f>
        <v>51.75</v>
      </c>
      <c r="AI247" s="118" t="s">
        <v>55</v>
      </c>
      <c r="AJ247" s="118" t="s">
        <v>55</v>
      </c>
      <c r="AK247" s="118" t="s">
        <v>55</v>
      </c>
      <c r="AL247" s="118" t="s">
        <v>55</v>
      </c>
      <c r="AM247" s="118" t="s">
        <v>55</v>
      </c>
      <c r="AN247" s="118" t="s">
        <v>55</v>
      </c>
      <c r="AO247" s="118" t="s">
        <v>55</v>
      </c>
      <c r="AP247" s="118" t="s">
        <v>55</v>
      </c>
      <c r="AQ247" s="118" t="s">
        <v>55</v>
      </c>
      <c r="AR247" s="2" t="s">
        <v>50</v>
      </c>
      <c r="BF247" s="2" t="s">
        <v>900</v>
      </c>
    </row>
    <row r="248" spans="1:58" ht="60" customHeight="1" x14ac:dyDescent="0.35">
      <c r="O248" s="2">
        <v>3</v>
      </c>
      <c r="Q248" s="3">
        <v>46074</v>
      </c>
      <c r="R248" s="58">
        <v>0.47986111111111113</v>
      </c>
      <c r="T248" s="2">
        <f t="shared" si="17"/>
        <v>49</v>
      </c>
      <c r="U248" s="27" t="s">
        <v>55</v>
      </c>
      <c r="V248" s="27" t="s">
        <v>55</v>
      </c>
      <c r="W248" s="27" t="s">
        <v>55</v>
      </c>
      <c r="X248" s="27" t="s">
        <v>55</v>
      </c>
      <c r="Y248" s="27" t="s">
        <v>55</v>
      </c>
      <c r="Z248" s="27" t="s">
        <v>925</v>
      </c>
      <c r="AA248" s="27" t="s">
        <v>828</v>
      </c>
      <c r="AB248" s="27">
        <v>10</v>
      </c>
      <c r="AC248" s="62">
        <f>$R$246+($S$247/2)</f>
        <v>46068.756250000006</v>
      </c>
      <c r="AD248" s="27">
        <f>$T$246+($S$247/2)</f>
        <v>43.010416666667879</v>
      </c>
      <c r="AE248" s="27">
        <v>76.95</v>
      </c>
      <c r="AF248" s="118">
        <v>76.95</v>
      </c>
      <c r="AG248" s="118">
        <v>0</v>
      </c>
      <c r="AH248" s="118">
        <f>AF248-AG248</f>
        <v>76.95</v>
      </c>
      <c r="AI248" s="118" t="s">
        <v>55</v>
      </c>
      <c r="AJ248" s="118" t="s">
        <v>55</v>
      </c>
      <c r="AK248" s="118" t="s">
        <v>55</v>
      </c>
      <c r="AL248" s="118" t="s">
        <v>55</v>
      </c>
      <c r="AM248" s="118" t="s">
        <v>55</v>
      </c>
      <c r="AN248" s="118" t="s">
        <v>55</v>
      </c>
      <c r="AO248" s="118" t="s">
        <v>55</v>
      </c>
      <c r="AP248" s="118" t="s">
        <v>55</v>
      </c>
      <c r="AQ248" s="118" t="s">
        <v>55</v>
      </c>
      <c r="AR248" s="2" t="s">
        <v>50</v>
      </c>
    </row>
    <row r="249" spans="1:58" ht="60" customHeight="1" x14ac:dyDescent="0.35"/>
    <row r="250" spans="1:58" ht="60" customHeight="1" x14ac:dyDescent="0.35">
      <c r="A250" s="22">
        <v>12</v>
      </c>
      <c r="B250" s="136" t="s">
        <v>1044</v>
      </c>
      <c r="C250" s="43">
        <v>45231</v>
      </c>
      <c r="D250" s="3">
        <v>46026</v>
      </c>
      <c r="E250" s="44">
        <f t="shared" si="13"/>
        <v>795</v>
      </c>
      <c r="F250" s="44">
        <f t="shared" si="14"/>
        <v>2.1780821917808217</v>
      </c>
      <c r="G250" s="44">
        <f t="shared" si="15"/>
        <v>2.5625</v>
      </c>
      <c r="H250" s="2" t="s">
        <v>11</v>
      </c>
      <c r="I250" s="56"/>
      <c r="J250" s="2">
        <v>4128</v>
      </c>
      <c r="O250" s="2">
        <v>2.5</v>
      </c>
      <c r="Q250" s="3">
        <v>46035</v>
      </c>
      <c r="R250" s="58">
        <v>0.77222222222222225</v>
      </c>
      <c r="T250" s="2">
        <f t="shared" ref="T250:T269" si="18">Q250-$D$250</f>
        <v>9</v>
      </c>
      <c r="U250" s="27">
        <v>28.86</v>
      </c>
      <c r="V250" s="27">
        <v>6.84</v>
      </c>
      <c r="W250" s="27">
        <v>2.2999999999999998</v>
      </c>
      <c r="X250" s="27">
        <v>2.74</v>
      </c>
      <c r="Y250" s="27">
        <v>14.29</v>
      </c>
      <c r="Z250" s="27" t="s">
        <v>85</v>
      </c>
      <c r="AA250" s="27" t="s">
        <v>139</v>
      </c>
      <c r="AB250" s="27">
        <v>9</v>
      </c>
      <c r="AC250" s="27" t="s">
        <v>55</v>
      </c>
      <c r="AD250" s="27" t="s">
        <v>55</v>
      </c>
      <c r="AE250" s="27" t="s">
        <v>55</v>
      </c>
      <c r="AR250" s="2" t="s">
        <v>52</v>
      </c>
      <c r="AS250" s="2">
        <v>0.76</v>
      </c>
      <c r="AT250" s="2">
        <v>1.55</v>
      </c>
      <c r="AU250" s="2">
        <v>14.3</v>
      </c>
      <c r="AV250" s="2">
        <v>4.13</v>
      </c>
      <c r="AW250" s="2">
        <v>59.08</v>
      </c>
      <c r="AX250" s="2">
        <v>28.7</v>
      </c>
      <c r="AY250" s="2">
        <v>17.940000000000001</v>
      </c>
      <c r="AZ250" s="2">
        <v>0.62</v>
      </c>
      <c r="BA250" s="2">
        <v>1.4</v>
      </c>
      <c r="BB250" s="2">
        <v>0.08</v>
      </c>
      <c r="BC250" s="2">
        <v>0.33</v>
      </c>
      <c r="BD250" s="2">
        <v>46</v>
      </c>
      <c r="BE250" s="2">
        <v>91</v>
      </c>
      <c r="BF250" s="2" t="s">
        <v>118</v>
      </c>
    </row>
    <row r="251" spans="1:58" ht="60" customHeight="1" x14ac:dyDescent="0.35">
      <c r="B251" s="20" t="s">
        <v>850</v>
      </c>
      <c r="O251" s="2">
        <v>2.5</v>
      </c>
      <c r="Q251" s="3">
        <v>46038</v>
      </c>
      <c r="R251" s="58">
        <v>0.56597222222222221</v>
      </c>
      <c r="T251" s="2">
        <f t="shared" si="18"/>
        <v>12</v>
      </c>
      <c r="U251" s="27">
        <v>22.72</v>
      </c>
      <c r="V251" s="27">
        <v>9.68</v>
      </c>
      <c r="W251" s="27">
        <v>2.4700000000000002</v>
      </c>
      <c r="X251" s="27">
        <v>7.62</v>
      </c>
      <c r="Y251" s="27">
        <v>10.72</v>
      </c>
      <c r="Z251" s="27" t="s">
        <v>55</v>
      </c>
      <c r="AA251" s="27" t="s">
        <v>770</v>
      </c>
      <c r="AB251" s="27">
        <v>9</v>
      </c>
      <c r="AC251" s="27" t="s">
        <v>55</v>
      </c>
      <c r="AD251" s="27" t="s">
        <v>55</v>
      </c>
      <c r="AE251" s="27" t="s">
        <v>55</v>
      </c>
      <c r="AR251" s="2" t="s">
        <v>52</v>
      </c>
      <c r="AS251" s="2">
        <v>1</v>
      </c>
      <c r="AT251" s="2">
        <v>5.14</v>
      </c>
      <c r="AU251" s="2">
        <v>0</v>
      </c>
      <c r="AV251" s="2" t="s">
        <v>89</v>
      </c>
      <c r="AW251" s="2">
        <v>39.46</v>
      </c>
      <c r="AX251" s="2">
        <v>7.63</v>
      </c>
      <c r="AY251" s="2">
        <v>5.68</v>
      </c>
      <c r="AZ251" s="2">
        <v>0.74</v>
      </c>
      <c r="BA251" s="2">
        <v>0.62</v>
      </c>
      <c r="BB251" s="2">
        <v>0</v>
      </c>
      <c r="BC251" s="2">
        <v>0.02</v>
      </c>
      <c r="BD251" s="2">
        <v>48</v>
      </c>
      <c r="BE251" s="2">
        <v>78</v>
      </c>
      <c r="BF251" s="2" t="s">
        <v>118</v>
      </c>
    </row>
    <row r="252" spans="1:58" ht="60" customHeight="1" x14ac:dyDescent="0.35">
      <c r="O252" s="2">
        <v>2.25</v>
      </c>
      <c r="Q252" s="3">
        <v>46041</v>
      </c>
      <c r="R252" s="58">
        <v>0.72152777777777777</v>
      </c>
      <c r="T252" s="2">
        <f t="shared" si="18"/>
        <v>15</v>
      </c>
      <c r="U252" s="27">
        <v>15.73</v>
      </c>
      <c r="V252" s="27">
        <v>8.6199999999999992</v>
      </c>
      <c r="W252" s="27">
        <v>1.52</v>
      </c>
      <c r="X252" s="27">
        <v>6.21</v>
      </c>
      <c r="Y252" s="27">
        <v>2.1</v>
      </c>
      <c r="Z252" s="27" t="s">
        <v>786</v>
      </c>
      <c r="AA252" s="27" t="s">
        <v>126</v>
      </c>
      <c r="AB252" s="27">
        <v>9</v>
      </c>
      <c r="AC252" s="27" t="s">
        <v>55</v>
      </c>
      <c r="AD252" s="27" t="s">
        <v>55</v>
      </c>
      <c r="AE252" s="27" t="s">
        <v>55</v>
      </c>
      <c r="AR252" s="2" t="s">
        <v>52</v>
      </c>
      <c r="AS252" s="2">
        <v>1</v>
      </c>
      <c r="AT252" s="2">
        <v>2.14</v>
      </c>
      <c r="AU252" s="2">
        <v>0</v>
      </c>
      <c r="AV252" s="2" t="s">
        <v>89</v>
      </c>
      <c r="AW252" s="2">
        <v>45.39</v>
      </c>
      <c r="AX252" s="2">
        <v>21.09</v>
      </c>
      <c r="AY252" s="2">
        <v>16.55</v>
      </c>
      <c r="AZ252" s="2">
        <v>0.78</v>
      </c>
      <c r="BA252" s="2">
        <v>0.82</v>
      </c>
      <c r="BB252" s="2">
        <v>0</v>
      </c>
      <c r="BC252" s="2">
        <v>0.18</v>
      </c>
      <c r="BD252" s="2">
        <v>58</v>
      </c>
      <c r="BE252" s="2">
        <v>65</v>
      </c>
    </row>
    <row r="253" spans="1:58" ht="60" customHeight="1" x14ac:dyDescent="0.35">
      <c r="O253" s="2">
        <v>2.25</v>
      </c>
      <c r="Q253" s="3">
        <v>46045</v>
      </c>
      <c r="R253" s="58">
        <v>0.69374999999999998</v>
      </c>
      <c r="T253" s="2">
        <f t="shared" si="18"/>
        <v>19</v>
      </c>
      <c r="U253" s="27">
        <v>14.69</v>
      </c>
      <c r="V253" s="27">
        <v>7.34</v>
      </c>
      <c r="W253" s="27">
        <v>1.88</v>
      </c>
      <c r="X253" s="27">
        <v>5.24</v>
      </c>
      <c r="Y253" s="27">
        <v>2.4500000000000002</v>
      </c>
      <c r="Z253" s="27" t="s">
        <v>496</v>
      </c>
      <c r="AA253" s="27" t="s">
        <v>131</v>
      </c>
      <c r="AB253" s="27">
        <v>9</v>
      </c>
      <c r="AC253" s="27" t="s">
        <v>55</v>
      </c>
      <c r="AD253" s="27" t="s">
        <v>55</v>
      </c>
      <c r="AE253" s="27" t="s">
        <v>55</v>
      </c>
      <c r="AR253" s="2" t="s">
        <v>52</v>
      </c>
      <c r="AS253" s="2">
        <v>1</v>
      </c>
      <c r="AT253" s="2">
        <v>5.31</v>
      </c>
      <c r="AU253" s="2">
        <v>0</v>
      </c>
      <c r="AV253" s="2" t="s">
        <v>89</v>
      </c>
      <c r="AW253" s="2">
        <v>24.22</v>
      </c>
      <c r="AX253" s="2">
        <v>4.54</v>
      </c>
      <c r="AY253" s="2">
        <v>3.79</v>
      </c>
      <c r="AZ253" s="2">
        <v>0.83</v>
      </c>
      <c r="BA253" s="2">
        <v>0.23</v>
      </c>
      <c r="BB253" s="2">
        <v>0</v>
      </c>
      <c r="BC253" s="2">
        <v>0.01</v>
      </c>
      <c r="BD253" s="2">
        <v>48</v>
      </c>
      <c r="BE253" s="2">
        <v>70</v>
      </c>
    </row>
    <row r="254" spans="1:58" ht="60" customHeight="1" x14ac:dyDescent="0.35">
      <c r="O254" s="2">
        <v>2</v>
      </c>
      <c r="Q254" s="3">
        <v>46049</v>
      </c>
      <c r="R254" s="58">
        <v>0.79513888888888884</v>
      </c>
      <c r="T254" s="2">
        <f t="shared" si="18"/>
        <v>23</v>
      </c>
      <c r="U254" s="27">
        <v>15.05</v>
      </c>
      <c r="V254" s="27">
        <v>8.41</v>
      </c>
      <c r="W254" s="27">
        <v>2.4700000000000002</v>
      </c>
      <c r="X254" s="27">
        <v>4.8</v>
      </c>
      <c r="Y254" s="27">
        <v>1.06</v>
      </c>
      <c r="Z254" s="27" t="s">
        <v>809</v>
      </c>
      <c r="AA254" s="27" t="s">
        <v>88</v>
      </c>
      <c r="AB254" s="27">
        <v>9</v>
      </c>
      <c r="AC254" s="27" t="s">
        <v>55</v>
      </c>
      <c r="AD254" s="27" t="s">
        <v>55</v>
      </c>
      <c r="AE254" s="27" t="s">
        <v>55</v>
      </c>
      <c r="AR254" s="2" t="s">
        <v>50</v>
      </c>
    </row>
    <row r="255" spans="1:58" ht="60" customHeight="1" x14ac:dyDescent="0.35">
      <c r="O255" s="2">
        <v>2</v>
      </c>
      <c r="Q255" s="3">
        <v>46052</v>
      </c>
      <c r="R255" s="58">
        <v>0.72847222222222219</v>
      </c>
      <c r="T255" s="2">
        <f t="shared" si="18"/>
        <v>26</v>
      </c>
      <c r="U255" s="27">
        <v>16.54</v>
      </c>
      <c r="V255" s="27">
        <v>8.7899999999999991</v>
      </c>
      <c r="W255" s="27">
        <v>2.5299999999999998</v>
      </c>
      <c r="X255" s="27">
        <v>7.33</v>
      </c>
      <c r="Y255" s="27">
        <v>1.26</v>
      </c>
      <c r="Z255" s="27" t="s">
        <v>818</v>
      </c>
      <c r="AA255" s="27" t="s">
        <v>88</v>
      </c>
      <c r="AB255" s="27">
        <v>9</v>
      </c>
      <c r="AC255" s="27" t="s">
        <v>55</v>
      </c>
      <c r="AD255" s="27" t="s">
        <v>55</v>
      </c>
      <c r="AE255" s="27" t="s">
        <v>55</v>
      </c>
      <c r="AR255" s="2" t="s">
        <v>52</v>
      </c>
      <c r="AS255" s="2">
        <v>1</v>
      </c>
      <c r="AT255" s="2">
        <v>6.33</v>
      </c>
      <c r="AU255" s="2">
        <v>0</v>
      </c>
      <c r="AV255" s="2" t="s">
        <v>89</v>
      </c>
      <c r="AW255" s="2">
        <v>36</v>
      </c>
      <c r="AX255" s="2">
        <v>5.66</v>
      </c>
      <c r="AY255" s="2">
        <v>4.8600000000000003</v>
      </c>
      <c r="AZ255" s="2">
        <v>0.85499999999999998</v>
      </c>
      <c r="BA255" s="2">
        <v>0.52</v>
      </c>
      <c r="BB255" s="2">
        <v>0</v>
      </c>
      <c r="BC255" s="2">
        <v>0.01</v>
      </c>
      <c r="BD255" s="2">
        <v>56</v>
      </c>
      <c r="BE255" s="2">
        <v>67</v>
      </c>
    </row>
    <row r="256" spans="1:58" ht="60" customHeight="1" x14ac:dyDescent="0.35">
      <c r="O256" s="2">
        <v>2</v>
      </c>
      <c r="Q256" s="3">
        <v>46056</v>
      </c>
      <c r="R256" s="58">
        <v>0.6381944444444444</v>
      </c>
      <c r="T256" s="2">
        <f t="shared" si="18"/>
        <v>30</v>
      </c>
      <c r="U256" s="27">
        <v>12.14</v>
      </c>
      <c r="V256" s="27">
        <v>5.33</v>
      </c>
      <c r="W256" s="27">
        <v>1.1000000000000001</v>
      </c>
      <c r="X256" s="27">
        <v>4.71</v>
      </c>
      <c r="Y256" s="27">
        <v>1.43</v>
      </c>
      <c r="Z256" s="27" t="s">
        <v>110</v>
      </c>
      <c r="AA256" s="27" t="s">
        <v>723</v>
      </c>
      <c r="AB256" s="27">
        <v>9</v>
      </c>
      <c r="AC256" s="27" t="s">
        <v>55</v>
      </c>
      <c r="AD256" s="27" t="s">
        <v>55</v>
      </c>
      <c r="AE256" s="27" t="s">
        <v>55</v>
      </c>
      <c r="AR256" s="2" t="s">
        <v>52</v>
      </c>
      <c r="AS256" s="2">
        <v>1</v>
      </c>
      <c r="AT256" s="2">
        <v>5.14</v>
      </c>
      <c r="AU256" s="2">
        <v>0</v>
      </c>
      <c r="AV256" s="2" t="s">
        <v>89</v>
      </c>
      <c r="AW256" s="2">
        <v>24.78</v>
      </c>
      <c r="AX256" s="2">
        <v>4.79</v>
      </c>
      <c r="AY256" s="2">
        <v>3.55</v>
      </c>
      <c r="AZ256" s="2">
        <v>0.73499999999999999</v>
      </c>
      <c r="BA256" s="2">
        <v>0.25</v>
      </c>
      <c r="BB256" s="2">
        <v>0</v>
      </c>
      <c r="BC256" s="2">
        <v>0.01</v>
      </c>
      <c r="BD256" s="2">
        <v>56</v>
      </c>
      <c r="BE256" s="2">
        <v>78</v>
      </c>
    </row>
    <row r="257" spans="1:58" ht="60" customHeight="1" x14ac:dyDescent="0.35">
      <c r="O257" s="2">
        <v>2</v>
      </c>
      <c r="Q257" s="3">
        <v>46059</v>
      </c>
      <c r="R257" s="58">
        <v>0.47291666666666665</v>
      </c>
      <c r="T257" s="2">
        <f t="shared" si="18"/>
        <v>33</v>
      </c>
      <c r="U257" s="27">
        <v>12.78</v>
      </c>
      <c r="V257" s="27">
        <v>6.94</v>
      </c>
      <c r="W257" s="27">
        <v>1.2</v>
      </c>
      <c r="X257" s="27">
        <v>4.66</v>
      </c>
      <c r="Y257" s="27">
        <v>1.62</v>
      </c>
      <c r="Z257" s="27" t="s">
        <v>218</v>
      </c>
      <c r="AA257" s="27" t="s">
        <v>299</v>
      </c>
      <c r="AB257" s="27">
        <v>9</v>
      </c>
      <c r="AC257" s="27" t="s">
        <v>55</v>
      </c>
      <c r="AD257" s="27" t="s">
        <v>55</v>
      </c>
      <c r="AE257" s="27" t="s">
        <v>55</v>
      </c>
      <c r="AR257" s="2" t="s">
        <v>52</v>
      </c>
      <c r="AS257" s="2">
        <v>0.73</v>
      </c>
      <c r="AT257" s="2">
        <v>1.72</v>
      </c>
      <c r="AU257" s="2">
        <v>17.079999999999998</v>
      </c>
      <c r="AV257" s="2">
        <v>3.72</v>
      </c>
      <c r="AW257" s="2">
        <v>63.6</v>
      </c>
      <c r="AX257" s="2">
        <v>26.84</v>
      </c>
      <c r="AY257" s="2">
        <v>16.5</v>
      </c>
      <c r="AZ257" s="2">
        <v>0.61</v>
      </c>
      <c r="BA257" s="2">
        <v>1.62</v>
      </c>
      <c r="BB257" s="2">
        <v>0.12</v>
      </c>
      <c r="BC257" s="2">
        <v>0.28999999999999998</v>
      </c>
      <c r="BD257" s="2">
        <v>44</v>
      </c>
      <c r="BE257" s="2">
        <v>86</v>
      </c>
    </row>
    <row r="258" spans="1:58" ht="60" customHeight="1" x14ac:dyDescent="0.35">
      <c r="O258" s="2">
        <v>2</v>
      </c>
      <c r="Q258" s="3">
        <v>46062</v>
      </c>
      <c r="R258" s="58">
        <v>0.51041666666666663</v>
      </c>
      <c r="T258" s="2">
        <f t="shared" si="18"/>
        <v>36</v>
      </c>
      <c r="U258" s="27">
        <v>12.27</v>
      </c>
      <c r="V258" s="27">
        <v>6.06</v>
      </c>
      <c r="W258" s="27">
        <v>1.45</v>
      </c>
      <c r="X258" s="27">
        <v>4.42</v>
      </c>
      <c r="Y258" s="27">
        <v>2.5099999999999998</v>
      </c>
      <c r="Z258" s="27" t="s">
        <v>131</v>
      </c>
      <c r="AA258" s="27" t="s">
        <v>866</v>
      </c>
      <c r="AB258" s="27">
        <v>9</v>
      </c>
      <c r="AC258" s="27" t="s">
        <v>55</v>
      </c>
      <c r="AD258" s="27" t="s">
        <v>55</v>
      </c>
      <c r="AE258" s="27" t="s">
        <v>55</v>
      </c>
      <c r="AR258" s="2" t="s">
        <v>682</v>
      </c>
      <c r="AS258" s="2">
        <v>0.63</v>
      </c>
      <c r="AT258" s="2">
        <v>1.1399999999999999</v>
      </c>
      <c r="AU258" s="2">
        <v>14.06</v>
      </c>
      <c r="AV258" s="2">
        <v>2.72</v>
      </c>
      <c r="AW258" s="2">
        <v>38.29</v>
      </c>
      <c r="AX258" s="2">
        <v>21.16</v>
      </c>
      <c r="AY258" s="2">
        <v>13.75</v>
      </c>
      <c r="AZ258" s="2">
        <v>0.64500000000000002</v>
      </c>
      <c r="BA258" s="2">
        <v>0.59</v>
      </c>
      <c r="BB258" s="2">
        <v>0.08</v>
      </c>
      <c r="BC258" s="2">
        <v>0.18</v>
      </c>
      <c r="BD258" s="2">
        <v>48</v>
      </c>
      <c r="BE258" s="2">
        <v>76</v>
      </c>
      <c r="BF258" s="2" t="s">
        <v>865</v>
      </c>
    </row>
    <row r="259" spans="1:58" ht="60" customHeight="1" x14ac:dyDescent="0.35">
      <c r="O259" s="2">
        <v>2</v>
      </c>
      <c r="Q259" s="3">
        <v>46066</v>
      </c>
      <c r="R259" s="58">
        <v>0.72430555555555554</v>
      </c>
      <c r="T259" s="2">
        <f t="shared" si="18"/>
        <v>40</v>
      </c>
      <c r="U259" s="27" t="s">
        <v>55</v>
      </c>
      <c r="V259" s="27" t="s">
        <v>55</v>
      </c>
      <c r="W259" s="27" t="s">
        <v>55</v>
      </c>
      <c r="X259" s="27" t="s">
        <v>55</v>
      </c>
      <c r="Y259" s="27" t="s">
        <v>55</v>
      </c>
      <c r="Z259" s="27" t="s">
        <v>804</v>
      </c>
      <c r="AA259" s="27" t="s">
        <v>895</v>
      </c>
      <c r="AB259" s="27">
        <v>9</v>
      </c>
      <c r="AC259" s="27" t="s">
        <v>55</v>
      </c>
      <c r="AD259" s="27" t="s">
        <v>55</v>
      </c>
      <c r="AE259" s="27" t="s">
        <v>55</v>
      </c>
      <c r="AR259" s="2" t="s">
        <v>55</v>
      </c>
    </row>
    <row r="260" spans="1:58" ht="60" customHeight="1" x14ac:dyDescent="0.35">
      <c r="O260" s="2">
        <v>2.25</v>
      </c>
      <c r="Q260" s="3">
        <v>46070</v>
      </c>
      <c r="R260" s="58">
        <v>0.80277777777777781</v>
      </c>
      <c r="T260" s="2">
        <f t="shared" si="18"/>
        <v>44</v>
      </c>
      <c r="U260" s="27" t="s">
        <v>55</v>
      </c>
      <c r="V260" s="27" t="s">
        <v>55</v>
      </c>
      <c r="W260" s="27" t="s">
        <v>55</v>
      </c>
      <c r="X260" s="27" t="s">
        <v>55</v>
      </c>
      <c r="Y260" s="27" t="s">
        <v>55</v>
      </c>
      <c r="Z260" s="27" t="s">
        <v>906</v>
      </c>
      <c r="AA260" s="27" t="s">
        <v>232</v>
      </c>
      <c r="AB260" s="27">
        <v>9</v>
      </c>
      <c r="AC260" s="27" t="s">
        <v>55</v>
      </c>
      <c r="AD260" s="27" t="s">
        <v>55</v>
      </c>
      <c r="AE260" s="27" t="s">
        <v>55</v>
      </c>
      <c r="AR260" s="2" t="s">
        <v>55</v>
      </c>
    </row>
    <row r="261" spans="1:58" ht="60" customHeight="1" x14ac:dyDescent="0.35">
      <c r="O261" s="2">
        <v>2.25</v>
      </c>
      <c r="Q261" s="3">
        <v>46074</v>
      </c>
      <c r="R261" s="58">
        <v>0.48680555555555555</v>
      </c>
      <c r="T261" s="2">
        <f t="shared" si="18"/>
        <v>48</v>
      </c>
      <c r="U261" s="27" t="s">
        <v>55</v>
      </c>
      <c r="V261" s="27" t="s">
        <v>55</v>
      </c>
      <c r="W261" s="27" t="s">
        <v>55</v>
      </c>
      <c r="X261" s="27" t="s">
        <v>55</v>
      </c>
      <c r="Y261" s="27" t="s">
        <v>55</v>
      </c>
      <c r="Z261" s="27" t="s">
        <v>122</v>
      </c>
      <c r="AA261" s="27" t="s">
        <v>619</v>
      </c>
      <c r="AB261" s="27">
        <v>9</v>
      </c>
      <c r="AC261" s="27" t="s">
        <v>55</v>
      </c>
      <c r="AD261" s="27" t="s">
        <v>55</v>
      </c>
      <c r="AE261" s="27" t="s">
        <v>55</v>
      </c>
      <c r="AR261" s="2" t="s">
        <v>55</v>
      </c>
    </row>
    <row r="262" spans="1:58" ht="60" customHeight="1" x14ac:dyDescent="0.35">
      <c r="O262" s="2">
        <v>2.25</v>
      </c>
      <c r="Q262" s="3">
        <v>46077</v>
      </c>
      <c r="R262" s="58">
        <v>0.75972222222222219</v>
      </c>
      <c r="T262" s="2">
        <f t="shared" si="18"/>
        <v>51</v>
      </c>
      <c r="U262" s="27" t="s">
        <v>55</v>
      </c>
      <c r="V262" s="27" t="s">
        <v>55</v>
      </c>
      <c r="W262" s="27" t="s">
        <v>55</v>
      </c>
      <c r="X262" s="27" t="s">
        <v>55</v>
      </c>
      <c r="Y262" s="27" t="s">
        <v>55</v>
      </c>
      <c r="Z262" s="27" t="s">
        <v>276</v>
      </c>
      <c r="AA262" s="27" t="s">
        <v>941</v>
      </c>
      <c r="AB262" s="27">
        <v>9</v>
      </c>
      <c r="AC262" s="27" t="s">
        <v>55</v>
      </c>
      <c r="AD262" s="27" t="s">
        <v>55</v>
      </c>
      <c r="AE262" s="27" t="s">
        <v>55</v>
      </c>
      <c r="AR262" s="2" t="s">
        <v>55</v>
      </c>
    </row>
    <row r="263" spans="1:58" ht="60" customHeight="1" x14ac:dyDescent="0.35">
      <c r="O263" s="2">
        <v>2</v>
      </c>
      <c r="Q263" s="3">
        <v>46080</v>
      </c>
      <c r="R263" s="58">
        <v>0.54027777777777775</v>
      </c>
      <c r="T263" s="2">
        <f t="shared" si="18"/>
        <v>54</v>
      </c>
      <c r="U263" s="27" t="s">
        <v>55</v>
      </c>
      <c r="V263" s="27" t="s">
        <v>55</v>
      </c>
      <c r="W263" s="27" t="s">
        <v>55</v>
      </c>
      <c r="X263" s="27" t="s">
        <v>55</v>
      </c>
      <c r="Y263" s="27" t="s">
        <v>55</v>
      </c>
      <c r="Z263" s="27" t="s">
        <v>971</v>
      </c>
      <c r="AA263" s="27" t="s">
        <v>223</v>
      </c>
      <c r="AB263" s="27">
        <v>9</v>
      </c>
      <c r="AC263" s="27" t="s">
        <v>55</v>
      </c>
      <c r="AD263" s="27" t="s">
        <v>55</v>
      </c>
      <c r="AE263" s="27" t="s">
        <v>55</v>
      </c>
      <c r="AR263" s="2" t="s">
        <v>55</v>
      </c>
    </row>
    <row r="264" spans="1:58" ht="60" customHeight="1" x14ac:dyDescent="0.35">
      <c r="O264" s="2">
        <v>2.25</v>
      </c>
      <c r="Q264" s="3">
        <v>46084</v>
      </c>
      <c r="R264" s="58">
        <v>0.79236111111111107</v>
      </c>
      <c r="T264" s="2">
        <f t="shared" si="18"/>
        <v>58</v>
      </c>
      <c r="U264" s="27" t="s">
        <v>55</v>
      </c>
      <c r="V264" s="27" t="s">
        <v>55</v>
      </c>
      <c r="W264" s="27" t="s">
        <v>55</v>
      </c>
      <c r="X264" s="27" t="s">
        <v>55</v>
      </c>
      <c r="Y264" s="27" t="s">
        <v>55</v>
      </c>
      <c r="Z264" s="27" t="s">
        <v>1003</v>
      </c>
      <c r="AA264" s="27" t="s">
        <v>1002</v>
      </c>
      <c r="AB264" s="27">
        <v>9</v>
      </c>
      <c r="AC264" s="27" t="s">
        <v>55</v>
      </c>
      <c r="AD264" s="27" t="s">
        <v>55</v>
      </c>
      <c r="AE264" s="27" t="s">
        <v>55</v>
      </c>
      <c r="AR264" s="2" t="s">
        <v>55</v>
      </c>
    </row>
    <row r="265" spans="1:58" ht="60" customHeight="1" x14ac:dyDescent="0.35">
      <c r="O265" s="2">
        <v>2.25</v>
      </c>
      <c r="Q265" s="3">
        <v>46088</v>
      </c>
      <c r="R265" s="58">
        <v>0.42916666666666664</v>
      </c>
      <c r="T265" s="2">
        <f t="shared" si="18"/>
        <v>62</v>
      </c>
      <c r="U265" s="27" t="s">
        <v>55</v>
      </c>
      <c r="V265" s="27" t="s">
        <v>55</v>
      </c>
      <c r="W265" s="27" t="s">
        <v>55</v>
      </c>
      <c r="X265" s="27" t="s">
        <v>55</v>
      </c>
      <c r="Y265" s="27" t="s">
        <v>55</v>
      </c>
      <c r="Z265" s="27" t="s">
        <v>1019</v>
      </c>
      <c r="AA265" s="27" t="s">
        <v>83</v>
      </c>
      <c r="AB265" s="27">
        <v>9</v>
      </c>
      <c r="AC265" s="27" t="s">
        <v>55</v>
      </c>
      <c r="AD265" s="27" t="s">
        <v>55</v>
      </c>
      <c r="AE265" s="27" t="s">
        <v>55</v>
      </c>
      <c r="AR265" s="2" t="s">
        <v>55</v>
      </c>
    </row>
    <row r="266" spans="1:58" ht="60" customHeight="1" x14ac:dyDescent="0.35">
      <c r="O266" s="2">
        <v>2.25</v>
      </c>
      <c r="Q266" s="3">
        <v>46091</v>
      </c>
      <c r="R266" s="58">
        <v>0.84583333333333333</v>
      </c>
      <c r="T266" s="2">
        <f t="shared" si="18"/>
        <v>65</v>
      </c>
      <c r="U266" s="27" t="s">
        <v>55</v>
      </c>
      <c r="V266" s="27" t="s">
        <v>55</v>
      </c>
      <c r="W266" s="27" t="s">
        <v>55</v>
      </c>
      <c r="X266" s="27" t="s">
        <v>55</v>
      </c>
      <c r="Y266" s="27" t="s">
        <v>55</v>
      </c>
      <c r="Z266" s="27" t="s">
        <v>1067</v>
      </c>
      <c r="AA266" s="27" t="s">
        <v>1068</v>
      </c>
      <c r="AB266" s="27">
        <v>9</v>
      </c>
      <c r="AC266" s="27" t="s">
        <v>55</v>
      </c>
      <c r="AD266" s="27" t="s">
        <v>55</v>
      </c>
      <c r="AE266" s="27" t="s">
        <v>55</v>
      </c>
      <c r="AR266" s="2" t="s">
        <v>55</v>
      </c>
    </row>
    <row r="267" spans="1:58" ht="60" customHeight="1" x14ac:dyDescent="0.35">
      <c r="O267" s="2">
        <v>2.25</v>
      </c>
      <c r="Q267" s="3">
        <v>46098</v>
      </c>
      <c r="R267" s="58">
        <v>0.74305555555555558</v>
      </c>
      <c r="T267" s="2">
        <f t="shared" si="18"/>
        <v>72</v>
      </c>
      <c r="U267" s="27" t="s">
        <v>55</v>
      </c>
      <c r="V267" s="27" t="s">
        <v>55</v>
      </c>
      <c r="W267" s="27" t="s">
        <v>55</v>
      </c>
      <c r="X267" s="27" t="s">
        <v>55</v>
      </c>
      <c r="Y267" s="27" t="s">
        <v>55</v>
      </c>
      <c r="Z267" s="37" t="s">
        <v>1103</v>
      </c>
      <c r="AA267" s="37" t="s">
        <v>1102</v>
      </c>
      <c r="AB267" s="27">
        <v>9</v>
      </c>
      <c r="AC267" s="27" t="s">
        <v>55</v>
      </c>
      <c r="AD267" s="27" t="s">
        <v>55</v>
      </c>
      <c r="AE267" s="27" t="s">
        <v>55</v>
      </c>
      <c r="AR267" s="2" t="s">
        <v>55</v>
      </c>
    </row>
    <row r="268" spans="1:58" ht="60" customHeight="1" x14ac:dyDescent="0.35">
      <c r="O268" s="2">
        <v>2.25</v>
      </c>
      <c r="Q268" s="3">
        <v>46105</v>
      </c>
      <c r="R268" s="58">
        <v>0.75208333333333333</v>
      </c>
      <c r="T268" s="2">
        <f t="shared" si="18"/>
        <v>79</v>
      </c>
      <c r="U268" s="27" t="s">
        <v>55</v>
      </c>
      <c r="V268" s="27" t="s">
        <v>55</v>
      </c>
      <c r="W268" s="27" t="s">
        <v>55</v>
      </c>
      <c r="X268" s="27" t="s">
        <v>55</v>
      </c>
      <c r="Y268" s="27" t="s">
        <v>55</v>
      </c>
      <c r="Z268" s="27" t="s">
        <v>93</v>
      </c>
      <c r="AA268" s="27" t="s">
        <v>1150</v>
      </c>
      <c r="AB268" s="27">
        <v>9</v>
      </c>
      <c r="AC268" s="27" t="s">
        <v>55</v>
      </c>
      <c r="AD268" s="27" t="s">
        <v>55</v>
      </c>
      <c r="AE268" s="27" t="s">
        <v>55</v>
      </c>
      <c r="AR268" s="2" t="s">
        <v>55</v>
      </c>
    </row>
    <row r="269" spans="1:58" ht="60" customHeight="1" x14ac:dyDescent="0.35">
      <c r="O269" s="2">
        <v>2.25</v>
      </c>
      <c r="Q269" s="3">
        <v>46112</v>
      </c>
      <c r="R269" s="58">
        <v>0.79652777777777772</v>
      </c>
      <c r="T269" s="2">
        <f t="shared" si="18"/>
        <v>86</v>
      </c>
      <c r="U269" s="27" t="s">
        <v>55</v>
      </c>
      <c r="V269" s="27" t="s">
        <v>55</v>
      </c>
      <c r="W269" s="27" t="s">
        <v>55</v>
      </c>
      <c r="X269" s="27" t="s">
        <v>55</v>
      </c>
      <c r="Y269" s="27" t="s">
        <v>55</v>
      </c>
      <c r="Z269" s="37" t="s">
        <v>1060</v>
      </c>
      <c r="AA269" s="37" t="s">
        <v>1183</v>
      </c>
      <c r="AB269" s="27">
        <v>9</v>
      </c>
      <c r="AC269" s="27" t="s">
        <v>55</v>
      </c>
      <c r="AD269" s="27" t="s">
        <v>55</v>
      </c>
      <c r="AE269" s="27" t="s">
        <v>55</v>
      </c>
      <c r="AR269" s="2" t="s">
        <v>55</v>
      </c>
    </row>
    <row r="270" spans="1:58" ht="60" customHeight="1" x14ac:dyDescent="0.35">
      <c r="Z270" s="37"/>
    </row>
    <row r="271" spans="1:58" ht="60" customHeight="1" x14ac:dyDescent="0.35">
      <c r="A271" s="22">
        <v>13</v>
      </c>
      <c r="B271" s="137" t="s">
        <v>1045</v>
      </c>
      <c r="C271" s="43">
        <v>44691</v>
      </c>
      <c r="D271" s="3">
        <v>46039</v>
      </c>
      <c r="E271" s="44">
        <f t="shared" si="13"/>
        <v>1348</v>
      </c>
      <c r="F271" s="44">
        <f t="shared" si="14"/>
        <v>3.6931506849315068</v>
      </c>
      <c r="G271" s="44">
        <f t="shared" si="15"/>
        <v>4.8666666666666663</v>
      </c>
      <c r="H271" s="56"/>
      <c r="I271" s="56"/>
      <c r="J271" s="2">
        <v>4130</v>
      </c>
      <c r="O271" s="2">
        <v>3.5</v>
      </c>
      <c r="Q271" s="3">
        <v>46049</v>
      </c>
      <c r="R271" s="58">
        <v>0.79861111111111116</v>
      </c>
      <c r="T271" s="2">
        <f t="shared" ref="T271:T277" si="19">Q271-$D$271</f>
        <v>10</v>
      </c>
      <c r="Z271" s="27" t="s">
        <v>55</v>
      </c>
      <c r="AA271" s="27" t="s">
        <v>812</v>
      </c>
      <c r="AB271" s="27">
        <v>10</v>
      </c>
      <c r="AC271" s="27" t="s">
        <v>55</v>
      </c>
      <c r="AD271" s="27" t="s">
        <v>55</v>
      </c>
      <c r="AE271" s="27" t="s">
        <v>55</v>
      </c>
    </row>
    <row r="272" spans="1:58" ht="60" customHeight="1" x14ac:dyDescent="0.35">
      <c r="O272" s="2">
        <v>3.25</v>
      </c>
      <c r="Q272" s="3">
        <v>46052</v>
      </c>
      <c r="R272" s="58">
        <v>0.77847222222222223</v>
      </c>
      <c r="T272" s="2">
        <f t="shared" si="19"/>
        <v>13</v>
      </c>
      <c r="Z272" s="27" t="s">
        <v>827</v>
      </c>
      <c r="AA272" s="27" t="s">
        <v>235</v>
      </c>
      <c r="AB272" s="27">
        <v>10</v>
      </c>
      <c r="AC272" s="27" t="s">
        <v>55</v>
      </c>
      <c r="AD272" s="27" t="s">
        <v>55</v>
      </c>
      <c r="AE272" s="27" t="s">
        <v>55</v>
      </c>
    </row>
    <row r="273" spans="1:58" ht="60" customHeight="1" x14ac:dyDescent="0.35">
      <c r="O273" s="2">
        <v>3.25</v>
      </c>
      <c r="Q273" s="3">
        <v>46056</v>
      </c>
      <c r="R273" s="58">
        <v>0.67708333333333337</v>
      </c>
      <c r="T273" s="2">
        <f t="shared" si="19"/>
        <v>17</v>
      </c>
      <c r="Z273" s="27" t="s">
        <v>837</v>
      </c>
      <c r="AA273" s="27" t="s">
        <v>838</v>
      </c>
      <c r="AB273" s="27">
        <v>10</v>
      </c>
      <c r="AC273" s="27" t="s">
        <v>55</v>
      </c>
      <c r="AD273" s="27" t="s">
        <v>55</v>
      </c>
      <c r="AE273" s="27" t="s">
        <v>55</v>
      </c>
    </row>
    <row r="274" spans="1:58" ht="60" customHeight="1" x14ac:dyDescent="0.35">
      <c r="O274" s="2">
        <v>3.25</v>
      </c>
      <c r="Q274" s="3">
        <v>46059</v>
      </c>
      <c r="R274" s="58">
        <v>0.49722222222222223</v>
      </c>
      <c r="T274" s="2">
        <f t="shared" si="19"/>
        <v>20</v>
      </c>
      <c r="Z274" s="27" t="s">
        <v>410</v>
      </c>
      <c r="AA274" s="27" t="s">
        <v>859</v>
      </c>
      <c r="AB274" s="27">
        <v>10</v>
      </c>
      <c r="AC274" s="27" t="s">
        <v>55</v>
      </c>
      <c r="AD274" s="27" t="s">
        <v>55</v>
      </c>
      <c r="AE274" s="27" t="s">
        <v>55</v>
      </c>
    </row>
    <row r="275" spans="1:58" ht="60" customHeight="1" x14ac:dyDescent="0.35">
      <c r="O275" s="2">
        <v>3.25</v>
      </c>
      <c r="Q275" s="3">
        <v>46062</v>
      </c>
      <c r="R275" s="61">
        <v>46062.544444444444</v>
      </c>
      <c r="T275" s="2">
        <f t="shared" si="19"/>
        <v>23</v>
      </c>
      <c r="Z275" s="27" t="s">
        <v>875</v>
      </c>
      <c r="AA275" s="27" t="s">
        <v>874</v>
      </c>
      <c r="AB275" s="27">
        <v>10</v>
      </c>
      <c r="AC275" s="27" t="s">
        <v>55</v>
      </c>
      <c r="AD275" s="27" t="s">
        <v>55</v>
      </c>
      <c r="AE275" s="27" t="s">
        <v>55</v>
      </c>
    </row>
    <row r="276" spans="1:58" ht="60" customHeight="1" x14ac:dyDescent="0.35">
      <c r="O276" s="2">
        <v>3.25</v>
      </c>
      <c r="Q276" s="3">
        <v>46066</v>
      </c>
      <c r="R276" s="61">
        <v>46066.768055555556</v>
      </c>
      <c r="S276" s="2">
        <f>R276-R275</f>
        <v>4.2236111111124046</v>
      </c>
      <c r="T276" s="2">
        <f t="shared" si="19"/>
        <v>27</v>
      </c>
      <c r="Z276" s="27" t="s">
        <v>319</v>
      </c>
      <c r="AA276" s="27" t="s">
        <v>410</v>
      </c>
      <c r="AB276" s="27">
        <v>10</v>
      </c>
      <c r="AC276" s="62">
        <f>$R$275+($S$276/2)</f>
        <v>46064.65625</v>
      </c>
      <c r="AD276" s="27">
        <f>$T$275+($S$276/2)</f>
        <v>25.111805555556202</v>
      </c>
      <c r="AE276" s="27" t="s">
        <v>912</v>
      </c>
      <c r="AF276" s="118">
        <v>62</v>
      </c>
      <c r="AG276" s="118">
        <v>6.05</v>
      </c>
      <c r="AH276" s="118">
        <f>AF276-AG276</f>
        <v>55.95</v>
      </c>
      <c r="AI276" s="118" t="s">
        <v>55</v>
      </c>
      <c r="AJ276" s="118" t="s">
        <v>55</v>
      </c>
      <c r="AK276" s="118" t="s">
        <v>55</v>
      </c>
      <c r="AL276" s="118" t="s">
        <v>55</v>
      </c>
      <c r="AM276" s="118" t="s">
        <v>55</v>
      </c>
      <c r="AN276" s="118" t="s">
        <v>55</v>
      </c>
      <c r="AO276" s="118" t="s">
        <v>55</v>
      </c>
      <c r="AP276" s="118" t="s">
        <v>55</v>
      </c>
      <c r="AQ276" s="118" t="s">
        <v>55</v>
      </c>
    </row>
    <row r="277" spans="1:58" ht="60" customHeight="1" x14ac:dyDescent="0.35">
      <c r="O277" s="2">
        <v>3</v>
      </c>
      <c r="Q277" s="3">
        <v>46070</v>
      </c>
      <c r="R277" s="58">
        <v>0.78749999999999998</v>
      </c>
      <c r="T277" s="2">
        <f t="shared" si="19"/>
        <v>31</v>
      </c>
      <c r="Z277" s="27" t="s">
        <v>902</v>
      </c>
      <c r="AA277" s="27" t="s">
        <v>220</v>
      </c>
      <c r="AB277" s="27">
        <v>10</v>
      </c>
      <c r="AC277" s="62">
        <f>$R$275+($S$276/2)</f>
        <v>46064.65625</v>
      </c>
      <c r="AD277" s="27">
        <f>$T$275+($S$276/2)</f>
        <v>25.111805555556202</v>
      </c>
      <c r="AE277" s="27">
        <v>136.52000000000001</v>
      </c>
      <c r="AF277" s="118">
        <v>136.52000000000001</v>
      </c>
      <c r="AG277" s="118">
        <v>0</v>
      </c>
      <c r="AH277" s="118">
        <f>AF277-AG277</f>
        <v>136.52000000000001</v>
      </c>
      <c r="AI277" s="118" t="s">
        <v>55</v>
      </c>
      <c r="AJ277" s="118" t="s">
        <v>55</v>
      </c>
      <c r="AK277" s="118" t="s">
        <v>55</v>
      </c>
      <c r="AL277" s="118" t="s">
        <v>55</v>
      </c>
      <c r="AM277" s="118" t="s">
        <v>55</v>
      </c>
      <c r="AN277" s="118" t="s">
        <v>55</v>
      </c>
      <c r="AO277" s="118" t="s">
        <v>55</v>
      </c>
      <c r="AP277" s="118" t="s">
        <v>55</v>
      </c>
      <c r="AQ277" s="118" t="s">
        <v>55</v>
      </c>
      <c r="BF277" s="2" t="s">
        <v>913</v>
      </c>
    </row>
    <row r="278" spans="1:58" ht="60" customHeight="1" x14ac:dyDescent="0.35"/>
    <row r="279" spans="1:58" ht="60" customHeight="1" x14ac:dyDescent="0.35">
      <c r="A279" s="22">
        <v>14</v>
      </c>
      <c r="B279" s="135" t="s">
        <v>1046</v>
      </c>
      <c r="C279" s="43">
        <v>45170</v>
      </c>
      <c r="D279" s="3">
        <v>46038</v>
      </c>
      <c r="E279" s="44">
        <f t="shared" si="13"/>
        <v>868</v>
      </c>
      <c r="F279" s="44">
        <f t="shared" si="14"/>
        <v>2.3780821917808219</v>
      </c>
      <c r="G279" s="44">
        <f t="shared" si="15"/>
        <v>2.8666666666666667</v>
      </c>
      <c r="H279" s="56" t="s">
        <v>10</v>
      </c>
      <c r="I279" s="56"/>
      <c r="J279" s="2">
        <v>4129</v>
      </c>
      <c r="O279" s="2">
        <v>3.25</v>
      </c>
      <c r="Q279" s="3">
        <v>46049</v>
      </c>
      <c r="R279" s="58">
        <v>0.79236111111111107</v>
      </c>
      <c r="T279" s="2">
        <f t="shared" ref="T279:T294" si="20">Q279-$D$279</f>
        <v>11</v>
      </c>
      <c r="Z279" s="27" t="s">
        <v>55</v>
      </c>
      <c r="AA279" s="27" t="s">
        <v>55</v>
      </c>
      <c r="AB279" s="27" t="s">
        <v>55</v>
      </c>
      <c r="AC279" s="27" t="s">
        <v>55</v>
      </c>
      <c r="AD279" s="27" t="s">
        <v>55</v>
      </c>
      <c r="AE279" s="27" t="s">
        <v>55</v>
      </c>
    </row>
    <row r="280" spans="1:58" ht="60" customHeight="1" x14ac:dyDescent="0.35">
      <c r="O280" s="2">
        <v>3</v>
      </c>
      <c r="Q280" s="3">
        <v>46052</v>
      </c>
      <c r="R280" s="58">
        <v>0.77777777777777779</v>
      </c>
      <c r="T280" s="2">
        <f t="shared" si="20"/>
        <v>14</v>
      </c>
      <c r="Z280" s="27" t="s">
        <v>826</v>
      </c>
      <c r="AA280" s="27" t="s">
        <v>817</v>
      </c>
      <c r="AB280" s="27">
        <v>14</v>
      </c>
      <c r="AC280" s="27" t="s">
        <v>55</v>
      </c>
      <c r="AD280" s="27" t="s">
        <v>55</v>
      </c>
      <c r="AE280" s="27" t="s">
        <v>55</v>
      </c>
    </row>
    <row r="281" spans="1:58" ht="60" customHeight="1" x14ac:dyDescent="0.35">
      <c r="O281" s="2">
        <v>2.75</v>
      </c>
      <c r="Q281" s="3">
        <v>46056</v>
      </c>
      <c r="R281" s="58">
        <v>0.68402777777777779</v>
      </c>
      <c r="T281" s="2">
        <f t="shared" si="20"/>
        <v>18</v>
      </c>
      <c r="Z281" s="27" t="s">
        <v>839</v>
      </c>
      <c r="AA281" s="27" t="s">
        <v>150</v>
      </c>
      <c r="AB281" s="27">
        <v>14</v>
      </c>
      <c r="AC281" s="27" t="s">
        <v>55</v>
      </c>
      <c r="AD281" s="27" t="s">
        <v>55</v>
      </c>
      <c r="AE281" s="27" t="s">
        <v>55</v>
      </c>
    </row>
    <row r="282" spans="1:58" ht="60" customHeight="1" x14ac:dyDescent="0.35">
      <c r="O282" s="2">
        <v>2.75</v>
      </c>
      <c r="Q282" s="3">
        <v>46059</v>
      </c>
      <c r="R282" s="58">
        <v>0.49583333333333335</v>
      </c>
      <c r="T282" s="2">
        <f t="shared" si="20"/>
        <v>21</v>
      </c>
      <c r="Z282" s="27" t="s">
        <v>857</v>
      </c>
      <c r="AA282" s="27" t="s">
        <v>856</v>
      </c>
      <c r="AB282" s="27">
        <v>14</v>
      </c>
      <c r="AC282" s="27" t="s">
        <v>55</v>
      </c>
      <c r="AD282" s="27" t="s">
        <v>55</v>
      </c>
      <c r="AE282" s="27" t="s">
        <v>55</v>
      </c>
    </row>
    <row r="283" spans="1:58" ht="60" customHeight="1" x14ac:dyDescent="0.35">
      <c r="O283" s="2">
        <v>2.75</v>
      </c>
      <c r="Q283" s="3">
        <v>46062</v>
      </c>
      <c r="R283" s="58">
        <v>0.53680555555555554</v>
      </c>
      <c r="T283" s="2">
        <f t="shared" si="20"/>
        <v>24</v>
      </c>
      <c r="Z283" s="27" t="s">
        <v>871</v>
      </c>
      <c r="AA283" s="27" t="s">
        <v>872</v>
      </c>
      <c r="AB283" s="27">
        <v>14</v>
      </c>
      <c r="AC283" s="27" t="s">
        <v>55</v>
      </c>
      <c r="AD283" s="27" t="s">
        <v>55</v>
      </c>
      <c r="AE283" s="27" t="s">
        <v>55</v>
      </c>
    </row>
    <row r="284" spans="1:58" ht="60" customHeight="1" x14ac:dyDescent="0.35">
      <c r="O284" s="2">
        <v>2.75</v>
      </c>
      <c r="Q284" s="3">
        <v>46066</v>
      </c>
      <c r="R284" s="58">
        <v>0.7583333333333333</v>
      </c>
      <c r="T284" s="2">
        <f t="shared" si="20"/>
        <v>28</v>
      </c>
      <c r="Z284" s="27" t="s">
        <v>92</v>
      </c>
      <c r="AA284" s="27" t="s">
        <v>741</v>
      </c>
      <c r="AB284" s="27">
        <v>14</v>
      </c>
      <c r="AC284" s="27" t="s">
        <v>55</v>
      </c>
      <c r="AD284" s="27" t="s">
        <v>55</v>
      </c>
      <c r="AE284" s="27" t="s">
        <v>55</v>
      </c>
    </row>
    <row r="285" spans="1:58" ht="60" customHeight="1" x14ac:dyDescent="0.35">
      <c r="O285" s="2">
        <v>2.75</v>
      </c>
      <c r="Q285" s="3">
        <v>46070</v>
      </c>
      <c r="R285" s="58">
        <v>0.80972222222222223</v>
      </c>
      <c r="T285" s="2">
        <f t="shared" si="20"/>
        <v>32</v>
      </c>
      <c r="Z285" s="27" t="s">
        <v>910</v>
      </c>
      <c r="AA285" s="27" t="s">
        <v>909</v>
      </c>
      <c r="AB285" s="27">
        <v>14</v>
      </c>
      <c r="AC285" s="27" t="s">
        <v>55</v>
      </c>
      <c r="AD285" s="27" t="s">
        <v>55</v>
      </c>
      <c r="AE285" s="27" t="s">
        <v>55</v>
      </c>
    </row>
    <row r="286" spans="1:58" ht="60" customHeight="1" x14ac:dyDescent="0.35">
      <c r="O286" s="2">
        <v>2.75</v>
      </c>
      <c r="Q286" s="3">
        <v>46074</v>
      </c>
      <c r="R286" s="58">
        <v>0.48958333333333331</v>
      </c>
      <c r="T286" s="2">
        <f t="shared" si="20"/>
        <v>36</v>
      </c>
      <c r="Z286" s="27" t="s">
        <v>927</v>
      </c>
      <c r="AA286" s="27" t="s">
        <v>928</v>
      </c>
      <c r="AB286" s="27">
        <v>14</v>
      </c>
      <c r="AC286" s="27" t="s">
        <v>55</v>
      </c>
      <c r="AD286" s="27" t="s">
        <v>55</v>
      </c>
      <c r="AE286" s="27" t="s">
        <v>55</v>
      </c>
    </row>
    <row r="287" spans="1:58" ht="60" customHeight="1" x14ac:dyDescent="0.35">
      <c r="O287" s="2">
        <v>2.75</v>
      </c>
      <c r="Q287" s="3">
        <v>46077</v>
      </c>
      <c r="R287" s="58">
        <v>0.78472222222222221</v>
      </c>
      <c r="T287" s="2">
        <f t="shared" si="20"/>
        <v>39</v>
      </c>
      <c r="Z287" s="27" t="s">
        <v>952</v>
      </c>
      <c r="AA287" s="27" t="s">
        <v>429</v>
      </c>
      <c r="AB287" s="27">
        <v>14</v>
      </c>
      <c r="AC287" s="27" t="s">
        <v>55</v>
      </c>
      <c r="AD287" s="27" t="s">
        <v>55</v>
      </c>
      <c r="AE287" s="27" t="s">
        <v>55</v>
      </c>
    </row>
    <row r="288" spans="1:58" ht="60" customHeight="1" x14ac:dyDescent="0.35">
      <c r="O288" s="2">
        <v>2.75</v>
      </c>
      <c r="Q288" s="3">
        <v>46080</v>
      </c>
      <c r="R288" s="58">
        <v>0.53819444444444442</v>
      </c>
      <c r="T288" s="2">
        <f t="shared" si="20"/>
        <v>42</v>
      </c>
      <c r="Z288" s="27" t="s">
        <v>970</v>
      </c>
      <c r="AA288" s="27" t="s">
        <v>987</v>
      </c>
      <c r="AB288" s="27">
        <v>14</v>
      </c>
      <c r="AC288" s="27" t="s">
        <v>55</v>
      </c>
      <c r="AD288" s="27" t="s">
        <v>55</v>
      </c>
      <c r="AE288" s="27" t="s">
        <v>55</v>
      </c>
    </row>
    <row r="289" spans="1:58" ht="60" customHeight="1" x14ac:dyDescent="0.35">
      <c r="O289" s="2">
        <v>2.5</v>
      </c>
      <c r="Q289" s="3">
        <v>46084</v>
      </c>
      <c r="R289" s="58">
        <v>0.78819444444444442</v>
      </c>
      <c r="T289" s="2">
        <f t="shared" si="20"/>
        <v>46</v>
      </c>
      <c r="Z289" s="37" t="s">
        <v>999</v>
      </c>
      <c r="AA289" s="27" t="s">
        <v>804</v>
      </c>
      <c r="AB289" s="27">
        <v>14</v>
      </c>
      <c r="AC289" s="27" t="s">
        <v>55</v>
      </c>
      <c r="AD289" s="27" t="s">
        <v>55</v>
      </c>
      <c r="AE289" s="27" t="s">
        <v>55</v>
      </c>
    </row>
    <row r="290" spans="1:58" ht="60" customHeight="1" x14ac:dyDescent="0.35">
      <c r="O290" s="2">
        <v>2.5</v>
      </c>
      <c r="Q290" s="3">
        <v>46088</v>
      </c>
      <c r="R290" s="58">
        <v>0.42499999999999999</v>
      </c>
      <c r="T290" s="2">
        <f t="shared" si="20"/>
        <v>50</v>
      </c>
      <c r="Z290" s="27" t="s">
        <v>1018</v>
      </c>
      <c r="AA290" s="27" t="s">
        <v>1017</v>
      </c>
      <c r="AB290" s="27">
        <v>14</v>
      </c>
      <c r="AC290" s="27" t="s">
        <v>55</v>
      </c>
      <c r="AD290" s="27" t="s">
        <v>55</v>
      </c>
      <c r="AE290" s="27" t="s">
        <v>55</v>
      </c>
    </row>
    <row r="291" spans="1:58" ht="60" customHeight="1" x14ac:dyDescent="0.35">
      <c r="O291" s="2">
        <v>2.75</v>
      </c>
      <c r="Q291" s="3">
        <v>46091</v>
      </c>
      <c r="R291" s="58">
        <v>0.84930555555555554</v>
      </c>
      <c r="T291" s="2">
        <f t="shared" si="20"/>
        <v>53</v>
      </c>
      <c r="Z291" s="37" t="s">
        <v>1071</v>
      </c>
      <c r="AA291" s="37" t="s">
        <v>1070</v>
      </c>
      <c r="AB291" s="27">
        <v>14</v>
      </c>
      <c r="AC291" s="27" t="s">
        <v>55</v>
      </c>
      <c r="AD291" s="27" t="s">
        <v>55</v>
      </c>
      <c r="AE291" s="27" t="s">
        <v>55</v>
      </c>
    </row>
    <row r="292" spans="1:58" ht="60" customHeight="1" x14ac:dyDescent="0.35">
      <c r="O292" s="2">
        <v>2.75</v>
      </c>
      <c r="Q292" s="3">
        <v>46098</v>
      </c>
      <c r="R292" s="58">
        <v>0.71736111111111112</v>
      </c>
      <c r="T292" s="2">
        <f t="shared" si="20"/>
        <v>60</v>
      </c>
      <c r="Z292" s="27" t="s">
        <v>1093</v>
      </c>
      <c r="AA292" s="37" t="s">
        <v>1092</v>
      </c>
      <c r="AB292" s="27">
        <v>14</v>
      </c>
      <c r="AC292" s="27" t="s">
        <v>55</v>
      </c>
      <c r="AD292" s="27" t="s">
        <v>55</v>
      </c>
      <c r="AE292" s="27" t="s">
        <v>55</v>
      </c>
    </row>
    <row r="293" spans="1:58" ht="60" customHeight="1" x14ac:dyDescent="0.35">
      <c r="O293" s="2">
        <v>2.75</v>
      </c>
      <c r="Q293" s="3">
        <v>46105</v>
      </c>
      <c r="R293" s="58">
        <v>0.74583333333333335</v>
      </c>
      <c r="T293" s="2">
        <f t="shared" si="20"/>
        <v>67</v>
      </c>
      <c r="Z293" s="37" t="s">
        <v>1145</v>
      </c>
      <c r="AA293" s="37" t="s">
        <v>1144</v>
      </c>
      <c r="AB293" s="27">
        <v>14</v>
      </c>
      <c r="AC293" s="27" t="s">
        <v>55</v>
      </c>
      <c r="AD293" s="27" t="s">
        <v>55</v>
      </c>
      <c r="AE293" s="27" t="s">
        <v>55</v>
      </c>
    </row>
    <row r="294" spans="1:58" ht="60" customHeight="1" x14ac:dyDescent="0.35">
      <c r="O294" s="2">
        <v>2.75</v>
      </c>
      <c r="Q294" s="3">
        <v>46112</v>
      </c>
      <c r="R294" s="58">
        <v>0.76597222222222228</v>
      </c>
      <c r="T294" s="2">
        <f t="shared" si="20"/>
        <v>74</v>
      </c>
      <c r="Z294" s="27" t="s">
        <v>1164</v>
      </c>
      <c r="AA294" s="27" t="s">
        <v>1163</v>
      </c>
      <c r="AB294" s="27">
        <v>14</v>
      </c>
      <c r="AC294" s="27" t="s">
        <v>55</v>
      </c>
      <c r="AD294" s="27" t="s">
        <v>55</v>
      </c>
      <c r="AE294" s="27" t="s">
        <v>55</v>
      </c>
    </row>
    <row r="295" spans="1:58" ht="60" customHeight="1" x14ac:dyDescent="0.35"/>
    <row r="296" spans="1:58" ht="60" customHeight="1" x14ac:dyDescent="0.35">
      <c r="A296" s="22">
        <v>15</v>
      </c>
      <c r="B296" s="135" t="s">
        <v>1047</v>
      </c>
      <c r="C296" s="43">
        <v>43952</v>
      </c>
      <c r="D296" s="3">
        <v>46041</v>
      </c>
      <c r="E296" s="44">
        <f t="shared" si="13"/>
        <v>2089</v>
      </c>
      <c r="F296" s="44">
        <f t="shared" si="14"/>
        <v>5.7232876712328764</v>
      </c>
      <c r="G296" s="44">
        <f t="shared" si="15"/>
        <v>7.9541666666666666</v>
      </c>
      <c r="H296" s="56" t="s">
        <v>10</v>
      </c>
      <c r="I296" s="56"/>
      <c r="J296" s="2">
        <v>4131</v>
      </c>
      <c r="O296" s="2">
        <v>2.75</v>
      </c>
      <c r="Q296" s="3">
        <v>46049</v>
      </c>
      <c r="R296" s="58">
        <v>0.78402777777777777</v>
      </c>
      <c r="T296" s="2">
        <f t="shared" ref="T296:T312" si="21">Q296-$D$296</f>
        <v>8</v>
      </c>
      <c r="Z296" s="27" t="s">
        <v>356</v>
      </c>
      <c r="AA296" s="27" t="s">
        <v>360</v>
      </c>
      <c r="AB296" s="27">
        <v>8</v>
      </c>
      <c r="AC296" s="27" t="s">
        <v>55</v>
      </c>
      <c r="AD296" s="27" t="s">
        <v>55</v>
      </c>
      <c r="AE296" s="27" t="s">
        <v>55</v>
      </c>
    </row>
    <row r="297" spans="1:58" ht="60" customHeight="1" x14ac:dyDescent="0.35">
      <c r="O297" s="2">
        <v>2.75</v>
      </c>
      <c r="Q297" s="3">
        <v>46052</v>
      </c>
      <c r="R297" s="58">
        <v>0.73819444444444449</v>
      </c>
      <c r="T297" s="2">
        <f t="shared" si="21"/>
        <v>11</v>
      </c>
      <c r="Z297" s="27" t="s">
        <v>55</v>
      </c>
      <c r="AA297" s="27" t="s">
        <v>55</v>
      </c>
      <c r="AB297" s="27">
        <v>8</v>
      </c>
      <c r="AC297" s="27" t="s">
        <v>55</v>
      </c>
      <c r="AD297" s="27" t="s">
        <v>55</v>
      </c>
      <c r="AE297" s="27" t="s">
        <v>55</v>
      </c>
      <c r="BF297" s="2" t="s">
        <v>819</v>
      </c>
    </row>
    <row r="298" spans="1:58" ht="60" customHeight="1" x14ac:dyDescent="0.35">
      <c r="O298" s="2">
        <v>2.5</v>
      </c>
      <c r="Q298" s="3">
        <v>46056</v>
      </c>
      <c r="R298" s="58">
        <v>0.68680555555555556</v>
      </c>
      <c r="T298" s="2">
        <f t="shared" si="21"/>
        <v>15</v>
      </c>
      <c r="Z298" s="27" t="s">
        <v>355</v>
      </c>
      <c r="AA298" s="27" t="s">
        <v>841</v>
      </c>
      <c r="AB298" s="27">
        <v>8</v>
      </c>
      <c r="AC298" s="27" t="s">
        <v>55</v>
      </c>
      <c r="AD298" s="27" t="s">
        <v>55</v>
      </c>
      <c r="AE298" s="27" t="s">
        <v>55</v>
      </c>
    </row>
    <row r="299" spans="1:58" ht="60" customHeight="1" x14ac:dyDescent="0.35">
      <c r="O299" s="2">
        <v>2.5</v>
      </c>
      <c r="Q299" s="3">
        <v>46059</v>
      </c>
      <c r="R299" s="58">
        <v>0.49791666666666667</v>
      </c>
      <c r="T299" s="2">
        <f t="shared" si="21"/>
        <v>18</v>
      </c>
      <c r="Z299" s="27" t="s">
        <v>605</v>
      </c>
      <c r="AA299" s="27" t="s">
        <v>860</v>
      </c>
      <c r="AB299" s="27">
        <v>8</v>
      </c>
      <c r="AC299" s="27" t="s">
        <v>55</v>
      </c>
      <c r="AD299" s="27" t="s">
        <v>55</v>
      </c>
      <c r="AE299" s="27" t="s">
        <v>55</v>
      </c>
    </row>
    <row r="300" spans="1:58" ht="60" customHeight="1" x14ac:dyDescent="0.35">
      <c r="O300" s="2">
        <v>2.5</v>
      </c>
      <c r="Q300" s="3">
        <v>46062</v>
      </c>
      <c r="R300" s="58">
        <v>0.52569444444444446</v>
      </c>
      <c r="T300" s="2">
        <f t="shared" si="21"/>
        <v>21</v>
      </c>
      <c r="Z300" s="27" t="s">
        <v>157</v>
      </c>
      <c r="AA300" s="27" t="s">
        <v>868</v>
      </c>
      <c r="AB300" s="27">
        <v>8</v>
      </c>
      <c r="AC300" s="27" t="s">
        <v>55</v>
      </c>
      <c r="AD300" s="27" t="s">
        <v>55</v>
      </c>
      <c r="AE300" s="27" t="s">
        <v>55</v>
      </c>
    </row>
    <row r="301" spans="1:58" ht="60" customHeight="1" x14ac:dyDescent="0.35">
      <c r="O301" s="2">
        <v>2.5</v>
      </c>
      <c r="Q301" s="3">
        <v>46066</v>
      </c>
      <c r="R301" s="58">
        <v>0.72013888888888899</v>
      </c>
      <c r="T301" s="2">
        <f t="shared" si="21"/>
        <v>25</v>
      </c>
      <c r="Z301" s="27" t="s">
        <v>184</v>
      </c>
      <c r="AA301" s="27" t="s">
        <v>896</v>
      </c>
      <c r="AB301" s="27">
        <v>8</v>
      </c>
      <c r="AC301" s="27" t="s">
        <v>55</v>
      </c>
      <c r="AD301" s="27" t="s">
        <v>55</v>
      </c>
      <c r="AE301" s="27" t="s">
        <v>55</v>
      </c>
    </row>
    <row r="302" spans="1:58" ht="60" customHeight="1" x14ac:dyDescent="0.35">
      <c r="O302" s="2">
        <v>2.5</v>
      </c>
      <c r="Q302" s="3">
        <v>46070</v>
      </c>
      <c r="R302" s="58">
        <v>0.76527777777777772</v>
      </c>
      <c r="T302" s="2">
        <f t="shared" si="21"/>
        <v>29</v>
      </c>
      <c r="Z302" s="27" t="s">
        <v>721</v>
      </c>
      <c r="AA302" s="37" t="s">
        <v>898</v>
      </c>
      <c r="AB302" s="27">
        <v>8</v>
      </c>
      <c r="AC302" s="27" t="s">
        <v>55</v>
      </c>
      <c r="AD302" s="27" t="s">
        <v>55</v>
      </c>
      <c r="AE302" s="27" t="s">
        <v>55</v>
      </c>
    </row>
    <row r="303" spans="1:58" ht="60" customHeight="1" x14ac:dyDescent="0.35">
      <c r="O303" s="2">
        <v>2.5</v>
      </c>
      <c r="Q303" s="3">
        <v>46074</v>
      </c>
      <c r="R303" s="58">
        <v>0.42638888888888887</v>
      </c>
      <c r="T303" s="2">
        <f t="shared" si="21"/>
        <v>33</v>
      </c>
      <c r="Z303" s="27" t="s">
        <v>918</v>
      </c>
      <c r="AA303" s="27" t="s">
        <v>907</v>
      </c>
      <c r="AB303" s="27">
        <v>8</v>
      </c>
      <c r="AC303" s="27" t="s">
        <v>55</v>
      </c>
      <c r="AD303" s="27" t="s">
        <v>55</v>
      </c>
      <c r="AE303" s="27" t="s">
        <v>55</v>
      </c>
    </row>
    <row r="304" spans="1:58" ht="60" customHeight="1" x14ac:dyDescent="0.35">
      <c r="O304" s="2">
        <v>2.5</v>
      </c>
      <c r="Q304" s="3">
        <v>46077</v>
      </c>
      <c r="R304" s="58">
        <v>0.75555555555555554</v>
      </c>
      <c r="T304" s="2">
        <f t="shared" si="21"/>
        <v>36</v>
      </c>
      <c r="Z304" s="27" t="s">
        <v>134</v>
      </c>
      <c r="AA304" s="27" t="s">
        <v>749</v>
      </c>
      <c r="AB304" s="27">
        <v>8</v>
      </c>
      <c r="AC304" s="27" t="s">
        <v>55</v>
      </c>
      <c r="AD304" s="27" t="s">
        <v>55</v>
      </c>
      <c r="AE304" s="27" t="s">
        <v>55</v>
      </c>
    </row>
    <row r="305" spans="1:58" ht="60" customHeight="1" x14ac:dyDescent="0.35">
      <c r="O305" s="2">
        <v>2.5</v>
      </c>
      <c r="Q305" s="3">
        <v>46080</v>
      </c>
      <c r="R305" s="58">
        <v>0.53263888888888888</v>
      </c>
      <c r="T305" s="2">
        <f t="shared" si="21"/>
        <v>39</v>
      </c>
      <c r="Z305" s="27" t="s">
        <v>121</v>
      </c>
      <c r="AA305" s="37" t="s">
        <v>966</v>
      </c>
      <c r="AB305" s="27">
        <v>8</v>
      </c>
      <c r="AC305" s="27" t="s">
        <v>55</v>
      </c>
      <c r="AD305" s="27" t="s">
        <v>55</v>
      </c>
      <c r="AE305" s="27" t="s">
        <v>55</v>
      </c>
    </row>
    <row r="306" spans="1:58" ht="60" customHeight="1" x14ac:dyDescent="0.35">
      <c r="O306" s="2">
        <v>2.5</v>
      </c>
      <c r="Q306" s="3">
        <v>46084</v>
      </c>
      <c r="R306" s="58">
        <v>0.77916666666666667</v>
      </c>
      <c r="T306" s="2">
        <f t="shared" si="21"/>
        <v>43</v>
      </c>
      <c r="Z306" s="27" t="s">
        <v>994</v>
      </c>
      <c r="AA306" s="27" t="s">
        <v>993</v>
      </c>
      <c r="AB306" s="27">
        <v>8</v>
      </c>
      <c r="AC306" s="27" t="s">
        <v>55</v>
      </c>
      <c r="AD306" s="27" t="s">
        <v>55</v>
      </c>
      <c r="AE306" s="27" t="s">
        <v>55</v>
      </c>
    </row>
    <row r="307" spans="1:58" ht="60" customHeight="1" x14ac:dyDescent="0.35">
      <c r="O307" s="2">
        <v>2.5</v>
      </c>
      <c r="Q307" s="3">
        <v>46088</v>
      </c>
      <c r="R307" s="58">
        <v>0.44444444444444442</v>
      </c>
      <c r="T307" s="2">
        <f t="shared" si="21"/>
        <v>47</v>
      </c>
      <c r="Z307" s="27" t="s">
        <v>1028</v>
      </c>
      <c r="AA307" s="27" t="s">
        <v>1034</v>
      </c>
      <c r="AB307" s="27">
        <v>8</v>
      </c>
      <c r="AC307" s="27" t="s">
        <v>55</v>
      </c>
      <c r="AD307" s="27" t="s">
        <v>55</v>
      </c>
      <c r="AE307" s="27" t="s">
        <v>55</v>
      </c>
    </row>
    <row r="308" spans="1:58" ht="60" customHeight="1" x14ac:dyDescent="0.35">
      <c r="O308" s="2">
        <v>2.5</v>
      </c>
      <c r="Q308" s="3">
        <v>46091</v>
      </c>
      <c r="R308" s="58">
        <v>0.84027777777777779</v>
      </c>
      <c r="T308" s="2">
        <f t="shared" si="21"/>
        <v>50</v>
      </c>
      <c r="Z308" s="27" t="s">
        <v>1059</v>
      </c>
      <c r="AA308" s="37" t="s">
        <v>1060</v>
      </c>
      <c r="AB308" s="27">
        <v>8</v>
      </c>
      <c r="AC308" s="27" t="s">
        <v>55</v>
      </c>
      <c r="AD308" s="27" t="s">
        <v>55</v>
      </c>
      <c r="AE308" s="27" t="s">
        <v>55</v>
      </c>
    </row>
    <row r="309" spans="1:58" ht="60" customHeight="1" x14ac:dyDescent="0.35">
      <c r="O309" s="2">
        <v>2.75</v>
      </c>
      <c r="Q309" s="3">
        <v>46098</v>
      </c>
      <c r="R309" s="58">
        <v>0.74583333333333335</v>
      </c>
      <c r="T309" s="2">
        <f t="shared" si="21"/>
        <v>57</v>
      </c>
      <c r="Z309" s="27" t="s">
        <v>1104</v>
      </c>
      <c r="AA309" s="27" t="s">
        <v>1105</v>
      </c>
      <c r="AB309" s="27">
        <v>8</v>
      </c>
      <c r="AC309" s="27" t="s">
        <v>55</v>
      </c>
      <c r="AD309" s="27" t="s">
        <v>55</v>
      </c>
      <c r="AE309" s="27" t="s">
        <v>55</v>
      </c>
    </row>
    <row r="310" spans="1:58" ht="60" customHeight="1" x14ac:dyDescent="0.35">
      <c r="O310" s="2">
        <v>2.75</v>
      </c>
      <c r="Q310" s="3">
        <v>46105</v>
      </c>
      <c r="R310" s="58">
        <v>0.73124999999999996</v>
      </c>
      <c r="T310" s="2">
        <f t="shared" si="21"/>
        <v>64</v>
      </c>
      <c r="Z310" s="27" t="s">
        <v>1160</v>
      </c>
      <c r="AA310" s="37" t="s">
        <v>1130</v>
      </c>
      <c r="AB310" s="27">
        <v>8</v>
      </c>
      <c r="AC310" s="27" t="s">
        <v>55</v>
      </c>
      <c r="AD310" s="27" t="s">
        <v>55</v>
      </c>
      <c r="AE310" s="27" t="s">
        <v>55</v>
      </c>
    </row>
    <row r="311" spans="1:58" ht="60" customHeight="1" x14ac:dyDescent="0.35">
      <c r="O311" s="2">
        <v>2.75</v>
      </c>
      <c r="Q311" s="3">
        <v>46108</v>
      </c>
      <c r="R311" s="58">
        <v>0.78749999999999998</v>
      </c>
      <c r="T311" s="2">
        <f t="shared" si="21"/>
        <v>67</v>
      </c>
      <c r="Z311" s="37" t="s">
        <v>1179</v>
      </c>
      <c r="AA311" s="37" t="s">
        <v>1178</v>
      </c>
      <c r="AB311" s="27">
        <v>8</v>
      </c>
      <c r="AC311" s="27" t="s">
        <v>55</v>
      </c>
      <c r="AD311" s="27" t="s">
        <v>55</v>
      </c>
      <c r="AE311" s="27" t="s">
        <v>55</v>
      </c>
    </row>
    <row r="312" spans="1:58" ht="60" customHeight="1" x14ac:dyDescent="0.35">
      <c r="Q312" s="119">
        <v>46112</v>
      </c>
      <c r="T312" s="2">
        <f t="shared" si="21"/>
        <v>71</v>
      </c>
    </row>
    <row r="313" spans="1:58" ht="60" customHeight="1" x14ac:dyDescent="0.35"/>
    <row r="314" spans="1:58" ht="60" customHeight="1" x14ac:dyDescent="0.35">
      <c r="A314" s="22">
        <v>16</v>
      </c>
      <c r="B314" s="135" t="s">
        <v>1048</v>
      </c>
      <c r="C314" s="56" t="s">
        <v>1133</v>
      </c>
      <c r="D314" s="3">
        <v>46039</v>
      </c>
      <c r="E314" s="44" t="e">
        <f>D314-C314</f>
        <v>#VALUE!</v>
      </c>
      <c r="F314" s="44" t="e">
        <f t="shared" si="14"/>
        <v>#VALUE!</v>
      </c>
      <c r="G314" s="44" t="e">
        <f t="shared" si="15"/>
        <v>#VALUE!</v>
      </c>
      <c r="H314" s="38"/>
      <c r="I314" s="38"/>
      <c r="J314" s="2" t="s">
        <v>55</v>
      </c>
      <c r="O314" s="2">
        <v>2.75</v>
      </c>
      <c r="P314" s="41" t="s">
        <v>800</v>
      </c>
      <c r="Q314" s="3">
        <v>46049</v>
      </c>
      <c r="R314" s="58">
        <v>0.79305555555555551</v>
      </c>
      <c r="T314" s="2" t="e">
        <f t="shared" ref="T314:T328" si="22">Q314-$E$314</f>
        <v>#VALUE!</v>
      </c>
      <c r="Z314" s="27" t="s">
        <v>55</v>
      </c>
      <c r="AA314" s="27" t="s">
        <v>133</v>
      </c>
      <c r="AB314" s="27">
        <v>10</v>
      </c>
      <c r="AC314" s="27" t="s">
        <v>55</v>
      </c>
      <c r="AD314" s="27" t="s">
        <v>55</v>
      </c>
      <c r="AE314" s="27" t="s">
        <v>55</v>
      </c>
    </row>
    <row r="315" spans="1:58" ht="60" customHeight="1" x14ac:dyDescent="0.35">
      <c r="O315" s="2">
        <v>2.75</v>
      </c>
      <c r="Q315" s="3">
        <v>46052</v>
      </c>
      <c r="R315" s="58">
        <v>0.78263888888888888</v>
      </c>
      <c r="T315" s="2" t="e">
        <f t="shared" si="22"/>
        <v>#VALUE!</v>
      </c>
      <c r="Z315" s="27" t="s">
        <v>829</v>
      </c>
      <c r="AA315" s="27" t="s">
        <v>85</v>
      </c>
      <c r="AB315" s="27">
        <v>10</v>
      </c>
      <c r="AC315" s="27" t="s">
        <v>55</v>
      </c>
      <c r="AD315" s="27" t="s">
        <v>55</v>
      </c>
      <c r="AE315" s="27" t="s">
        <v>55</v>
      </c>
      <c r="BF315" s="2" t="s">
        <v>118</v>
      </c>
    </row>
    <row r="316" spans="1:58" ht="60" customHeight="1" x14ac:dyDescent="0.35">
      <c r="O316" s="2">
        <v>2.5</v>
      </c>
      <c r="Q316" s="3">
        <v>46056</v>
      </c>
      <c r="R316" s="58">
        <v>0.66527777777777775</v>
      </c>
      <c r="T316" s="2" t="e">
        <f t="shared" si="22"/>
        <v>#VALUE!</v>
      </c>
      <c r="Z316" s="27" t="s">
        <v>134</v>
      </c>
      <c r="AA316" s="27" t="s">
        <v>253</v>
      </c>
      <c r="AB316" s="27">
        <v>10</v>
      </c>
      <c r="AC316" s="27" t="s">
        <v>55</v>
      </c>
      <c r="AD316" s="27" t="s">
        <v>55</v>
      </c>
      <c r="AE316" s="27" t="s">
        <v>55</v>
      </c>
    </row>
    <row r="317" spans="1:58" ht="60" customHeight="1" x14ac:dyDescent="0.35">
      <c r="O317" s="2">
        <v>2.75</v>
      </c>
      <c r="Q317" s="3">
        <v>46059</v>
      </c>
      <c r="R317" s="58">
        <v>0.49861111111111112</v>
      </c>
      <c r="T317" s="2" t="e">
        <f t="shared" si="22"/>
        <v>#VALUE!</v>
      </c>
      <c r="Z317" s="27" t="s">
        <v>100</v>
      </c>
      <c r="AA317" s="27" t="s">
        <v>770</v>
      </c>
      <c r="AB317" s="27">
        <v>10</v>
      </c>
      <c r="AC317" s="27" t="s">
        <v>55</v>
      </c>
      <c r="AD317" s="27" t="s">
        <v>55</v>
      </c>
      <c r="AE317" s="27" t="s">
        <v>55</v>
      </c>
    </row>
    <row r="318" spans="1:58" ht="60" customHeight="1" x14ac:dyDescent="0.35">
      <c r="O318" s="2">
        <v>2.75</v>
      </c>
      <c r="Q318" s="3">
        <v>46062</v>
      </c>
      <c r="R318" s="58">
        <v>0.53541666666666665</v>
      </c>
      <c r="T318" s="2" t="e">
        <f t="shared" si="22"/>
        <v>#VALUE!</v>
      </c>
      <c r="Z318" s="27" t="s">
        <v>355</v>
      </c>
      <c r="AA318" s="27" t="s">
        <v>870</v>
      </c>
      <c r="AB318" s="27">
        <v>10</v>
      </c>
      <c r="AC318" s="27" t="s">
        <v>55</v>
      </c>
      <c r="AD318" s="27" t="s">
        <v>55</v>
      </c>
      <c r="AE318" s="27" t="s">
        <v>55</v>
      </c>
    </row>
    <row r="319" spans="1:58" ht="60" customHeight="1" x14ac:dyDescent="0.35">
      <c r="O319" s="2">
        <v>2.75</v>
      </c>
      <c r="Q319" s="3">
        <v>46066</v>
      </c>
      <c r="R319" s="58">
        <v>0.76458333333333339</v>
      </c>
      <c r="T319" s="2" t="e">
        <f t="shared" si="22"/>
        <v>#VALUE!</v>
      </c>
      <c r="Z319" s="27" t="s">
        <v>889</v>
      </c>
      <c r="AA319" s="27" t="s">
        <v>888</v>
      </c>
      <c r="AB319" s="27">
        <v>10</v>
      </c>
      <c r="AC319" s="27" t="s">
        <v>55</v>
      </c>
      <c r="AD319" s="27" t="s">
        <v>55</v>
      </c>
      <c r="AE319" s="27" t="s">
        <v>55</v>
      </c>
    </row>
    <row r="320" spans="1:58" ht="60" customHeight="1" x14ac:dyDescent="0.35">
      <c r="O320" s="2">
        <v>2.75</v>
      </c>
      <c r="Q320" s="3">
        <v>46070</v>
      </c>
      <c r="R320" s="58">
        <v>0.80486111111111114</v>
      </c>
      <c r="T320" s="2" t="e">
        <f t="shared" si="22"/>
        <v>#VALUE!</v>
      </c>
      <c r="Z320" s="27" t="s">
        <v>908</v>
      </c>
      <c r="AA320" s="27" t="s">
        <v>907</v>
      </c>
      <c r="AB320" s="27">
        <v>10</v>
      </c>
      <c r="AC320" s="27" t="s">
        <v>55</v>
      </c>
      <c r="AD320" s="27" t="s">
        <v>55</v>
      </c>
      <c r="AE320" s="27" t="s">
        <v>55</v>
      </c>
    </row>
    <row r="321" spans="1:31" ht="60" customHeight="1" x14ac:dyDescent="0.35">
      <c r="O321" s="2">
        <v>2.5</v>
      </c>
      <c r="Q321" s="3">
        <v>46074</v>
      </c>
      <c r="R321" s="58">
        <v>0.49583333333333335</v>
      </c>
      <c r="T321" s="2" t="e">
        <f t="shared" si="22"/>
        <v>#VALUE!</v>
      </c>
      <c r="Z321" s="27" t="s">
        <v>200</v>
      </c>
      <c r="AA321" s="27" t="s">
        <v>932</v>
      </c>
      <c r="AB321" s="27">
        <v>10</v>
      </c>
      <c r="AC321" s="27" t="s">
        <v>55</v>
      </c>
      <c r="AD321" s="27" t="s">
        <v>55</v>
      </c>
      <c r="AE321" s="27" t="s">
        <v>55</v>
      </c>
    </row>
    <row r="322" spans="1:31" ht="60" customHeight="1" x14ac:dyDescent="0.35">
      <c r="O322" s="2">
        <v>2.5</v>
      </c>
      <c r="Q322" s="3">
        <v>46077</v>
      </c>
      <c r="R322" s="58">
        <v>0.78055555555555556</v>
      </c>
      <c r="T322" s="2" t="e">
        <f t="shared" si="22"/>
        <v>#VALUE!</v>
      </c>
      <c r="Z322" s="27" t="s">
        <v>951</v>
      </c>
      <c r="AA322" s="37" t="s">
        <v>950</v>
      </c>
      <c r="AB322" s="27">
        <v>10</v>
      </c>
      <c r="AC322" s="27" t="s">
        <v>55</v>
      </c>
      <c r="AD322" s="27" t="s">
        <v>55</v>
      </c>
      <c r="AE322" s="27" t="s">
        <v>55</v>
      </c>
    </row>
    <row r="323" spans="1:31" ht="60" customHeight="1" x14ac:dyDescent="0.35">
      <c r="O323" s="2">
        <v>2.5</v>
      </c>
      <c r="Q323" s="3">
        <v>46080</v>
      </c>
      <c r="R323" s="58">
        <v>0.5541666666666667</v>
      </c>
      <c r="T323" s="2" t="e">
        <f t="shared" si="22"/>
        <v>#VALUE!</v>
      </c>
      <c r="Z323" s="27" t="s">
        <v>979</v>
      </c>
      <c r="AA323" s="27" t="s">
        <v>978</v>
      </c>
      <c r="AB323" s="27">
        <v>10</v>
      </c>
      <c r="AC323" s="27" t="s">
        <v>55</v>
      </c>
      <c r="AD323" s="27" t="s">
        <v>55</v>
      </c>
      <c r="AE323" s="27" t="s">
        <v>55</v>
      </c>
    </row>
    <row r="324" spans="1:31" ht="60" customHeight="1" x14ac:dyDescent="0.35">
      <c r="O324" s="2">
        <v>2.5</v>
      </c>
      <c r="Q324" s="3">
        <v>46084</v>
      </c>
      <c r="R324" s="58">
        <v>0.80694444444444446</v>
      </c>
      <c r="T324" s="2" t="e">
        <f t="shared" si="22"/>
        <v>#VALUE!</v>
      </c>
      <c r="Z324" s="27" t="s">
        <v>124</v>
      </c>
      <c r="AA324" s="27" t="s">
        <v>122</v>
      </c>
      <c r="AB324" s="27">
        <v>10</v>
      </c>
      <c r="AC324" s="27" t="s">
        <v>55</v>
      </c>
      <c r="AD324" s="27" t="s">
        <v>55</v>
      </c>
      <c r="AE324" s="27" t="s">
        <v>55</v>
      </c>
    </row>
    <row r="325" spans="1:31" ht="60" customHeight="1" x14ac:dyDescent="0.35">
      <c r="O325" s="2">
        <v>2.5</v>
      </c>
      <c r="Q325" s="3">
        <v>46088</v>
      </c>
      <c r="R325" s="58">
        <v>0.43888888888888888</v>
      </c>
      <c r="T325" s="2" t="e">
        <f t="shared" si="22"/>
        <v>#VALUE!</v>
      </c>
      <c r="Z325" s="27" t="s">
        <v>100</v>
      </c>
      <c r="AA325" s="27" t="s">
        <v>207</v>
      </c>
      <c r="AB325" s="27">
        <v>10</v>
      </c>
      <c r="AC325" s="27" t="s">
        <v>55</v>
      </c>
      <c r="AD325" s="27" t="s">
        <v>55</v>
      </c>
      <c r="AE325" s="27" t="s">
        <v>55</v>
      </c>
    </row>
    <row r="326" spans="1:31" ht="60" customHeight="1" x14ac:dyDescent="0.35">
      <c r="O326" s="2">
        <v>2.5</v>
      </c>
      <c r="Q326" s="3">
        <v>46091</v>
      </c>
      <c r="R326" s="58">
        <v>0.84513888888888888</v>
      </c>
      <c r="T326" s="2" t="e">
        <f t="shared" si="22"/>
        <v>#VALUE!</v>
      </c>
      <c r="Z326" s="27" t="s">
        <v>1066</v>
      </c>
      <c r="AA326" s="27" t="s">
        <v>1065</v>
      </c>
      <c r="AB326" s="27">
        <v>10</v>
      </c>
      <c r="AC326" s="27" t="s">
        <v>55</v>
      </c>
      <c r="AD326" s="27" t="s">
        <v>55</v>
      </c>
      <c r="AE326" s="27" t="s">
        <v>55</v>
      </c>
    </row>
    <row r="327" spans="1:31" ht="60" customHeight="1" x14ac:dyDescent="0.35">
      <c r="O327" s="2">
        <v>2.5</v>
      </c>
      <c r="Q327" s="3">
        <v>46098</v>
      </c>
      <c r="R327" s="58">
        <v>0.73958333333333337</v>
      </c>
      <c r="T327" s="2" t="e">
        <f t="shared" si="22"/>
        <v>#VALUE!</v>
      </c>
      <c r="Z327" s="27" t="s">
        <v>802</v>
      </c>
      <c r="AA327" s="27" t="s">
        <v>1101</v>
      </c>
      <c r="AB327" s="27">
        <v>10</v>
      </c>
      <c r="AC327" s="27" t="s">
        <v>55</v>
      </c>
      <c r="AD327" s="27" t="s">
        <v>55</v>
      </c>
      <c r="AE327" s="27" t="s">
        <v>55</v>
      </c>
    </row>
    <row r="328" spans="1:31" ht="60" customHeight="1" x14ac:dyDescent="0.35">
      <c r="O328" s="2">
        <v>2.5</v>
      </c>
      <c r="Q328" s="3">
        <v>46105</v>
      </c>
      <c r="R328" s="58">
        <v>0.73402777777777772</v>
      </c>
      <c r="T328" s="2" t="e">
        <f t="shared" si="22"/>
        <v>#VALUE!</v>
      </c>
      <c r="Z328" s="27" t="s">
        <v>1131</v>
      </c>
      <c r="AA328" s="27" t="s">
        <v>1132</v>
      </c>
      <c r="AB328" s="27">
        <v>10</v>
      </c>
      <c r="AC328" s="27" t="s">
        <v>55</v>
      </c>
      <c r="AD328" s="27" t="s">
        <v>55</v>
      </c>
      <c r="AE328" s="27" t="s">
        <v>55</v>
      </c>
    </row>
    <row r="329" spans="1:31" ht="60" customHeight="1" x14ac:dyDescent="0.35">
      <c r="O329" s="2">
        <v>2.5</v>
      </c>
      <c r="Q329" s="3">
        <v>46112</v>
      </c>
      <c r="R329" s="58">
        <v>0.77847222222222223</v>
      </c>
      <c r="T329" s="3" t="e">
        <f>Q329-$E$314</f>
        <v>#VALUE!</v>
      </c>
      <c r="Z329" s="27" t="s">
        <v>1174</v>
      </c>
      <c r="AA329" s="27" t="s">
        <v>1175</v>
      </c>
      <c r="AB329" s="27">
        <v>10</v>
      </c>
      <c r="AC329" s="27" t="s">
        <v>55</v>
      </c>
      <c r="AD329" s="27" t="s">
        <v>55</v>
      </c>
      <c r="AE329" s="27" t="s">
        <v>55</v>
      </c>
    </row>
    <row r="330" spans="1:31" ht="60" customHeight="1" x14ac:dyDescent="0.35"/>
    <row r="331" spans="1:31" ht="60" customHeight="1" x14ac:dyDescent="0.35">
      <c r="A331" s="22">
        <v>17</v>
      </c>
      <c r="B331" s="135" t="s">
        <v>1049</v>
      </c>
      <c r="C331" s="43">
        <v>45283</v>
      </c>
      <c r="D331" s="43">
        <v>46047</v>
      </c>
      <c r="E331" s="44">
        <f t="shared" si="13"/>
        <v>764</v>
      </c>
      <c r="F331" s="44">
        <f t="shared" si="14"/>
        <v>2.0931506849315067</v>
      </c>
      <c r="G331" s="44">
        <f t="shared" si="15"/>
        <v>2.4333333333333331</v>
      </c>
      <c r="J331" s="2" t="s">
        <v>842</v>
      </c>
      <c r="O331" s="2">
        <v>3</v>
      </c>
      <c r="Q331" s="3">
        <v>46056</v>
      </c>
      <c r="R331" s="58">
        <v>0.68541666666666667</v>
      </c>
      <c r="T331" s="2">
        <f t="shared" ref="T331:T345" si="23">Q331-$D$331</f>
        <v>9</v>
      </c>
      <c r="Z331" s="27" t="s">
        <v>184</v>
      </c>
      <c r="AA331" s="27" t="s">
        <v>305</v>
      </c>
      <c r="AB331" s="27">
        <f>T331</f>
        <v>9</v>
      </c>
      <c r="AC331" s="27" t="s">
        <v>55</v>
      </c>
      <c r="AD331" s="27" t="s">
        <v>55</v>
      </c>
      <c r="AE331" s="27" t="s">
        <v>55</v>
      </c>
    </row>
    <row r="332" spans="1:31" ht="60" customHeight="1" x14ac:dyDescent="0.35">
      <c r="O332" s="2">
        <v>2.75</v>
      </c>
      <c r="Q332" s="3">
        <v>46059</v>
      </c>
      <c r="R332" s="58">
        <v>0.49652777777777779</v>
      </c>
      <c r="T332" s="2">
        <f t="shared" si="23"/>
        <v>12</v>
      </c>
      <c r="Z332" s="27" t="s">
        <v>858</v>
      </c>
      <c r="AA332" s="27" t="s">
        <v>186</v>
      </c>
      <c r="AB332" s="27">
        <v>9</v>
      </c>
      <c r="AC332" s="27" t="s">
        <v>55</v>
      </c>
      <c r="AD332" s="27" t="s">
        <v>55</v>
      </c>
      <c r="AE332" s="27" t="s">
        <v>55</v>
      </c>
    </row>
    <row r="333" spans="1:31" ht="60" customHeight="1" x14ac:dyDescent="0.35">
      <c r="O333" s="2">
        <v>2.75</v>
      </c>
      <c r="Q333" s="3">
        <v>46062</v>
      </c>
      <c r="R333" s="58">
        <v>0.54236111111111107</v>
      </c>
      <c r="T333" s="2">
        <f t="shared" si="23"/>
        <v>15</v>
      </c>
      <c r="Z333" s="27" t="s">
        <v>407</v>
      </c>
      <c r="AA333" s="27" t="s">
        <v>115</v>
      </c>
      <c r="AB333" s="27">
        <v>9</v>
      </c>
      <c r="AC333" s="27" t="s">
        <v>55</v>
      </c>
      <c r="AD333" s="27" t="s">
        <v>55</v>
      </c>
      <c r="AE333" s="27" t="s">
        <v>55</v>
      </c>
    </row>
    <row r="334" spans="1:31" ht="60" customHeight="1" x14ac:dyDescent="0.35">
      <c r="O334" s="2">
        <v>2.75</v>
      </c>
      <c r="Q334" s="3">
        <v>46066</v>
      </c>
      <c r="R334" s="58">
        <v>0.77361111111111114</v>
      </c>
      <c r="T334" s="2">
        <f t="shared" si="23"/>
        <v>19</v>
      </c>
      <c r="Z334" s="27" t="s">
        <v>247</v>
      </c>
      <c r="AA334" s="27" t="s">
        <v>560</v>
      </c>
      <c r="AB334" s="27">
        <v>9</v>
      </c>
      <c r="AC334" s="27" t="s">
        <v>55</v>
      </c>
      <c r="AD334" s="27" t="s">
        <v>55</v>
      </c>
      <c r="AE334" s="27" t="s">
        <v>55</v>
      </c>
    </row>
    <row r="335" spans="1:31" ht="60" customHeight="1" x14ac:dyDescent="0.35">
      <c r="O335" s="2">
        <v>2.75</v>
      </c>
      <c r="Q335" s="3">
        <v>46070</v>
      </c>
      <c r="R335" s="58">
        <v>0.8125</v>
      </c>
      <c r="T335" s="2">
        <f t="shared" si="23"/>
        <v>23</v>
      </c>
      <c r="Z335" s="27" t="s">
        <v>511</v>
      </c>
      <c r="AA335" s="27" t="s">
        <v>317</v>
      </c>
      <c r="AB335" s="27">
        <v>9</v>
      </c>
      <c r="AC335" s="27" t="s">
        <v>55</v>
      </c>
      <c r="AD335" s="27" t="s">
        <v>55</v>
      </c>
      <c r="AE335" s="27" t="s">
        <v>55</v>
      </c>
    </row>
    <row r="336" spans="1:31" ht="60" customHeight="1" x14ac:dyDescent="0.35">
      <c r="O336" s="2">
        <v>2.75</v>
      </c>
      <c r="Q336" s="3">
        <v>46074</v>
      </c>
      <c r="R336" s="58">
        <v>0.49861111111111112</v>
      </c>
      <c r="T336" s="2">
        <f t="shared" si="23"/>
        <v>27</v>
      </c>
      <c r="Z336" s="27" t="s">
        <v>131</v>
      </c>
      <c r="AA336" s="27" t="s">
        <v>934</v>
      </c>
      <c r="AB336" s="27">
        <v>9</v>
      </c>
      <c r="AC336" s="27" t="s">
        <v>55</v>
      </c>
      <c r="AD336" s="27" t="s">
        <v>55</v>
      </c>
      <c r="AE336" s="27" t="s">
        <v>55</v>
      </c>
    </row>
    <row r="337" spans="1:58" ht="60" customHeight="1" x14ac:dyDescent="0.35">
      <c r="O337" s="2">
        <v>3</v>
      </c>
      <c r="Q337" s="3">
        <v>46077</v>
      </c>
      <c r="R337" s="58">
        <v>0.78680555555555554</v>
      </c>
      <c r="T337" s="2">
        <f t="shared" si="23"/>
        <v>30</v>
      </c>
      <c r="Z337" s="27" t="s">
        <v>954</v>
      </c>
      <c r="AA337" s="27" t="s">
        <v>953</v>
      </c>
      <c r="AB337" s="27">
        <v>9</v>
      </c>
      <c r="AC337" s="27" t="s">
        <v>55</v>
      </c>
      <c r="AD337" s="27" t="s">
        <v>55</v>
      </c>
      <c r="AE337" s="27" t="s">
        <v>55</v>
      </c>
    </row>
    <row r="338" spans="1:58" ht="60" customHeight="1" x14ac:dyDescent="0.35">
      <c r="O338" s="2">
        <v>3</v>
      </c>
      <c r="Q338" s="3">
        <v>46080</v>
      </c>
      <c r="R338" s="58">
        <v>0.54791666666666672</v>
      </c>
      <c r="T338" s="2">
        <f t="shared" si="23"/>
        <v>33</v>
      </c>
      <c r="Z338" s="27" t="s">
        <v>969</v>
      </c>
      <c r="AA338" s="27" t="s">
        <v>974</v>
      </c>
      <c r="AB338" s="27">
        <v>9</v>
      </c>
      <c r="AC338" s="27" t="s">
        <v>55</v>
      </c>
      <c r="AD338" s="27" t="s">
        <v>55</v>
      </c>
      <c r="AE338" s="27" t="s">
        <v>55</v>
      </c>
    </row>
    <row r="339" spans="1:58" ht="60" customHeight="1" x14ac:dyDescent="0.35">
      <c r="O339" s="2">
        <v>3</v>
      </c>
      <c r="Q339" s="3">
        <v>46084</v>
      </c>
      <c r="R339" s="58">
        <v>0.8</v>
      </c>
      <c r="T339" s="2">
        <f t="shared" si="23"/>
        <v>37</v>
      </c>
      <c r="Z339" s="27" t="s">
        <v>1007</v>
      </c>
      <c r="AA339" s="27" t="s">
        <v>1006</v>
      </c>
      <c r="AB339" s="27">
        <v>9</v>
      </c>
      <c r="AC339" s="27" t="s">
        <v>55</v>
      </c>
      <c r="AD339" s="27" t="s">
        <v>55</v>
      </c>
      <c r="AE339" s="27" t="s">
        <v>55</v>
      </c>
    </row>
    <row r="340" spans="1:58" ht="60" customHeight="1" x14ac:dyDescent="0.35">
      <c r="O340" s="2">
        <v>3</v>
      </c>
      <c r="Q340" s="3">
        <v>46088</v>
      </c>
      <c r="R340" s="58">
        <v>0.43958333333333333</v>
      </c>
      <c r="T340" s="2">
        <f t="shared" si="23"/>
        <v>41</v>
      </c>
      <c r="Z340" s="27" t="s">
        <v>1023</v>
      </c>
      <c r="AA340" s="27" t="s">
        <v>1022</v>
      </c>
      <c r="AB340" s="27">
        <v>9</v>
      </c>
      <c r="AC340" s="27" t="s">
        <v>55</v>
      </c>
      <c r="AD340" s="27" t="s">
        <v>55</v>
      </c>
      <c r="AE340" s="27" t="s">
        <v>55</v>
      </c>
    </row>
    <row r="341" spans="1:58" ht="60" customHeight="1" x14ac:dyDescent="0.35">
      <c r="O341" s="2">
        <v>3.25</v>
      </c>
      <c r="Q341" s="3">
        <v>46091</v>
      </c>
      <c r="R341" s="58">
        <v>0.8256944444444444</v>
      </c>
      <c r="T341" s="2">
        <f t="shared" si="23"/>
        <v>44</v>
      </c>
      <c r="Z341" s="27" t="s">
        <v>242</v>
      </c>
      <c r="AA341" s="27" t="s">
        <v>199</v>
      </c>
      <c r="AB341" s="27">
        <v>9</v>
      </c>
      <c r="AC341" s="27" t="s">
        <v>55</v>
      </c>
      <c r="AD341" s="27" t="s">
        <v>55</v>
      </c>
      <c r="AE341" s="27" t="s">
        <v>55</v>
      </c>
    </row>
    <row r="342" spans="1:58" ht="60" customHeight="1" x14ac:dyDescent="0.35">
      <c r="O342" s="2">
        <v>3.25</v>
      </c>
      <c r="Q342" s="3">
        <v>46094</v>
      </c>
      <c r="R342" s="58">
        <v>0.75208333333333333</v>
      </c>
      <c r="T342" s="2">
        <f t="shared" si="23"/>
        <v>47</v>
      </c>
      <c r="Z342" s="27" t="s">
        <v>100</v>
      </c>
      <c r="AA342" s="27" t="s">
        <v>1085</v>
      </c>
      <c r="AB342" s="27">
        <v>9</v>
      </c>
      <c r="AC342" s="27" t="s">
        <v>55</v>
      </c>
      <c r="AD342" s="27" t="s">
        <v>55</v>
      </c>
      <c r="AE342" s="27" t="s">
        <v>55</v>
      </c>
    </row>
    <row r="343" spans="1:58" ht="60" customHeight="1" x14ac:dyDescent="0.35">
      <c r="O343" s="2">
        <v>3</v>
      </c>
      <c r="Q343" s="3">
        <v>46098</v>
      </c>
      <c r="R343" s="58">
        <v>0.73611111111111116</v>
      </c>
      <c r="T343" s="2">
        <f t="shared" si="23"/>
        <v>51</v>
      </c>
      <c r="Z343" s="27" t="s">
        <v>131</v>
      </c>
      <c r="AA343" s="27" t="s">
        <v>112</v>
      </c>
      <c r="AB343" s="27">
        <v>9</v>
      </c>
      <c r="AC343" s="27" t="s">
        <v>55</v>
      </c>
      <c r="AD343" s="27" t="s">
        <v>55</v>
      </c>
      <c r="AE343" s="27" t="s">
        <v>55</v>
      </c>
    </row>
    <row r="344" spans="1:58" ht="60" customHeight="1" x14ac:dyDescent="0.35">
      <c r="O344" s="2">
        <v>3</v>
      </c>
      <c r="Q344" s="3">
        <v>46105</v>
      </c>
      <c r="R344" s="58">
        <v>0.73263888888888884</v>
      </c>
      <c r="T344" s="2">
        <f t="shared" si="23"/>
        <v>58</v>
      </c>
      <c r="Z344" s="27" t="s">
        <v>407</v>
      </c>
      <c r="AA344" s="27" t="s">
        <v>203</v>
      </c>
      <c r="AB344" s="27">
        <v>9</v>
      </c>
      <c r="AC344" s="27" t="s">
        <v>55</v>
      </c>
      <c r="AD344" s="27" t="s">
        <v>55</v>
      </c>
      <c r="AE344" s="27" t="s">
        <v>55</v>
      </c>
    </row>
    <row r="345" spans="1:58" ht="60" customHeight="1" x14ac:dyDescent="0.35">
      <c r="O345" s="2">
        <v>3.25</v>
      </c>
      <c r="Q345" s="3">
        <v>46112</v>
      </c>
      <c r="R345" s="58">
        <v>0.8041666666666667</v>
      </c>
      <c r="T345" s="2">
        <f t="shared" si="23"/>
        <v>65</v>
      </c>
      <c r="Z345" s="27" t="s">
        <v>407</v>
      </c>
      <c r="AA345" s="27" t="s">
        <v>1187</v>
      </c>
      <c r="AB345" s="27">
        <v>9</v>
      </c>
      <c r="AC345" s="27" t="s">
        <v>55</v>
      </c>
      <c r="AD345" s="27" t="s">
        <v>55</v>
      </c>
      <c r="AE345" s="27" t="s">
        <v>1186</v>
      </c>
      <c r="AF345" s="118" t="s">
        <v>55</v>
      </c>
      <c r="AG345" s="118" t="s">
        <v>55</v>
      </c>
      <c r="AH345" s="118" t="s">
        <v>55</v>
      </c>
      <c r="AI345" s="118" t="s">
        <v>55</v>
      </c>
      <c r="AJ345" s="118" t="s">
        <v>55</v>
      </c>
      <c r="AK345" s="118" t="s">
        <v>55</v>
      </c>
      <c r="AL345" s="118">
        <v>125.13</v>
      </c>
      <c r="AM345" s="118">
        <v>10.3</v>
      </c>
      <c r="AN345" s="118">
        <f>AL345-AM345</f>
        <v>114.83</v>
      </c>
      <c r="AO345" s="118" t="s">
        <v>55</v>
      </c>
      <c r="AP345" s="118" t="s">
        <v>55</v>
      </c>
      <c r="AQ345" s="118" t="s">
        <v>55</v>
      </c>
    </row>
    <row r="346" spans="1:58" ht="60" customHeight="1" x14ac:dyDescent="0.35"/>
    <row r="347" spans="1:58" ht="60" customHeight="1" x14ac:dyDescent="0.35">
      <c r="A347" s="22">
        <v>18</v>
      </c>
      <c r="B347" s="135" t="s">
        <v>1050</v>
      </c>
      <c r="C347" s="43">
        <v>44228</v>
      </c>
      <c r="D347" s="43">
        <v>46048</v>
      </c>
      <c r="E347" s="44">
        <f t="shared" si="13"/>
        <v>1820</v>
      </c>
      <c r="F347" s="44">
        <f t="shared" si="14"/>
        <v>4.9863013698630141</v>
      </c>
      <c r="G347" s="44">
        <f t="shared" si="15"/>
        <v>6.833333333333333</v>
      </c>
      <c r="H347" s="56"/>
      <c r="J347" s="2">
        <v>4132</v>
      </c>
      <c r="Q347" s="3">
        <v>46056</v>
      </c>
      <c r="R347" s="58">
        <v>0.68611111111111112</v>
      </c>
      <c r="T347" s="2">
        <f t="shared" ref="T347:T361" si="24">Q347-$D$347</f>
        <v>8</v>
      </c>
      <c r="Z347" s="27" t="s">
        <v>55</v>
      </c>
      <c r="AA347" s="27" t="s">
        <v>55</v>
      </c>
      <c r="AB347" s="27" t="s">
        <v>55</v>
      </c>
      <c r="AC347" s="27" t="s">
        <v>55</v>
      </c>
      <c r="AD347" s="27" t="s">
        <v>55</v>
      </c>
      <c r="AE347" s="27" t="s">
        <v>55</v>
      </c>
      <c r="BF347" s="2" t="s">
        <v>840</v>
      </c>
    </row>
    <row r="348" spans="1:58" ht="60" customHeight="1" x14ac:dyDescent="0.35">
      <c r="O348" s="2" t="s">
        <v>851</v>
      </c>
      <c r="Q348" s="3">
        <v>46059</v>
      </c>
      <c r="R348" s="58">
        <v>0.45347222222222222</v>
      </c>
      <c r="T348" s="2">
        <f t="shared" si="24"/>
        <v>11</v>
      </c>
      <c r="Z348" s="27" t="s">
        <v>691</v>
      </c>
      <c r="AA348" s="27" t="s">
        <v>110</v>
      </c>
      <c r="AB348" s="27">
        <v>11</v>
      </c>
      <c r="AC348" s="27" t="s">
        <v>55</v>
      </c>
      <c r="AD348" s="27" t="s">
        <v>55</v>
      </c>
      <c r="AE348" s="27" t="s">
        <v>55</v>
      </c>
    </row>
    <row r="349" spans="1:58" ht="60" customHeight="1" x14ac:dyDescent="0.35">
      <c r="O349" s="2">
        <v>2.25</v>
      </c>
      <c r="Q349" s="3">
        <v>46062</v>
      </c>
      <c r="R349" s="58">
        <v>0.5229166666666667</v>
      </c>
      <c r="T349" s="2">
        <f t="shared" si="24"/>
        <v>14</v>
      </c>
      <c r="Z349" s="27" t="s">
        <v>440</v>
      </c>
      <c r="AA349" s="27" t="s">
        <v>407</v>
      </c>
      <c r="AB349" s="27">
        <v>11</v>
      </c>
      <c r="AC349" s="27" t="s">
        <v>55</v>
      </c>
      <c r="AD349" s="27" t="s">
        <v>55</v>
      </c>
      <c r="AE349" s="27" t="s">
        <v>55</v>
      </c>
    </row>
    <row r="350" spans="1:58" ht="60" customHeight="1" x14ac:dyDescent="0.35">
      <c r="C350" s="3"/>
      <c r="O350" s="2">
        <v>2.25</v>
      </c>
      <c r="Q350" s="3">
        <v>46066</v>
      </c>
      <c r="R350" s="58">
        <v>0.7715277777777777</v>
      </c>
      <c r="T350" s="2">
        <f t="shared" si="24"/>
        <v>18</v>
      </c>
      <c r="Z350" s="27" t="s">
        <v>891</v>
      </c>
      <c r="AA350" s="27" t="s">
        <v>111</v>
      </c>
      <c r="AB350" s="27">
        <v>11</v>
      </c>
      <c r="AC350" s="27" t="s">
        <v>55</v>
      </c>
      <c r="AD350" s="27" t="s">
        <v>55</v>
      </c>
      <c r="AE350" s="27" t="s">
        <v>55</v>
      </c>
    </row>
    <row r="351" spans="1:58" ht="60" customHeight="1" x14ac:dyDescent="0.35">
      <c r="C351" s="3"/>
      <c r="O351" s="2">
        <v>2</v>
      </c>
      <c r="Q351" s="3">
        <v>46070</v>
      </c>
      <c r="R351" s="58">
        <v>0.81111111111111112</v>
      </c>
      <c r="T351" s="2">
        <f t="shared" si="24"/>
        <v>22</v>
      </c>
      <c r="Z351" s="27" t="s">
        <v>200</v>
      </c>
      <c r="AA351" s="27" t="s">
        <v>911</v>
      </c>
      <c r="AB351" s="27">
        <v>11</v>
      </c>
      <c r="AC351" s="27" t="s">
        <v>55</v>
      </c>
      <c r="AD351" s="27" t="s">
        <v>55</v>
      </c>
      <c r="AE351" s="27" t="s">
        <v>55</v>
      </c>
    </row>
    <row r="352" spans="1:58" ht="60" customHeight="1" x14ac:dyDescent="0.35">
      <c r="C352" s="3"/>
      <c r="O352" s="2">
        <v>2.25</v>
      </c>
      <c r="Q352" s="3">
        <v>46074</v>
      </c>
      <c r="R352" s="58">
        <v>0.47499999999999998</v>
      </c>
      <c r="T352" s="2">
        <f t="shared" si="24"/>
        <v>26</v>
      </c>
      <c r="Z352" s="27" t="s">
        <v>184</v>
      </c>
      <c r="AA352" s="27" t="s">
        <v>167</v>
      </c>
      <c r="AB352" s="27">
        <v>11</v>
      </c>
      <c r="AC352" s="27" t="s">
        <v>55</v>
      </c>
      <c r="AD352" s="27" t="s">
        <v>55</v>
      </c>
      <c r="AE352" s="27" t="s">
        <v>55</v>
      </c>
      <c r="BF352" s="2" t="s">
        <v>437</v>
      </c>
    </row>
    <row r="353" spans="1:58" ht="60" customHeight="1" x14ac:dyDescent="0.35">
      <c r="C353" s="3"/>
      <c r="O353" s="2">
        <v>2</v>
      </c>
      <c r="Q353" s="3">
        <v>46077</v>
      </c>
      <c r="R353" s="58">
        <v>0.76388888888888884</v>
      </c>
      <c r="T353" s="2">
        <f t="shared" si="24"/>
        <v>29</v>
      </c>
      <c r="Z353" s="27" t="s">
        <v>944</v>
      </c>
      <c r="AA353" s="27" t="s">
        <v>943</v>
      </c>
      <c r="AB353" s="27">
        <v>11</v>
      </c>
      <c r="AC353" s="27" t="s">
        <v>55</v>
      </c>
      <c r="AD353" s="27" t="s">
        <v>55</v>
      </c>
      <c r="AE353" s="27" t="s">
        <v>55</v>
      </c>
      <c r="BF353" s="2" t="s">
        <v>962</v>
      </c>
    </row>
    <row r="354" spans="1:58" ht="60" customHeight="1" x14ac:dyDescent="0.35">
      <c r="C354" s="3"/>
      <c r="O354" s="2">
        <v>2</v>
      </c>
      <c r="Q354" s="3">
        <v>46080</v>
      </c>
      <c r="R354" s="58">
        <v>0.51041666666666663</v>
      </c>
      <c r="T354" s="2">
        <f t="shared" si="24"/>
        <v>32</v>
      </c>
      <c r="Z354" s="27" t="s">
        <v>773</v>
      </c>
      <c r="AA354" s="27" t="s">
        <v>961</v>
      </c>
      <c r="AB354" s="27">
        <v>11</v>
      </c>
      <c r="AC354" s="27" t="s">
        <v>55</v>
      </c>
      <c r="AD354" s="27" t="s">
        <v>55</v>
      </c>
      <c r="AE354" s="27" t="s">
        <v>55</v>
      </c>
    </row>
    <row r="355" spans="1:58" ht="60" customHeight="1" x14ac:dyDescent="0.35">
      <c r="C355" s="3"/>
      <c r="O355" s="2">
        <v>2</v>
      </c>
      <c r="Q355" s="3">
        <v>46084</v>
      </c>
      <c r="R355" s="58">
        <v>0.79027777777777775</v>
      </c>
      <c r="T355" s="2">
        <f t="shared" si="24"/>
        <v>36</v>
      </c>
      <c r="Z355" s="27" t="s">
        <v>1001</v>
      </c>
      <c r="AA355" s="27" t="s">
        <v>1000</v>
      </c>
      <c r="AB355" s="27">
        <v>11</v>
      </c>
      <c r="AC355" s="27" t="s">
        <v>55</v>
      </c>
      <c r="AD355" s="27" t="s">
        <v>55</v>
      </c>
      <c r="AE355" s="27" t="s">
        <v>55</v>
      </c>
    </row>
    <row r="356" spans="1:58" ht="60" customHeight="1" x14ac:dyDescent="0.35">
      <c r="C356" s="3"/>
      <c r="O356" s="2">
        <v>2</v>
      </c>
      <c r="Q356" s="3">
        <v>46088</v>
      </c>
      <c r="R356" s="58">
        <v>0.42152777777777778</v>
      </c>
      <c r="T356" s="2">
        <f t="shared" si="24"/>
        <v>40</v>
      </c>
      <c r="Z356" s="27" t="s">
        <v>317</v>
      </c>
      <c r="AA356" s="27" t="s">
        <v>1016</v>
      </c>
      <c r="AB356" s="27">
        <v>11</v>
      </c>
      <c r="AC356" s="27" t="s">
        <v>55</v>
      </c>
      <c r="AD356" s="27" t="s">
        <v>55</v>
      </c>
      <c r="AE356" s="27" t="s">
        <v>55</v>
      </c>
    </row>
    <row r="357" spans="1:58" ht="60" customHeight="1" x14ac:dyDescent="0.35">
      <c r="C357" s="3"/>
      <c r="O357" s="2">
        <v>2</v>
      </c>
      <c r="Q357" s="3">
        <v>46091</v>
      </c>
      <c r="R357" s="58">
        <v>0.84722222222222221</v>
      </c>
      <c r="T357" s="2">
        <f t="shared" si="24"/>
        <v>43</v>
      </c>
      <c r="Z357" s="27" t="s">
        <v>838</v>
      </c>
      <c r="AA357" s="37" t="s">
        <v>1069</v>
      </c>
      <c r="AB357" s="27">
        <v>11</v>
      </c>
      <c r="AC357" s="27" t="s">
        <v>55</v>
      </c>
      <c r="AD357" s="27" t="s">
        <v>55</v>
      </c>
      <c r="AE357" s="27" t="s">
        <v>55</v>
      </c>
    </row>
    <row r="358" spans="1:58" ht="60" customHeight="1" x14ac:dyDescent="0.35">
      <c r="C358" s="3"/>
      <c r="O358" s="2">
        <v>2</v>
      </c>
      <c r="Q358" s="3">
        <v>46094</v>
      </c>
      <c r="R358" s="58">
        <v>0.74930555555555556</v>
      </c>
      <c r="T358" s="2">
        <f t="shared" si="24"/>
        <v>46</v>
      </c>
      <c r="Z358" s="27" t="s">
        <v>1083</v>
      </c>
      <c r="AA358" s="27" t="s">
        <v>1084</v>
      </c>
      <c r="AB358" s="27">
        <v>11</v>
      </c>
      <c r="AC358" s="27" t="s">
        <v>55</v>
      </c>
      <c r="AD358" s="27" t="s">
        <v>55</v>
      </c>
      <c r="AE358" s="27" t="s">
        <v>55</v>
      </c>
    </row>
    <row r="359" spans="1:58" ht="60" customHeight="1" x14ac:dyDescent="0.35">
      <c r="C359" s="3"/>
      <c r="O359" s="2">
        <v>2</v>
      </c>
      <c r="Q359" s="3">
        <v>46098</v>
      </c>
      <c r="R359" s="58">
        <v>0.73333333333333328</v>
      </c>
      <c r="T359" s="2">
        <f t="shared" si="24"/>
        <v>50</v>
      </c>
      <c r="Z359" s="27" t="s">
        <v>987</v>
      </c>
      <c r="AA359" s="27" t="s">
        <v>1100</v>
      </c>
      <c r="AB359" s="27">
        <v>11</v>
      </c>
      <c r="AC359" s="27" t="s">
        <v>55</v>
      </c>
      <c r="AD359" s="27" t="s">
        <v>55</v>
      </c>
      <c r="AE359" s="27" t="s">
        <v>55</v>
      </c>
    </row>
    <row r="360" spans="1:58" ht="60" customHeight="1" x14ac:dyDescent="0.35">
      <c r="C360" s="3"/>
      <c r="O360" s="2">
        <v>2.25</v>
      </c>
      <c r="Q360" s="3">
        <v>46105</v>
      </c>
      <c r="R360" s="58">
        <v>0.74097222222222225</v>
      </c>
      <c r="T360" s="2">
        <f t="shared" si="24"/>
        <v>57</v>
      </c>
      <c r="Z360" s="37" t="s">
        <v>1141</v>
      </c>
      <c r="AA360" s="37" t="s">
        <v>1140</v>
      </c>
      <c r="AB360" s="27">
        <v>11</v>
      </c>
      <c r="AC360" s="27" t="s">
        <v>55</v>
      </c>
      <c r="AD360" s="27" t="s">
        <v>55</v>
      </c>
      <c r="AE360" s="27" t="s">
        <v>55</v>
      </c>
    </row>
    <row r="361" spans="1:58" ht="60" customHeight="1" x14ac:dyDescent="0.35">
      <c r="C361" s="3"/>
      <c r="O361" s="2">
        <v>2.25</v>
      </c>
      <c r="Q361" s="3">
        <v>46112</v>
      </c>
      <c r="R361" s="58">
        <v>0.7680555555555556</v>
      </c>
      <c r="T361" s="2">
        <f t="shared" si="24"/>
        <v>64</v>
      </c>
      <c r="Z361" s="27" t="s">
        <v>1166</v>
      </c>
      <c r="AA361" s="37" t="s">
        <v>1165</v>
      </c>
      <c r="AB361" s="27">
        <v>11</v>
      </c>
      <c r="AC361" s="27" t="s">
        <v>55</v>
      </c>
      <c r="AD361" s="27" t="s">
        <v>55</v>
      </c>
      <c r="AE361" s="27" t="s">
        <v>55</v>
      </c>
    </row>
    <row r="362" spans="1:58" ht="60" customHeight="1" x14ac:dyDescent="0.35">
      <c r="C362" s="3"/>
    </row>
    <row r="363" spans="1:58" ht="60" customHeight="1" x14ac:dyDescent="0.35">
      <c r="A363" s="22">
        <v>19</v>
      </c>
      <c r="B363" s="135" t="s">
        <v>1051</v>
      </c>
      <c r="C363" s="43">
        <v>45445</v>
      </c>
      <c r="D363" s="43">
        <v>46047</v>
      </c>
      <c r="E363" s="44">
        <f t="shared" si="13"/>
        <v>602</v>
      </c>
      <c r="F363" s="44">
        <f t="shared" si="14"/>
        <v>1.6493150684931508</v>
      </c>
      <c r="G363" s="44">
        <f t="shared" si="15"/>
        <v>1.7583333333333333</v>
      </c>
      <c r="J363" s="2" t="s">
        <v>842</v>
      </c>
      <c r="O363" s="2">
        <v>3</v>
      </c>
      <c r="Q363" s="3">
        <v>46056</v>
      </c>
      <c r="R363" s="58">
        <v>0.68819444444444444</v>
      </c>
      <c r="T363" s="2">
        <f t="shared" ref="T363:T377" si="25">Q363-$D$363</f>
        <v>9</v>
      </c>
      <c r="Z363" s="27" t="s">
        <v>88</v>
      </c>
      <c r="AA363" s="27" t="s">
        <v>208</v>
      </c>
      <c r="AB363" s="27">
        <f>T363</f>
        <v>9</v>
      </c>
      <c r="AC363" s="27" t="s">
        <v>55</v>
      </c>
      <c r="AD363" s="27" t="s">
        <v>55</v>
      </c>
      <c r="AE363" s="27" t="s">
        <v>55</v>
      </c>
    </row>
    <row r="364" spans="1:58" ht="60" customHeight="1" x14ac:dyDescent="0.35">
      <c r="O364" s="2">
        <v>3</v>
      </c>
      <c r="Q364" s="3">
        <v>46059</v>
      </c>
      <c r="R364" s="58">
        <v>0.45694444444444443</v>
      </c>
      <c r="T364" s="2">
        <f t="shared" si="25"/>
        <v>12</v>
      </c>
      <c r="Z364" s="27" t="s">
        <v>98</v>
      </c>
      <c r="AA364" s="27" t="s">
        <v>85</v>
      </c>
      <c r="AB364" s="27">
        <v>9</v>
      </c>
      <c r="AC364" s="27" t="s">
        <v>55</v>
      </c>
      <c r="AD364" s="27" t="s">
        <v>55</v>
      </c>
      <c r="AE364" s="27" t="s">
        <v>55</v>
      </c>
    </row>
    <row r="365" spans="1:58" ht="60" customHeight="1" x14ac:dyDescent="0.35">
      <c r="O365" s="2">
        <v>2.75</v>
      </c>
      <c r="Q365" s="3">
        <v>46062</v>
      </c>
      <c r="R365" s="58">
        <v>0.54305555555555551</v>
      </c>
      <c r="T365" s="2">
        <f t="shared" si="25"/>
        <v>15</v>
      </c>
      <c r="Z365" s="27" t="s">
        <v>131</v>
      </c>
      <c r="AA365" s="27" t="s">
        <v>873</v>
      </c>
      <c r="AB365" s="27">
        <v>9</v>
      </c>
      <c r="AC365" s="27" t="s">
        <v>55</v>
      </c>
      <c r="AD365" s="27" t="s">
        <v>55</v>
      </c>
      <c r="AE365" s="27" t="s">
        <v>55</v>
      </c>
    </row>
    <row r="366" spans="1:58" ht="60" customHeight="1" x14ac:dyDescent="0.35">
      <c r="O366" s="2">
        <v>3</v>
      </c>
      <c r="Q366" s="3">
        <v>46066</v>
      </c>
      <c r="R366" s="58">
        <v>0.77708333333333324</v>
      </c>
      <c r="T366" s="2">
        <f t="shared" si="25"/>
        <v>19</v>
      </c>
      <c r="Z366" s="27" t="s">
        <v>408</v>
      </c>
      <c r="AA366" s="27" t="s">
        <v>897</v>
      </c>
      <c r="AB366" s="27">
        <v>9</v>
      </c>
      <c r="AC366" s="27" t="s">
        <v>55</v>
      </c>
      <c r="AD366" s="27" t="s">
        <v>55</v>
      </c>
      <c r="AE366" s="27" t="s">
        <v>55</v>
      </c>
    </row>
    <row r="367" spans="1:58" ht="60" customHeight="1" x14ac:dyDescent="0.35">
      <c r="O367" s="2">
        <v>3</v>
      </c>
      <c r="Q367" s="3">
        <v>46070</v>
      </c>
      <c r="R367" s="58">
        <v>0.79374999999999996</v>
      </c>
      <c r="T367" s="2">
        <f t="shared" si="25"/>
        <v>23</v>
      </c>
      <c r="Z367" s="27" t="s">
        <v>577</v>
      </c>
      <c r="AA367" s="27" t="s">
        <v>905</v>
      </c>
      <c r="AB367" s="27">
        <v>9</v>
      </c>
      <c r="AC367" s="27" t="s">
        <v>55</v>
      </c>
      <c r="AD367" s="27" t="s">
        <v>55</v>
      </c>
      <c r="AE367" s="27" t="s">
        <v>55</v>
      </c>
    </row>
    <row r="368" spans="1:58" ht="60" customHeight="1" x14ac:dyDescent="0.35">
      <c r="O368" s="2">
        <v>2.75</v>
      </c>
      <c r="Q368" s="3">
        <v>46074</v>
      </c>
      <c r="R368" s="58">
        <v>0.49791666666666667</v>
      </c>
      <c r="T368" s="2">
        <f t="shared" si="25"/>
        <v>27</v>
      </c>
      <c r="Z368" s="27" t="s">
        <v>933</v>
      </c>
      <c r="AA368" s="27" t="s">
        <v>838</v>
      </c>
      <c r="AB368" s="27">
        <v>9</v>
      </c>
      <c r="AC368" s="27" t="s">
        <v>55</v>
      </c>
      <c r="AD368" s="27" t="s">
        <v>55</v>
      </c>
      <c r="AE368" s="27" t="s">
        <v>55</v>
      </c>
    </row>
    <row r="369" spans="1:58" ht="60" customHeight="1" x14ac:dyDescent="0.35">
      <c r="O369" s="2">
        <v>3</v>
      </c>
      <c r="Q369" s="3">
        <v>46077</v>
      </c>
      <c r="R369" s="58">
        <v>0.79166666666666663</v>
      </c>
      <c r="T369" s="2">
        <f t="shared" si="25"/>
        <v>30</v>
      </c>
      <c r="Z369" s="27" t="s">
        <v>693</v>
      </c>
      <c r="AA369" s="27" t="s">
        <v>957</v>
      </c>
      <c r="AB369" s="27">
        <v>9</v>
      </c>
      <c r="AC369" s="27" t="s">
        <v>55</v>
      </c>
      <c r="AD369" s="27" t="s">
        <v>55</v>
      </c>
      <c r="AE369" s="27" t="s">
        <v>55</v>
      </c>
    </row>
    <row r="370" spans="1:58" ht="60" customHeight="1" x14ac:dyDescent="0.35">
      <c r="O370" s="2">
        <v>3</v>
      </c>
      <c r="Q370" s="3">
        <v>46080</v>
      </c>
      <c r="R370" s="58">
        <v>0.54305555555555551</v>
      </c>
      <c r="T370" s="2">
        <f t="shared" si="25"/>
        <v>33</v>
      </c>
      <c r="Z370" s="27" t="s">
        <v>973</v>
      </c>
      <c r="AA370" s="27" t="s">
        <v>972</v>
      </c>
      <c r="AB370" s="27">
        <v>9</v>
      </c>
      <c r="AC370" s="27" t="s">
        <v>55</v>
      </c>
      <c r="AD370" s="27" t="s">
        <v>55</v>
      </c>
      <c r="AE370" s="27" t="s">
        <v>55</v>
      </c>
    </row>
    <row r="371" spans="1:58" ht="60" customHeight="1" x14ac:dyDescent="0.35">
      <c r="O371" s="2">
        <v>3</v>
      </c>
      <c r="Q371" s="3">
        <v>46084</v>
      </c>
      <c r="R371" s="58">
        <v>0.79583333333333328</v>
      </c>
      <c r="T371" s="2">
        <f t="shared" si="25"/>
        <v>37</v>
      </c>
      <c r="Z371" s="27" t="s">
        <v>1004</v>
      </c>
      <c r="AA371" s="27" t="s">
        <v>1005</v>
      </c>
      <c r="AB371" s="27">
        <v>9</v>
      </c>
      <c r="AC371" s="27" t="s">
        <v>55</v>
      </c>
      <c r="AD371" s="27" t="s">
        <v>55</v>
      </c>
      <c r="AE371" s="27" t="s">
        <v>55</v>
      </c>
    </row>
    <row r="372" spans="1:58" ht="60" customHeight="1" x14ac:dyDescent="0.35">
      <c r="O372" s="2">
        <v>2.75</v>
      </c>
      <c r="Q372" s="3">
        <v>46088</v>
      </c>
      <c r="R372" s="58">
        <v>0.41805555555555557</v>
      </c>
      <c r="T372" s="2">
        <f t="shared" si="25"/>
        <v>41</v>
      </c>
      <c r="Z372" s="27" t="s">
        <v>186</v>
      </c>
      <c r="AA372" s="27" t="s">
        <v>1015</v>
      </c>
      <c r="AB372" s="27">
        <v>9</v>
      </c>
      <c r="AC372" s="27" t="s">
        <v>55</v>
      </c>
      <c r="AD372" s="27" t="s">
        <v>55</v>
      </c>
      <c r="AE372" s="27" t="s">
        <v>55</v>
      </c>
    </row>
    <row r="373" spans="1:58" ht="60" customHeight="1" x14ac:dyDescent="0.35">
      <c r="O373" s="2">
        <v>2.75</v>
      </c>
      <c r="Q373" s="3">
        <v>46091</v>
      </c>
      <c r="R373" s="58">
        <v>0.83194444444444449</v>
      </c>
      <c r="T373" s="2">
        <f t="shared" si="25"/>
        <v>44</v>
      </c>
      <c r="Z373" s="27" t="s">
        <v>1057</v>
      </c>
      <c r="AA373" s="27" t="s">
        <v>1056</v>
      </c>
      <c r="AB373" s="27">
        <v>9</v>
      </c>
      <c r="AC373" s="27" t="s">
        <v>55</v>
      </c>
      <c r="AD373" s="27" t="s">
        <v>55</v>
      </c>
      <c r="AE373" s="27" t="s">
        <v>55</v>
      </c>
    </row>
    <row r="374" spans="1:58" ht="60" customHeight="1" x14ac:dyDescent="0.35">
      <c r="O374" s="2">
        <v>2.75</v>
      </c>
      <c r="Q374" s="3">
        <v>46094</v>
      </c>
      <c r="R374" s="58">
        <v>0.74583333333333335</v>
      </c>
      <c r="T374" s="2">
        <f t="shared" si="25"/>
        <v>47</v>
      </c>
      <c r="Z374" s="37" t="s">
        <v>1082</v>
      </c>
      <c r="AA374" s="37" t="s">
        <v>1081</v>
      </c>
      <c r="AB374" s="27">
        <v>9</v>
      </c>
      <c r="AC374" s="27" t="s">
        <v>55</v>
      </c>
      <c r="AD374" s="27" t="s">
        <v>55</v>
      </c>
      <c r="AE374" s="27" t="s">
        <v>55</v>
      </c>
    </row>
    <row r="375" spans="1:58" ht="60" customHeight="1" x14ac:dyDescent="0.35">
      <c r="O375" s="2">
        <v>2.75</v>
      </c>
      <c r="Q375" s="3">
        <v>46098</v>
      </c>
      <c r="R375" s="58">
        <v>0.74791666666666667</v>
      </c>
      <c r="T375" s="2">
        <f t="shared" si="25"/>
        <v>51</v>
      </c>
      <c r="Z375" s="27" t="s">
        <v>1106</v>
      </c>
      <c r="AA375" s="37" t="s">
        <v>1107</v>
      </c>
      <c r="AB375" s="27">
        <v>9</v>
      </c>
      <c r="AC375" s="27" t="s">
        <v>55</v>
      </c>
      <c r="AD375" s="27" t="s">
        <v>55</v>
      </c>
      <c r="AE375" s="27" t="s">
        <v>55</v>
      </c>
    </row>
    <row r="376" spans="1:58" ht="60" customHeight="1" x14ac:dyDescent="0.35">
      <c r="O376" s="2">
        <v>2.75</v>
      </c>
      <c r="Q376" s="3">
        <v>46105</v>
      </c>
      <c r="R376" s="58">
        <v>0.74861111111111112</v>
      </c>
      <c r="T376" s="2">
        <f t="shared" si="25"/>
        <v>58</v>
      </c>
      <c r="Z376" s="27" t="s">
        <v>1146</v>
      </c>
      <c r="AA376" s="27" t="s">
        <v>384</v>
      </c>
      <c r="AB376" s="27">
        <v>9</v>
      </c>
      <c r="AC376" s="27" t="s">
        <v>55</v>
      </c>
      <c r="AD376" s="27" t="s">
        <v>55</v>
      </c>
      <c r="AE376" s="27" t="s">
        <v>55</v>
      </c>
      <c r="BF376" s="2" t="s">
        <v>1147</v>
      </c>
    </row>
    <row r="377" spans="1:58" ht="60" customHeight="1" x14ac:dyDescent="0.35">
      <c r="O377" s="2">
        <v>2.75</v>
      </c>
      <c r="Q377" s="3">
        <v>46112</v>
      </c>
      <c r="R377" s="58">
        <v>0.76388888888888884</v>
      </c>
      <c r="T377" s="2">
        <f t="shared" si="25"/>
        <v>65</v>
      </c>
      <c r="Z377" s="27" t="s">
        <v>1162</v>
      </c>
      <c r="AA377" s="27" t="s">
        <v>1161</v>
      </c>
      <c r="AB377" s="27">
        <v>9</v>
      </c>
      <c r="AC377" s="27" t="s">
        <v>55</v>
      </c>
      <c r="AD377" s="27" t="s">
        <v>55</v>
      </c>
      <c r="AE377" s="27" t="s">
        <v>55</v>
      </c>
    </row>
    <row r="378" spans="1:58" ht="60" customHeight="1" x14ac:dyDescent="0.35"/>
    <row r="379" spans="1:58" ht="60" customHeight="1" x14ac:dyDescent="0.35">
      <c r="A379" s="22">
        <v>20</v>
      </c>
      <c r="B379" s="135" t="s">
        <v>937</v>
      </c>
      <c r="C379" s="43">
        <v>45283</v>
      </c>
      <c r="D379" s="43">
        <v>46065</v>
      </c>
      <c r="E379" s="44">
        <f t="shared" ref="E379:E403" si="26">D379-C379</f>
        <v>782</v>
      </c>
      <c r="F379" s="44">
        <f t="shared" ref="F379:F403" si="27">E379/365</f>
        <v>2.1424657534246574</v>
      </c>
      <c r="G379" s="44">
        <f t="shared" ref="G379:G403" si="28">(E379-180)/240</f>
        <v>2.5083333333333333</v>
      </c>
      <c r="H379" s="56"/>
      <c r="J379" s="2">
        <v>4117</v>
      </c>
      <c r="O379" s="2">
        <v>3.25</v>
      </c>
      <c r="Q379" s="3">
        <v>46074</v>
      </c>
      <c r="R379" s="58">
        <v>0.49375000000000002</v>
      </c>
      <c r="T379" s="2">
        <f t="shared" ref="T379:T390" si="29">Q379-$D$379</f>
        <v>9</v>
      </c>
      <c r="Z379" s="27" t="s">
        <v>930</v>
      </c>
      <c r="AA379" s="27" t="s">
        <v>931</v>
      </c>
      <c r="AB379" s="27">
        <f>'Pecore con maschi'!T379</f>
        <v>9</v>
      </c>
      <c r="AC379" s="27" t="s">
        <v>55</v>
      </c>
      <c r="AD379" s="27" t="s">
        <v>55</v>
      </c>
      <c r="AE379" s="27" t="s">
        <v>55</v>
      </c>
    </row>
    <row r="380" spans="1:58" ht="60" customHeight="1" x14ac:dyDescent="0.35">
      <c r="E380" s="44"/>
      <c r="F380" s="44"/>
      <c r="G380" s="44"/>
      <c r="O380" s="2">
        <v>3.25</v>
      </c>
      <c r="Q380" s="3">
        <v>46077</v>
      </c>
      <c r="R380" s="58">
        <v>0.79236111111111107</v>
      </c>
      <c r="T380" s="2">
        <f t="shared" si="29"/>
        <v>12</v>
      </c>
      <c r="Z380" s="27" t="s">
        <v>959</v>
      </c>
      <c r="AA380" s="27" t="s">
        <v>958</v>
      </c>
      <c r="AB380" s="27">
        <v>9</v>
      </c>
      <c r="AC380" s="27" t="s">
        <v>55</v>
      </c>
      <c r="AD380" s="27" t="s">
        <v>55</v>
      </c>
      <c r="AE380" s="27" t="s">
        <v>55</v>
      </c>
    </row>
    <row r="381" spans="1:58" ht="60" customHeight="1" x14ac:dyDescent="0.35">
      <c r="E381" s="44"/>
      <c r="F381" s="44"/>
      <c r="G381" s="44"/>
      <c r="O381" s="2">
        <v>3</v>
      </c>
      <c r="Q381" s="3">
        <v>46080</v>
      </c>
      <c r="R381" s="58">
        <v>0.55347222222222225</v>
      </c>
      <c r="T381" s="2">
        <f t="shared" si="29"/>
        <v>15</v>
      </c>
      <c r="Z381" s="37" t="s">
        <v>977</v>
      </c>
      <c r="AA381" s="27" t="s">
        <v>966</v>
      </c>
      <c r="AB381" s="27">
        <v>9</v>
      </c>
      <c r="AC381" s="27" t="s">
        <v>55</v>
      </c>
      <c r="AD381" s="27" t="s">
        <v>55</v>
      </c>
      <c r="AE381" s="27" t="s">
        <v>55</v>
      </c>
    </row>
    <row r="382" spans="1:58" ht="60" customHeight="1" x14ac:dyDescent="0.35">
      <c r="E382" s="44"/>
      <c r="F382" s="44"/>
      <c r="G382" s="44"/>
      <c r="O382" s="2">
        <v>3</v>
      </c>
      <c r="Q382" s="3">
        <v>46084</v>
      </c>
      <c r="R382" s="58">
        <v>0.77708333333333335</v>
      </c>
      <c r="T382" s="2">
        <f t="shared" si="29"/>
        <v>19</v>
      </c>
      <c r="Z382" s="27" t="s">
        <v>992</v>
      </c>
      <c r="AA382" s="27" t="s">
        <v>98</v>
      </c>
      <c r="AB382" s="27">
        <v>9</v>
      </c>
      <c r="AC382" s="27" t="s">
        <v>55</v>
      </c>
      <c r="AD382" s="27" t="s">
        <v>55</v>
      </c>
      <c r="AE382" s="27" t="s">
        <v>55</v>
      </c>
    </row>
    <row r="383" spans="1:58" ht="60" customHeight="1" x14ac:dyDescent="0.35">
      <c r="E383" s="44"/>
      <c r="F383" s="44"/>
      <c r="G383" s="44"/>
      <c r="O383" s="2">
        <v>3</v>
      </c>
      <c r="Q383" s="3">
        <v>46088</v>
      </c>
      <c r="R383" s="58">
        <v>0.41111111111111109</v>
      </c>
      <c r="T383" s="2">
        <f t="shared" si="29"/>
        <v>23</v>
      </c>
      <c r="Z383" s="27" t="s">
        <v>1012</v>
      </c>
      <c r="AA383" s="27" t="s">
        <v>1011</v>
      </c>
      <c r="AB383" s="27">
        <v>9</v>
      </c>
      <c r="AC383" s="27" t="s">
        <v>55</v>
      </c>
      <c r="AD383" s="27" t="s">
        <v>55</v>
      </c>
      <c r="AE383" s="27" t="s">
        <v>55</v>
      </c>
    </row>
    <row r="384" spans="1:58" ht="60" customHeight="1" x14ac:dyDescent="0.35">
      <c r="E384" s="44"/>
      <c r="F384" s="44"/>
      <c r="G384" s="44"/>
      <c r="O384" s="2">
        <v>3.25</v>
      </c>
      <c r="Q384" s="3">
        <v>46091</v>
      </c>
      <c r="R384" s="58">
        <v>0.8305555555555556</v>
      </c>
      <c r="T384" s="2">
        <f t="shared" si="29"/>
        <v>26</v>
      </c>
      <c r="Z384" s="27" t="s">
        <v>1055</v>
      </c>
      <c r="AA384" s="27" t="s">
        <v>139</v>
      </c>
      <c r="AB384" s="27">
        <v>9</v>
      </c>
      <c r="AC384" s="27" t="s">
        <v>55</v>
      </c>
      <c r="AD384" s="27" t="s">
        <v>55</v>
      </c>
      <c r="AE384" s="27" t="s">
        <v>55</v>
      </c>
    </row>
    <row r="385" spans="1:58" ht="60" customHeight="1" x14ac:dyDescent="0.35">
      <c r="E385" s="44"/>
      <c r="F385" s="44"/>
      <c r="G385" s="44"/>
      <c r="O385" s="2">
        <v>3.25</v>
      </c>
      <c r="Q385" s="3">
        <v>46094</v>
      </c>
      <c r="R385" s="58">
        <v>0.75416666666666665</v>
      </c>
      <c r="T385" s="2">
        <f t="shared" si="29"/>
        <v>29</v>
      </c>
      <c r="Z385" s="27" t="s">
        <v>1086</v>
      </c>
      <c r="AA385" s="27" t="s">
        <v>1087</v>
      </c>
      <c r="AB385" s="27">
        <v>9</v>
      </c>
      <c r="AC385" s="27" t="s">
        <v>55</v>
      </c>
      <c r="AD385" s="27" t="s">
        <v>55</v>
      </c>
      <c r="AE385" s="27" t="s">
        <v>55</v>
      </c>
    </row>
    <row r="386" spans="1:58" ht="60" customHeight="1" x14ac:dyDescent="0.35">
      <c r="E386" s="44"/>
      <c r="F386" s="44"/>
      <c r="G386" s="44"/>
      <c r="O386" s="2">
        <v>3</v>
      </c>
      <c r="Q386" s="3">
        <v>46098</v>
      </c>
      <c r="R386" s="58">
        <v>0.72430555555555554</v>
      </c>
      <c r="T386" s="2">
        <f t="shared" si="29"/>
        <v>33</v>
      </c>
      <c r="Z386" s="27" t="s">
        <v>1097</v>
      </c>
      <c r="AA386" s="27" t="s">
        <v>1096</v>
      </c>
      <c r="AB386" s="27">
        <v>9</v>
      </c>
      <c r="AC386" s="27" t="s">
        <v>55</v>
      </c>
      <c r="AD386" s="27" t="s">
        <v>55</v>
      </c>
      <c r="AE386" s="27" t="s">
        <v>55</v>
      </c>
    </row>
    <row r="387" spans="1:58" ht="60" customHeight="1" x14ac:dyDescent="0.35">
      <c r="E387" s="44"/>
      <c r="F387" s="44"/>
      <c r="G387" s="44"/>
      <c r="O387" s="2">
        <v>3</v>
      </c>
      <c r="Q387" s="3">
        <v>46101</v>
      </c>
      <c r="R387" s="58">
        <v>0.70208333333333328</v>
      </c>
      <c r="T387" s="2">
        <f t="shared" si="29"/>
        <v>36</v>
      </c>
      <c r="Z387" s="27" t="s">
        <v>1120</v>
      </c>
      <c r="AA387" s="27" t="s">
        <v>1121</v>
      </c>
      <c r="AB387" s="27">
        <v>9</v>
      </c>
      <c r="AC387" s="27" t="s">
        <v>55</v>
      </c>
      <c r="AD387" s="27" t="s">
        <v>55</v>
      </c>
      <c r="AE387" s="27" t="s">
        <v>55</v>
      </c>
    </row>
    <row r="388" spans="1:58" ht="60" customHeight="1" x14ac:dyDescent="0.35">
      <c r="E388" s="44"/>
      <c r="F388" s="44"/>
      <c r="G388" s="44"/>
      <c r="O388" s="2">
        <v>3</v>
      </c>
      <c r="Q388" s="3">
        <v>46105</v>
      </c>
      <c r="R388" s="58">
        <v>0.75069444444444444</v>
      </c>
      <c r="T388" s="2">
        <f t="shared" si="29"/>
        <v>40</v>
      </c>
      <c r="Z388" s="37" t="s">
        <v>1149</v>
      </c>
      <c r="AA388" s="37" t="s">
        <v>1148</v>
      </c>
      <c r="AB388" s="27">
        <v>9</v>
      </c>
      <c r="AC388" s="27" t="s">
        <v>55</v>
      </c>
      <c r="AD388" s="27" t="s">
        <v>55</v>
      </c>
      <c r="AE388" s="27" t="s">
        <v>55</v>
      </c>
    </row>
    <row r="389" spans="1:58" ht="60" customHeight="1" x14ac:dyDescent="0.35">
      <c r="E389" s="44"/>
      <c r="F389" s="44"/>
      <c r="G389" s="44"/>
      <c r="O389" s="2">
        <v>3</v>
      </c>
      <c r="Q389" s="3">
        <v>46108</v>
      </c>
      <c r="R389" s="58">
        <v>0.69444444444444442</v>
      </c>
      <c r="T389" s="2">
        <f t="shared" si="29"/>
        <v>43</v>
      </c>
      <c r="Z389" s="27" t="s">
        <v>1153</v>
      </c>
      <c r="AA389" s="27" t="s">
        <v>1152</v>
      </c>
      <c r="AB389" s="27">
        <v>9</v>
      </c>
      <c r="AC389" s="27" t="s">
        <v>55</v>
      </c>
      <c r="AD389" s="27" t="s">
        <v>55</v>
      </c>
      <c r="AE389" s="27" t="s">
        <v>55</v>
      </c>
    </row>
    <row r="390" spans="1:58" ht="60" customHeight="1" x14ac:dyDescent="0.35">
      <c r="E390" s="44"/>
      <c r="F390" s="44"/>
      <c r="G390" s="44"/>
      <c r="O390" s="2">
        <v>3</v>
      </c>
      <c r="Q390" s="3">
        <v>46112</v>
      </c>
      <c r="R390" s="58">
        <v>0.78402777777777777</v>
      </c>
      <c r="T390" s="2">
        <f t="shared" si="29"/>
        <v>47</v>
      </c>
      <c r="Z390" s="27" t="s">
        <v>1177</v>
      </c>
      <c r="AA390" s="37" t="s">
        <v>1176</v>
      </c>
      <c r="AB390" s="27">
        <v>9</v>
      </c>
      <c r="AC390" s="27" t="s">
        <v>55</v>
      </c>
      <c r="AD390" s="27" t="s">
        <v>55</v>
      </c>
      <c r="AE390" s="27" t="s">
        <v>55</v>
      </c>
    </row>
    <row r="391" spans="1:58" ht="60" customHeight="1" x14ac:dyDescent="0.35">
      <c r="E391" s="44"/>
      <c r="F391" s="44"/>
      <c r="G391" s="44"/>
    </row>
    <row r="392" spans="1:58" ht="60" customHeight="1" x14ac:dyDescent="0.35">
      <c r="A392" s="22">
        <v>21</v>
      </c>
      <c r="B392" s="135" t="s">
        <v>967</v>
      </c>
      <c r="C392" s="43">
        <v>45698</v>
      </c>
      <c r="D392" s="43">
        <v>46073</v>
      </c>
      <c r="E392" s="44">
        <f t="shared" si="26"/>
        <v>375</v>
      </c>
      <c r="F392" s="44">
        <f t="shared" si="27"/>
        <v>1.0273972602739727</v>
      </c>
      <c r="G392" s="44">
        <f>(E392-180)/240</f>
        <v>0.8125</v>
      </c>
      <c r="H392" s="38"/>
      <c r="J392" s="38" t="s">
        <v>842</v>
      </c>
      <c r="O392" s="2">
        <v>2.75</v>
      </c>
      <c r="Q392" s="3">
        <v>46080</v>
      </c>
      <c r="R392" s="58">
        <v>0.53749999999999998</v>
      </c>
      <c r="T392" s="2">
        <f t="shared" ref="T392:T401" si="30">Q392-$D$392</f>
        <v>7</v>
      </c>
      <c r="Z392" s="27" t="s">
        <v>647</v>
      </c>
      <c r="AA392" s="27" t="s">
        <v>838</v>
      </c>
      <c r="AB392" s="27">
        <v>9</v>
      </c>
      <c r="AC392" s="27" t="s">
        <v>55</v>
      </c>
      <c r="AD392" s="27" t="s">
        <v>55</v>
      </c>
      <c r="AE392" s="27" t="s">
        <v>55</v>
      </c>
      <c r="BF392" s="2" t="s">
        <v>968</v>
      </c>
    </row>
    <row r="393" spans="1:58" ht="60" customHeight="1" x14ac:dyDescent="0.35">
      <c r="G393" s="2">
        <v>1</v>
      </c>
      <c r="O393" s="2">
        <v>2.75</v>
      </c>
      <c r="Q393" s="3">
        <v>46084</v>
      </c>
      <c r="R393" s="58">
        <v>0.79097222222222219</v>
      </c>
      <c r="T393" s="2">
        <f t="shared" si="30"/>
        <v>11</v>
      </c>
      <c r="Z393" s="27" t="s">
        <v>647</v>
      </c>
      <c r="AA393" s="27" t="s">
        <v>267</v>
      </c>
      <c r="AB393" s="27">
        <v>9</v>
      </c>
      <c r="AC393" s="27" t="s">
        <v>55</v>
      </c>
      <c r="AD393" s="27" t="s">
        <v>55</v>
      </c>
      <c r="AE393" s="27" t="s">
        <v>55</v>
      </c>
    </row>
    <row r="394" spans="1:58" ht="60" customHeight="1" x14ac:dyDescent="0.35">
      <c r="O394" s="2">
        <v>3</v>
      </c>
      <c r="Q394" s="3">
        <v>46088</v>
      </c>
      <c r="R394" s="58">
        <v>0.44305555555555554</v>
      </c>
      <c r="T394" s="2">
        <f t="shared" si="30"/>
        <v>15</v>
      </c>
      <c r="Z394" s="27" t="s">
        <v>1026</v>
      </c>
      <c r="AA394" s="27" t="s">
        <v>1027</v>
      </c>
      <c r="AB394" s="27">
        <v>9</v>
      </c>
      <c r="AC394" s="27" t="s">
        <v>55</v>
      </c>
      <c r="AD394" s="27" t="s">
        <v>55</v>
      </c>
      <c r="AE394" s="27" t="s">
        <v>55</v>
      </c>
    </row>
    <row r="395" spans="1:58" ht="60" customHeight="1" x14ac:dyDescent="0.35">
      <c r="O395" s="2">
        <v>3</v>
      </c>
      <c r="Q395" s="3">
        <v>46091</v>
      </c>
      <c r="R395" s="58">
        <v>0.84305555555555556</v>
      </c>
      <c r="T395" s="2">
        <f t="shared" si="30"/>
        <v>18</v>
      </c>
      <c r="Z395" s="27" t="s">
        <v>472</v>
      </c>
      <c r="AA395" s="27" t="s">
        <v>1062</v>
      </c>
      <c r="AB395" s="27">
        <v>9</v>
      </c>
      <c r="AC395" s="27" t="s">
        <v>55</v>
      </c>
      <c r="AD395" s="27" t="s">
        <v>55</v>
      </c>
      <c r="AE395" s="27" t="s">
        <v>55</v>
      </c>
    </row>
    <row r="396" spans="1:58" ht="60" customHeight="1" x14ac:dyDescent="0.35">
      <c r="O396" s="2">
        <v>3</v>
      </c>
      <c r="Q396" s="3">
        <v>46094</v>
      </c>
      <c r="R396" s="58">
        <v>0.73333333333333328</v>
      </c>
      <c r="T396" s="2">
        <f t="shared" si="30"/>
        <v>21</v>
      </c>
      <c r="Z396" s="27" t="s">
        <v>355</v>
      </c>
      <c r="AA396" s="27" t="s">
        <v>1079</v>
      </c>
      <c r="AB396" s="27">
        <v>9</v>
      </c>
      <c r="AC396" s="27" t="s">
        <v>55</v>
      </c>
      <c r="AD396" s="27" t="s">
        <v>55</v>
      </c>
      <c r="AE396" s="27" t="s">
        <v>55</v>
      </c>
    </row>
    <row r="397" spans="1:58" ht="60" customHeight="1" x14ac:dyDescent="0.35">
      <c r="O397" s="2">
        <v>3</v>
      </c>
      <c r="Q397" s="3">
        <v>46098</v>
      </c>
      <c r="R397" s="58">
        <v>0.7055555555555556</v>
      </c>
      <c r="T397" s="2">
        <f t="shared" si="30"/>
        <v>25</v>
      </c>
      <c r="Z397" s="27" t="s">
        <v>838</v>
      </c>
      <c r="AA397" s="27" t="s">
        <v>299</v>
      </c>
      <c r="AB397" s="27">
        <v>9</v>
      </c>
      <c r="AC397" s="27" t="s">
        <v>55</v>
      </c>
      <c r="AD397" s="27" t="s">
        <v>55</v>
      </c>
      <c r="AE397" s="27" t="s">
        <v>55</v>
      </c>
    </row>
    <row r="398" spans="1:58" ht="60" customHeight="1" x14ac:dyDescent="0.35">
      <c r="O398" s="2">
        <v>3</v>
      </c>
      <c r="Q398" s="3">
        <v>46101</v>
      </c>
      <c r="R398" s="58">
        <v>0.70486111111111116</v>
      </c>
      <c r="T398" s="2">
        <f t="shared" si="30"/>
        <v>28</v>
      </c>
      <c r="Z398" s="27" t="s">
        <v>139</v>
      </c>
      <c r="AA398" s="27" t="s">
        <v>741</v>
      </c>
      <c r="AB398" s="27">
        <v>9</v>
      </c>
      <c r="AC398" s="27" t="s">
        <v>55</v>
      </c>
      <c r="AD398" s="27" t="s">
        <v>55</v>
      </c>
      <c r="AE398" s="27" t="s">
        <v>55</v>
      </c>
    </row>
    <row r="399" spans="1:58" ht="60" customHeight="1" x14ac:dyDescent="0.35">
      <c r="O399" s="2">
        <v>3</v>
      </c>
      <c r="Q399" s="3">
        <v>46105</v>
      </c>
      <c r="R399" s="58">
        <v>0.73611111111111116</v>
      </c>
      <c r="T399" s="2">
        <f t="shared" si="30"/>
        <v>32</v>
      </c>
      <c r="Z399" s="27" t="s">
        <v>1137</v>
      </c>
      <c r="AA399" s="37" t="s">
        <v>1136</v>
      </c>
      <c r="AB399" s="27">
        <v>9</v>
      </c>
      <c r="AC399" s="27" t="s">
        <v>55</v>
      </c>
      <c r="AD399" s="27" t="s">
        <v>55</v>
      </c>
      <c r="AE399" s="27" t="s">
        <v>55</v>
      </c>
    </row>
    <row r="400" spans="1:58" ht="60" customHeight="1" x14ac:dyDescent="0.35">
      <c r="O400" s="2">
        <v>3</v>
      </c>
      <c r="Q400" s="3">
        <v>46108</v>
      </c>
      <c r="R400" s="58">
        <v>0.69027777777777777</v>
      </c>
      <c r="T400" s="2">
        <f t="shared" si="30"/>
        <v>35</v>
      </c>
      <c r="Z400" s="27" t="s">
        <v>130</v>
      </c>
      <c r="AA400" s="27" t="s">
        <v>1151</v>
      </c>
      <c r="AB400" s="27">
        <v>9</v>
      </c>
      <c r="AC400" s="27" t="s">
        <v>55</v>
      </c>
      <c r="AD400" s="27" t="s">
        <v>55</v>
      </c>
      <c r="AE400" s="27" t="s">
        <v>55</v>
      </c>
    </row>
    <row r="401" spans="1:31" ht="60" customHeight="1" x14ac:dyDescent="0.35">
      <c r="O401" s="2">
        <v>3</v>
      </c>
      <c r="Q401" s="3">
        <v>46112</v>
      </c>
      <c r="R401" s="58">
        <v>0.79027777777777775</v>
      </c>
      <c r="T401" s="2">
        <f t="shared" si="30"/>
        <v>39</v>
      </c>
      <c r="Z401" s="27" t="s">
        <v>1180</v>
      </c>
      <c r="AA401" s="27" t="s">
        <v>959</v>
      </c>
      <c r="AB401" s="27">
        <v>9</v>
      </c>
      <c r="AC401" s="27" t="s">
        <v>55</v>
      </c>
      <c r="AD401" s="27" t="s">
        <v>55</v>
      </c>
      <c r="AE401" s="27" t="s">
        <v>55</v>
      </c>
    </row>
    <row r="402" spans="1:31" ht="60" customHeight="1" x14ac:dyDescent="0.35"/>
    <row r="403" spans="1:31" ht="60" customHeight="1" x14ac:dyDescent="0.35">
      <c r="A403" s="22">
        <v>22</v>
      </c>
      <c r="B403" s="135" t="s">
        <v>1033</v>
      </c>
      <c r="C403" s="43">
        <v>45698</v>
      </c>
      <c r="D403" s="43">
        <v>46072</v>
      </c>
      <c r="E403" s="44">
        <f t="shared" si="26"/>
        <v>374</v>
      </c>
      <c r="F403" s="44">
        <f t="shared" si="27"/>
        <v>1.0246575342465754</v>
      </c>
      <c r="G403" s="44">
        <f t="shared" si="28"/>
        <v>0.80833333333333335</v>
      </c>
      <c r="H403" s="56"/>
      <c r="J403" s="2">
        <v>4134</v>
      </c>
      <c r="O403" s="2">
        <v>3</v>
      </c>
      <c r="Q403" s="3">
        <v>46088</v>
      </c>
      <c r="R403" s="58">
        <v>0.41458333333333336</v>
      </c>
      <c r="T403" s="2">
        <f t="shared" ref="T403:T410" si="31">Q403-$D$403</f>
        <v>16</v>
      </c>
      <c r="Z403" s="27" t="s">
        <v>1014</v>
      </c>
      <c r="AA403" s="27" t="s">
        <v>691</v>
      </c>
      <c r="AB403" s="27">
        <f>T403</f>
        <v>16</v>
      </c>
      <c r="AC403" s="27" t="s">
        <v>55</v>
      </c>
      <c r="AD403" s="27" t="s">
        <v>55</v>
      </c>
      <c r="AE403" s="27" t="s">
        <v>55</v>
      </c>
    </row>
    <row r="404" spans="1:31" ht="60" customHeight="1" x14ac:dyDescent="0.35">
      <c r="O404" s="2">
        <v>3</v>
      </c>
      <c r="Q404" s="3">
        <v>46091</v>
      </c>
      <c r="R404" s="58">
        <v>0.83888888888888891</v>
      </c>
      <c r="T404" s="2">
        <f t="shared" si="31"/>
        <v>19</v>
      </c>
      <c r="Z404" s="27" t="s">
        <v>1014</v>
      </c>
      <c r="AA404" s="27" t="s">
        <v>721</v>
      </c>
      <c r="AB404" s="27">
        <v>16</v>
      </c>
      <c r="AC404" s="27" t="s">
        <v>55</v>
      </c>
      <c r="AD404" s="27" t="s">
        <v>55</v>
      </c>
      <c r="AE404" s="27" t="s">
        <v>55</v>
      </c>
    </row>
    <row r="405" spans="1:31" ht="60" customHeight="1" x14ac:dyDescent="0.35">
      <c r="O405" s="2">
        <v>3</v>
      </c>
      <c r="Q405" s="3">
        <v>46094</v>
      </c>
      <c r="R405" s="58">
        <v>0.73472222222222228</v>
      </c>
      <c r="T405" s="2">
        <f t="shared" si="31"/>
        <v>22</v>
      </c>
      <c r="Z405" s="27" t="s">
        <v>157</v>
      </c>
      <c r="AA405" s="27" t="s">
        <v>1080</v>
      </c>
      <c r="AB405" s="27">
        <v>16</v>
      </c>
      <c r="AC405" s="27" t="s">
        <v>55</v>
      </c>
      <c r="AD405" s="27" t="s">
        <v>55</v>
      </c>
      <c r="AE405" s="27" t="s">
        <v>55</v>
      </c>
    </row>
    <row r="406" spans="1:31" ht="60" customHeight="1" x14ac:dyDescent="0.35">
      <c r="O406" s="2">
        <v>3</v>
      </c>
      <c r="Q406" s="3">
        <v>46098</v>
      </c>
      <c r="R406" s="58">
        <v>0.72083333333333333</v>
      </c>
      <c r="T406" s="2">
        <f t="shared" si="31"/>
        <v>26</v>
      </c>
      <c r="Z406" s="27" t="s">
        <v>648</v>
      </c>
      <c r="AA406" s="37" t="s">
        <v>1095</v>
      </c>
      <c r="AB406" s="27">
        <v>16</v>
      </c>
      <c r="AC406" s="27" t="s">
        <v>55</v>
      </c>
      <c r="AD406" s="27" t="s">
        <v>55</v>
      </c>
      <c r="AE406" s="27" t="s">
        <v>55</v>
      </c>
    </row>
    <row r="407" spans="1:31" ht="60" customHeight="1" x14ac:dyDescent="0.35">
      <c r="O407" s="2">
        <v>3.25</v>
      </c>
      <c r="Q407" s="3">
        <v>46101</v>
      </c>
      <c r="R407" s="58">
        <v>0.70902777777777781</v>
      </c>
      <c r="T407" s="2">
        <f t="shared" si="31"/>
        <v>29</v>
      </c>
      <c r="Z407" s="27" t="s">
        <v>1122</v>
      </c>
      <c r="AA407" s="27" t="s">
        <v>130</v>
      </c>
      <c r="AB407" s="27">
        <v>16</v>
      </c>
      <c r="AC407" s="27" t="s">
        <v>55</v>
      </c>
      <c r="AD407" s="27" t="s">
        <v>55</v>
      </c>
      <c r="AE407" s="27" t="s">
        <v>55</v>
      </c>
    </row>
    <row r="408" spans="1:31" ht="60" customHeight="1" x14ac:dyDescent="0.35">
      <c r="O408" s="2">
        <v>3.25</v>
      </c>
      <c r="Q408" s="3">
        <v>46105</v>
      </c>
      <c r="R408" s="58">
        <v>0.74236111111111114</v>
      </c>
      <c r="T408" s="2">
        <f t="shared" si="31"/>
        <v>33</v>
      </c>
      <c r="Z408" s="27" t="s">
        <v>1142</v>
      </c>
      <c r="AA408" s="27" t="s">
        <v>461</v>
      </c>
      <c r="AB408" s="27">
        <v>16</v>
      </c>
      <c r="AC408" s="27" t="s">
        <v>55</v>
      </c>
      <c r="AD408" s="27" t="s">
        <v>55</v>
      </c>
      <c r="AE408" s="27" t="s">
        <v>55</v>
      </c>
    </row>
    <row r="409" spans="1:31" ht="60" customHeight="1" x14ac:dyDescent="0.35">
      <c r="O409" s="2">
        <v>3.25</v>
      </c>
      <c r="Q409" s="3">
        <v>46108</v>
      </c>
      <c r="R409" s="58">
        <v>0.69236111111111109</v>
      </c>
      <c r="T409" s="2">
        <f t="shared" si="31"/>
        <v>36</v>
      </c>
      <c r="Z409" s="27" t="s">
        <v>135</v>
      </c>
      <c r="AA409" s="27" t="s">
        <v>168</v>
      </c>
      <c r="AB409" s="27">
        <v>16</v>
      </c>
      <c r="AC409" s="27" t="s">
        <v>55</v>
      </c>
      <c r="AD409" s="27" t="s">
        <v>55</v>
      </c>
      <c r="AE409" s="27" t="s">
        <v>55</v>
      </c>
    </row>
    <row r="410" spans="1:31" ht="60" customHeight="1" x14ac:dyDescent="0.35">
      <c r="O410" s="2">
        <v>3.25</v>
      </c>
      <c r="Q410" s="3">
        <v>46112</v>
      </c>
      <c r="R410" s="58">
        <v>0.77152777777777781</v>
      </c>
      <c r="T410" s="2">
        <f t="shared" si="31"/>
        <v>40</v>
      </c>
      <c r="Z410" s="27" t="s">
        <v>521</v>
      </c>
      <c r="AA410" s="27" t="s">
        <v>1169</v>
      </c>
      <c r="AB410" s="27">
        <v>16</v>
      </c>
      <c r="AC410" s="27" t="s">
        <v>55</v>
      </c>
      <c r="AD410" s="27" t="s">
        <v>55</v>
      </c>
      <c r="AE410" s="27" t="s">
        <v>55</v>
      </c>
    </row>
    <row r="411" spans="1:31" ht="60" customHeight="1" x14ac:dyDescent="0.35"/>
    <row r="412" spans="1:31" ht="60" customHeight="1" x14ac:dyDescent="0.35"/>
    <row r="413" spans="1:31" ht="60" customHeight="1" x14ac:dyDescent="0.35"/>
    <row r="414" spans="1:31" ht="60" customHeight="1" x14ac:dyDescent="0.35"/>
    <row r="415" spans="1:31" ht="60" customHeight="1" x14ac:dyDescent="0.35"/>
    <row r="416" spans="1:31" ht="60" customHeight="1" x14ac:dyDescent="0.35"/>
    <row r="417" ht="60" customHeight="1" x14ac:dyDescent="0.35"/>
    <row r="418" ht="60" customHeight="1" x14ac:dyDescent="0.35"/>
    <row r="419" ht="60" customHeight="1" x14ac:dyDescent="0.35"/>
    <row r="420" ht="60" customHeight="1" x14ac:dyDescent="0.35"/>
    <row r="421" ht="60" customHeight="1" x14ac:dyDescent="0.35"/>
    <row r="422" ht="60" customHeight="1" x14ac:dyDescent="0.35"/>
    <row r="423" ht="60" customHeight="1" x14ac:dyDescent="0.35"/>
    <row r="424" ht="60" customHeight="1" x14ac:dyDescent="0.35"/>
    <row r="425" ht="60" customHeight="1" x14ac:dyDescent="0.35"/>
    <row r="426" ht="60" customHeight="1" x14ac:dyDescent="0.35"/>
    <row r="427" ht="60" customHeight="1" x14ac:dyDescent="0.35"/>
    <row r="428" ht="60" customHeight="1" x14ac:dyDescent="0.35"/>
    <row r="429" ht="60" customHeight="1" x14ac:dyDescent="0.35"/>
    <row r="430" ht="60" customHeight="1" x14ac:dyDescent="0.35"/>
    <row r="431" ht="60" customHeight="1" x14ac:dyDescent="0.35"/>
    <row r="432" ht="60" customHeight="1" x14ac:dyDescent="0.35"/>
    <row r="433" ht="60" customHeight="1" x14ac:dyDescent="0.35"/>
    <row r="434" ht="60" customHeight="1" x14ac:dyDescent="0.35"/>
    <row r="435" ht="60" customHeight="1" x14ac:dyDescent="0.35"/>
    <row r="436" ht="60" customHeight="1" x14ac:dyDescent="0.35"/>
    <row r="437" ht="60" customHeight="1" x14ac:dyDescent="0.35"/>
    <row r="438" ht="60" customHeight="1" x14ac:dyDescent="0.35"/>
    <row r="439" ht="60" customHeight="1" x14ac:dyDescent="0.35"/>
    <row r="440" ht="60" customHeight="1" x14ac:dyDescent="0.35"/>
    <row r="441" ht="60" customHeight="1" x14ac:dyDescent="0.35"/>
    <row r="442" ht="60" customHeight="1" x14ac:dyDescent="0.35"/>
    <row r="443" ht="60" customHeight="1" x14ac:dyDescent="0.35"/>
    <row r="444" ht="60" customHeight="1" x14ac:dyDescent="0.35"/>
    <row r="445" ht="60" customHeight="1" x14ac:dyDescent="0.35"/>
    <row r="446" ht="60" customHeight="1" x14ac:dyDescent="0.35"/>
    <row r="447" ht="60" customHeight="1" x14ac:dyDescent="0.35"/>
    <row r="448" ht="60" customHeight="1" x14ac:dyDescent="0.35"/>
    <row r="449" ht="60" customHeight="1" x14ac:dyDescent="0.35"/>
    <row r="450" ht="60" customHeight="1" x14ac:dyDescent="0.35"/>
    <row r="451" ht="60" customHeight="1" x14ac:dyDescent="0.35"/>
    <row r="452" ht="60" customHeight="1" x14ac:dyDescent="0.35"/>
    <row r="453" ht="60" customHeight="1" x14ac:dyDescent="0.35"/>
    <row r="454" ht="60" customHeight="1" x14ac:dyDescent="0.35"/>
    <row r="455" ht="60" customHeight="1" x14ac:dyDescent="0.35"/>
    <row r="456" ht="60" customHeight="1" x14ac:dyDescent="0.35"/>
    <row r="457" ht="60" customHeight="1" x14ac:dyDescent="0.35"/>
    <row r="458" ht="60" customHeight="1" x14ac:dyDescent="0.35"/>
    <row r="459" ht="60" customHeight="1" x14ac:dyDescent="0.35"/>
    <row r="460" ht="60" customHeight="1" x14ac:dyDescent="0.35"/>
    <row r="461" ht="60" customHeight="1" x14ac:dyDescent="0.35"/>
    <row r="462" ht="60" customHeight="1" x14ac:dyDescent="0.35"/>
    <row r="463" ht="60" customHeight="1" x14ac:dyDescent="0.35"/>
    <row r="464" ht="60" customHeight="1" x14ac:dyDescent="0.35"/>
    <row r="465" ht="60" customHeight="1" x14ac:dyDescent="0.35"/>
    <row r="466" ht="60" customHeight="1" x14ac:dyDescent="0.35"/>
    <row r="467" ht="60" customHeight="1" x14ac:dyDescent="0.35"/>
    <row r="468" ht="60" customHeight="1" x14ac:dyDescent="0.35"/>
    <row r="469" ht="60" customHeight="1" x14ac:dyDescent="0.35"/>
    <row r="470" ht="60" customHeight="1" x14ac:dyDescent="0.35"/>
    <row r="471" ht="60" customHeight="1" x14ac:dyDescent="0.35"/>
    <row r="472" ht="60" customHeight="1" x14ac:dyDescent="0.35"/>
    <row r="473" ht="60" customHeight="1" x14ac:dyDescent="0.35"/>
    <row r="474" ht="60" customHeight="1" x14ac:dyDescent="0.35"/>
    <row r="475" ht="60" customHeight="1" x14ac:dyDescent="0.35"/>
    <row r="476" ht="60" customHeight="1" x14ac:dyDescent="0.35"/>
    <row r="477" ht="60" customHeight="1" x14ac:dyDescent="0.35"/>
    <row r="478" ht="60" customHeight="1" x14ac:dyDescent="0.35"/>
    <row r="479" ht="60" customHeight="1" x14ac:dyDescent="0.35"/>
    <row r="480" ht="60" customHeight="1" x14ac:dyDescent="0.35"/>
    <row r="481" ht="60" customHeight="1" x14ac:dyDescent="0.35"/>
    <row r="482" ht="60" customHeight="1" x14ac:dyDescent="0.35"/>
    <row r="483" ht="60" customHeight="1" x14ac:dyDescent="0.35"/>
    <row r="484" ht="60" customHeight="1" x14ac:dyDescent="0.35"/>
    <row r="485" ht="60" customHeight="1" x14ac:dyDescent="0.35"/>
    <row r="486" ht="60" customHeight="1" x14ac:dyDescent="0.35"/>
    <row r="487" ht="60" customHeight="1" x14ac:dyDescent="0.35"/>
    <row r="488" ht="60" customHeight="1" x14ac:dyDescent="0.35"/>
    <row r="489" ht="60" customHeight="1" x14ac:dyDescent="0.35"/>
    <row r="490" ht="60" customHeight="1" x14ac:dyDescent="0.35"/>
    <row r="491" ht="60" customHeight="1" x14ac:dyDescent="0.35"/>
    <row r="492" ht="60" customHeight="1" x14ac:dyDescent="0.35"/>
    <row r="493" ht="60" customHeight="1" x14ac:dyDescent="0.35"/>
    <row r="494" ht="60" customHeight="1" x14ac:dyDescent="0.35"/>
    <row r="495" ht="60" customHeight="1" x14ac:dyDescent="0.35"/>
    <row r="496" ht="60" customHeight="1" x14ac:dyDescent="0.35"/>
    <row r="497" ht="60" customHeight="1" x14ac:dyDescent="0.35"/>
    <row r="498" ht="60" customHeight="1" x14ac:dyDescent="0.35"/>
    <row r="499" ht="60" customHeight="1" x14ac:dyDescent="0.35"/>
    <row r="500" ht="60" customHeight="1" x14ac:dyDescent="0.35"/>
    <row r="501" ht="60" customHeight="1" x14ac:dyDescent="0.35"/>
    <row r="502" ht="60" customHeight="1" x14ac:dyDescent="0.35"/>
    <row r="503" ht="60" customHeight="1" x14ac:dyDescent="0.35"/>
    <row r="504" ht="60" customHeight="1" x14ac:dyDescent="0.35"/>
    <row r="505" ht="60" customHeight="1" x14ac:dyDescent="0.35"/>
    <row r="506" ht="60" customHeight="1" x14ac:dyDescent="0.35"/>
    <row r="507" ht="60" customHeight="1" x14ac:dyDescent="0.35"/>
    <row r="508" ht="60" customHeight="1" x14ac:dyDescent="0.35"/>
    <row r="509" ht="60" customHeight="1" x14ac:dyDescent="0.35"/>
    <row r="510" ht="60" customHeight="1" x14ac:dyDescent="0.35"/>
    <row r="511" ht="60" customHeight="1" x14ac:dyDescent="0.35"/>
    <row r="512" ht="60" customHeight="1" x14ac:dyDescent="0.35"/>
    <row r="513" ht="60" customHeight="1" x14ac:dyDescent="0.35"/>
    <row r="514" ht="60" customHeight="1" x14ac:dyDescent="0.35"/>
    <row r="515" ht="60" customHeight="1" x14ac:dyDescent="0.35"/>
    <row r="516" ht="60" customHeight="1" x14ac:dyDescent="0.35"/>
    <row r="517" ht="60" customHeight="1" x14ac:dyDescent="0.35"/>
    <row r="518" ht="60" customHeight="1" x14ac:dyDescent="0.35"/>
    <row r="519" ht="60" customHeight="1" x14ac:dyDescent="0.35"/>
    <row r="520" ht="60" customHeight="1" x14ac:dyDescent="0.35"/>
    <row r="521" ht="60" customHeight="1" x14ac:dyDescent="0.35"/>
    <row r="522" ht="60" customHeight="1" x14ac:dyDescent="0.35"/>
    <row r="523" ht="60" customHeight="1" x14ac:dyDescent="0.35"/>
    <row r="524" ht="60" customHeight="1" x14ac:dyDescent="0.35"/>
    <row r="525" ht="60" customHeight="1" x14ac:dyDescent="0.35"/>
    <row r="526" ht="60" customHeight="1" x14ac:dyDescent="0.35"/>
    <row r="527" ht="60" customHeight="1" x14ac:dyDescent="0.35"/>
    <row r="528" ht="60" customHeight="1" x14ac:dyDescent="0.35"/>
    <row r="529" ht="60" customHeight="1" x14ac:dyDescent="0.35"/>
    <row r="530" ht="60" customHeight="1" x14ac:dyDescent="0.35"/>
    <row r="531" ht="60" customHeight="1" x14ac:dyDescent="0.35"/>
    <row r="532" ht="60" customHeight="1" x14ac:dyDescent="0.35"/>
    <row r="533" ht="60" customHeight="1" x14ac:dyDescent="0.35"/>
    <row r="534" ht="60" customHeight="1" x14ac:dyDescent="0.35"/>
    <row r="535" ht="60" customHeight="1" x14ac:dyDescent="0.35"/>
    <row r="536" ht="60" customHeight="1" x14ac:dyDescent="0.35"/>
    <row r="537" ht="60" customHeight="1" x14ac:dyDescent="0.35"/>
    <row r="538" ht="60" customHeight="1" x14ac:dyDescent="0.35"/>
    <row r="539" ht="60" customHeight="1" x14ac:dyDescent="0.35"/>
    <row r="540" ht="60" customHeight="1" x14ac:dyDescent="0.35"/>
    <row r="541" ht="60" customHeight="1" x14ac:dyDescent="0.35"/>
    <row r="542" ht="60" customHeight="1" x14ac:dyDescent="0.35"/>
    <row r="543" ht="60" customHeight="1" x14ac:dyDescent="0.35"/>
    <row r="544" ht="60" customHeight="1" x14ac:dyDescent="0.35"/>
    <row r="545" ht="60" customHeight="1" x14ac:dyDescent="0.35"/>
    <row r="546" ht="60" customHeight="1" x14ac:dyDescent="0.35"/>
    <row r="547" ht="60" customHeight="1" x14ac:dyDescent="0.35"/>
    <row r="548" ht="60" customHeight="1" x14ac:dyDescent="0.35"/>
    <row r="549" ht="60" customHeight="1" x14ac:dyDescent="0.35"/>
    <row r="550" ht="60" customHeight="1" x14ac:dyDescent="0.35"/>
    <row r="551" ht="60" customHeight="1" x14ac:dyDescent="0.35"/>
    <row r="552" ht="60" customHeight="1" x14ac:dyDescent="0.35"/>
    <row r="553" ht="60" customHeight="1" x14ac:dyDescent="0.35"/>
    <row r="554" ht="60" customHeight="1" x14ac:dyDescent="0.35"/>
    <row r="555" ht="60" customHeight="1" x14ac:dyDescent="0.35"/>
    <row r="556" ht="60" customHeight="1" x14ac:dyDescent="0.35"/>
    <row r="557" ht="60" customHeight="1" x14ac:dyDescent="0.35"/>
    <row r="558" ht="60" customHeight="1" x14ac:dyDescent="0.35"/>
    <row r="559" ht="60" customHeight="1" x14ac:dyDescent="0.35"/>
    <row r="560" ht="60" customHeight="1" x14ac:dyDescent="0.35"/>
    <row r="561" ht="60" customHeight="1" x14ac:dyDescent="0.35"/>
    <row r="562" ht="60" customHeight="1" x14ac:dyDescent="0.35"/>
    <row r="563" ht="60" customHeight="1" x14ac:dyDescent="0.35"/>
    <row r="564" ht="60" customHeight="1" x14ac:dyDescent="0.35"/>
    <row r="565" ht="60" customHeight="1" x14ac:dyDescent="0.35"/>
    <row r="566" ht="60" customHeight="1" x14ac:dyDescent="0.35"/>
    <row r="567" ht="60" customHeight="1" x14ac:dyDescent="0.35"/>
    <row r="568" ht="60" customHeight="1" x14ac:dyDescent="0.35"/>
    <row r="569" ht="60" customHeight="1" x14ac:dyDescent="0.35"/>
    <row r="570" ht="60" customHeight="1" x14ac:dyDescent="0.35"/>
    <row r="571" ht="60" customHeight="1" x14ac:dyDescent="0.35"/>
    <row r="572" ht="60" customHeight="1" x14ac:dyDescent="0.35"/>
    <row r="573" ht="60" customHeight="1" x14ac:dyDescent="0.35"/>
    <row r="574" ht="60" customHeight="1" x14ac:dyDescent="0.35"/>
    <row r="575" ht="60" customHeight="1" x14ac:dyDescent="0.35"/>
    <row r="576" ht="60" customHeight="1" x14ac:dyDescent="0.35"/>
    <row r="577" ht="60" customHeight="1" x14ac:dyDescent="0.35"/>
    <row r="578" ht="60" customHeight="1" x14ac:dyDescent="0.35"/>
    <row r="579" ht="60" customHeight="1" x14ac:dyDescent="0.35"/>
    <row r="580" ht="60" customHeight="1" x14ac:dyDescent="0.35"/>
    <row r="581" ht="60" customHeight="1" x14ac:dyDescent="0.35"/>
    <row r="582" ht="60" customHeight="1" x14ac:dyDescent="0.35"/>
    <row r="583" ht="60" customHeight="1" x14ac:dyDescent="0.35"/>
    <row r="584" ht="60" customHeight="1" x14ac:dyDescent="0.35"/>
    <row r="585" ht="60" customHeight="1" x14ac:dyDescent="0.35"/>
    <row r="586" ht="60" customHeight="1" x14ac:dyDescent="0.35"/>
    <row r="587" ht="60" customHeight="1" x14ac:dyDescent="0.35"/>
    <row r="588" ht="60" customHeight="1" x14ac:dyDescent="0.35"/>
    <row r="589" ht="60" customHeight="1" x14ac:dyDescent="0.35"/>
    <row r="590" ht="60" customHeight="1" x14ac:dyDescent="0.35"/>
    <row r="591" ht="60" customHeight="1" x14ac:dyDescent="0.35"/>
    <row r="592" ht="60" customHeight="1" x14ac:dyDescent="0.35"/>
    <row r="593" ht="60" customHeight="1" x14ac:dyDescent="0.35"/>
    <row r="594" ht="60" customHeight="1" x14ac:dyDescent="0.35"/>
    <row r="595" ht="60" customHeight="1" x14ac:dyDescent="0.35"/>
    <row r="596" ht="60" customHeight="1" x14ac:dyDescent="0.35"/>
    <row r="597" ht="60" customHeight="1" x14ac:dyDescent="0.35"/>
    <row r="598" ht="60" customHeight="1" x14ac:dyDescent="0.35"/>
    <row r="599" ht="60" customHeight="1" x14ac:dyDescent="0.35"/>
    <row r="600" ht="60" customHeight="1" x14ac:dyDescent="0.35"/>
    <row r="601" ht="60" customHeight="1" x14ac:dyDescent="0.35"/>
    <row r="602" ht="60" customHeight="1" x14ac:dyDescent="0.35"/>
    <row r="603" ht="60" customHeight="1" x14ac:dyDescent="0.35"/>
    <row r="604" ht="60" customHeight="1" x14ac:dyDescent="0.35"/>
    <row r="605" ht="60" customHeight="1" x14ac:dyDescent="0.35"/>
    <row r="606" ht="60" customHeight="1" x14ac:dyDescent="0.35"/>
    <row r="607" ht="60" customHeight="1" x14ac:dyDescent="0.35"/>
    <row r="608" ht="60" customHeight="1" x14ac:dyDescent="0.35"/>
    <row r="609" ht="60" customHeight="1" x14ac:dyDescent="0.35"/>
    <row r="610" ht="60" customHeight="1" x14ac:dyDescent="0.35"/>
    <row r="611" ht="60" customHeight="1" x14ac:dyDescent="0.35"/>
    <row r="612" ht="60" customHeight="1" x14ac:dyDescent="0.35"/>
    <row r="613" ht="60" customHeight="1" x14ac:dyDescent="0.35"/>
    <row r="614" ht="60" customHeight="1" x14ac:dyDescent="0.35"/>
    <row r="615" ht="60" customHeight="1" x14ac:dyDescent="0.35"/>
    <row r="616" ht="60" customHeight="1" x14ac:dyDescent="0.35"/>
    <row r="617" ht="60" customHeight="1" x14ac:dyDescent="0.35"/>
    <row r="618" ht="60" customHeight="1" x14ac:dyDescent="0.35"/>
    <row r="619" ht="60" customHeight="1" x14ac:dyDescent="0.35"/>
    <row r="620" ht="60" customHeight="1" x14ac:dyDescent="0.35"/>
    <row r="621" ht="60" customHeight="1" x14ac:dyDescent="0.35"/>
    <row r="622" ht="60" customHeight="1" x14ac:dyDescent="0.35"/>
    <row r="623" ht="60" customHeight="1" x14ac:dyDescent="0.35"/>
    <row r="624" ht="60" customHeight="1" x14ac:dyDescent="0.35"/>
    <row r="625" ht="60" customHeight="1" x14ac:dyDescent="0.35"/>
    <row r="626" ht="60" customHeight="1" x14ac:dyDescent="0.35"/>
    <row r="627" ht="60" customHeight="1" x14ac:dyDescent="0.35"/>
    <row r="628" ht="60" customHeight="1" x14ac:dyDescent="0.35"/>
    <row r="629" ht="60" customHeight="1" x14ac:dyDescent="0.35"/>
    <row r="630" ht="60" customHeight="1" x14ac:dyDescent="0.35"/>
    <row r="631" ht="60" customHeight="1" x14ac:dyDescent="0.35"/>
    <row r="632" ht="60" customHeight="1" x14ac:dyDescent="0.35"/>
    <row r="633" ht="60" customHeight="1" x14ac:dyDescent="0.35"/>
    <row r="634" ht="60" customHeight="1" x14ac:dyDescent="0.35"/>
    <row r="635" ht="60" customHeight="1" x14ac:dyDescent="0.35"/>
    <row r="636" ht="60" customHeight="1" x14ac:dyDescent="0.35"/>
    <row r="637" ht="60" customHeight="1" x14ac:dyDescent="0.35"/>
    <row r="638" ht="60" customHeight="1" x14ac:dyDescent="0.35"/>
    <row r="639" ht="60" customHeight="1" x14ac:dyDescent="0.35"/>
    <row r="640" ht="60" customHeight="1" x14ac:dyDescent="0.35"/>
    <row r="641" ht="60" customHeight="1" x14ac:dyDescent="0.35"/>
    <row r="642" ht="60" customHeight="1" x14ac:dyDescent="0.35"/>
    <row r="643" ht="60" customHeight="1" x14ac:dyDescent="0.35"/>
    <row r="644" ht="60" customHeight="1" x14ac:dyDescent="0.35"/>
    <row r="645" ht="60" customHeight="1" x14ac:dyDescent="0.35"/>
    <row r="646" ht="60" customHeight="1" x14ac:dyDescent="0.35"/>
    <row r="647" ht="60" customHeight="1" x14ac:dyDescent="0.35"/>
    <row r="648" ht="60" customHeight="1" x14ac:dyDescent="0.35"/>
    <row r="649" ht="60" customHeight="1" x14ac:dyDescent="0.35"/>
    <row r="650" ht="60" customHeight="1" x14ac:dyDescent="0.35"/>
    <row r="651" ht="60" customHeight="1" x14ac:dyDescent="0.35"/>
    <row r="652" ht="60" customHeight="1" x14ac:dyDescent="0.35"/>
    <row r="653" ht="60" customHeight="1" x14ac:dyDescent="0.35"/>
    <row r="654" ht="60" customHeight="1" x14ac:dyDescent="0.35"/>
    <row r="655" ht="60" customHeight="1" x14ac:dyDescent="0.35"/>
    <row r="656" ht="60" customHeight="1" x14ac:dyDescent="0.35"/>
    <row r="657" ht="60" customHeight="1" x14ac:dyDescent="0.35"/>
    <row r="658" ht="60" customHeight="1" x14ac:dyDescent="0.35"/>
    <row r="659" ht="60" customHeight="1" x14ac:dyDescent="0.35"/>
    <row r="660" ht="60" customHeight="1" x14ac:dyDescent="0.35"/>
    <row r="661" ht="60" customHeight="1" x14ac:dyDescent="0.35"/>
    <row r="662" ht="60" customHeight="1" x14ac:dyDescent="0.35"/>
    <row r="663" ht="60" customHeight="1" x14ac:dyDescent="0.35"/>
    <row r="664" ht="60" customHeight="1" x14ac:dyDescent="0.35"/>
    <row r="665" ht="60" customHeight="1" x14ac:dyDescent="0.35"/>
    <row r="666" ht="60" customHeight="1" x14ac:dyDescent="0.35"/>
    <row r="667" ht="60" customHeight="1" x14ac:dyDescent="0.35"/>
    <row r="668" ht="60" customHeight="1" x14ac:dyDescent="0.35"/>
    <row r="669" ht="60" customHeight="1" x14ac:dyDescent="0.35"/>
    <row r="670" ht="60" customHeight="1" x14ac:dyDescent="0.35"/>
    <row r="671" ht="60" customHeight="1" x14ac:dyDescent="0.35"/>
    <row r="672" ht="60" customHeight="1" x14ac:dyDescent="0.35"/>
    <row r="673" ht="60" customHeight="1" x14ac:dyDescent="0.35"/>
    <row r="674" ht="60" customHeight="1" x14ac:dyDescent="0.35"/>
    <row r="675" ht="60" customHeight="1" x14ac:dyDescent="0.35"/>
    <row r="676" ht="60" customHeight="1" x14ac:dyDescent="0.35"/>
    <row r="677" ht="60" customHeight="1" x14ac:dyDescent="0.35"/>
    <row r="678" ht="60" customHeight="1" x14ac:dyDescent="0.35"/>
    <row r="679" ht="60" customHeight="1" x14ac:dyDescent="0.35"/>
    <row r="680" ht="60" customHeight="1" x14ac:dyDescent="0.35"/>
    <row r="681" ht="60" customHeight="1" x14ac:dyDescent="0.35"/>
    <row r="682" ht="60" customHeight="1" x14ac:dyDescent="0.35"/>
    <row r="683" ht="60" customHeight="1" x14ac:dyDescent="0.35"/>
    <row r="684" ht="60" customHeight="1" x14ac:dyDescent="0.35"/>
    <row r="685" ht="60" customHeight="1" x14ac:dyDescent="0.35"/>
    <row r="686" ht="60" customHeight="1" x14ac:dyDescent="0.35"/>
    <row r="687" ht="60" customHeight="1" x14ac:dyDescent="0.35"/>
    <row r="688" ht="60" customHeight="1" x14ac:dyDescent="0.35"/>
    <row r="689" ht="60" customHeight="1" x14ac:dyDescent="0.35"/>
    <row r="690" ht="60" customHeight="1" x14ac:dyDescent="0.35"/>
    <row r="691" ht="60" customHeight="1" x14ac:dyDescent="0.35"/>
    <row r="692" ht="60" customHeight="1" x14ac:dyDescent="0.35"/>
    <row r="693" ht="60" customHeight="1" x14ac:dyDescent="0.35"/>
    <row r="694" ht="60" customHeight="1" x14ac:dyDescent="0.35"/>
    <row r="695" ht="60" customHeight="1" x14ac:dyDescent="0.35"/>
    <row r="696" ht="60" customHeight="1" x14ac:dyDescent="0.35"/>
    <row r="697" ht="60" customHeight="1" x14ac:dyDescent="0.35"/>
    <row r="698" ht="60" customHeight="1" x14ac:dyDescent="0.35"/>
    <row r="699" ht="60" customHeight="1" x14ac:dyDescent="0.35"/>
    <row r="700" ht="60" customHeight="1" x14ac:dyDescent="0.35"/>
    <row r="701" ht="60" customHeight="1" x14ac:dyDescent="0.35"/>
    <row r="702" ht="60" customHeight="1" x14ac:dyDescent="0.35"/>
    <row r="703" ht="60" customHeight="1" x14ac:dyDescent="0.35"/>
    <row r="704" ht="60" customHeight="1" x14ac:dyDescent="0.35"/>
    <row r="705" ht="60" customHeight="1" x14ac:dyDescent="0.35"/>
    <row r="706" ht="60" customHeight="1" x14ac:dyDescent="0.35"/>
    <row r="707" ht="60" customHeight="1" x14ac:dyDescent="0.35"/>
    <row r="708" ht="60" customHeight="1" x14ac:dyDescent="0.35"/>
    <row r="709" ht="60" customHeight="1" x14ac:dyDescent="0.35"/>
    <row r="710" ht="60" customHeight="1" x14ac:dyDescent="0.35"/>
    <row r="711" ht="60" customHeight="1" x14ac:dyDescent="0.35"/>
    <row r="712" ht="60" customHeight="1" x14ac:dyDescent="0.35"/>
    <row r="713" ht="60" customHeight="1" x14ac:dyDescent="0.35"/>
    <row r="714" ht="60" customHeight="1" x14ac:dyDescent="0.35"/>
    <row r="715" ht="60" customHeight="1" x14ac:dyDescent="0.35"/>
    <row r="716" ht="60" customHeight="1" x14ac:dyDescent="0.35"/>
    <row r="717" ht="60" customHeight="1" x14ac:dyDescent="0.35"/>
    <row r="718" ht="60" customHeight="1" x14ac:dyDescent="0.35"/>
    <row r="719" ht="60" customHeight="1" x14ac:dyDescent="0.35"/>
    <row r="720" ht="60" customHeight="1" x14ac:dyDescent="0.35"/>
    <row r="721" ht="60" customHeight="1" x14ac:dyDescent="0.35"/>
    <row r="722" ht="60" customHeight="1" x14ac:dyDescent="0.35"/>
    <row r="723" ht="60" customHeight="1" x14ac:dyDescent="0.35"/>
    <row r="724" ht="60" customHeight="1" x14ac:dyDescent="0.35"/>
    <row r="725" ht="60" customHeight="1" x14ac:dyDescent="0.35"/>
    <row r="726" ht="60" customHeight="1" x14ac:dyDescent="0.35"/>
    <row r="727" ht="60" customHeight="1" x14ac:dyDescent="0.35"/>
    <row r="728" ht="60" customHeight="1" x14ac:dyDescent="0.35"/>
    <row r="729" ht="60" customHeight="1" x14ac:dyDescent="0.35"/>
    <row r="730" ht="60" customHeight="1" x14ac:dyDescent="0.35"/>
    <row r="731" ht="60" customHeight="1" x14ac:dyDescent="0.35"/>
    <row r="732" ht="60" customHeight="1" x14ac:dyDescent="0.35"/>
    <row r="733" ht="60" customHeight="1" x14ac:dyDescent="0.35"/>
    <row r="734" ht="60" customHeight="1" x14ac:dyDescent="0.35"/>
    <row r="735" ht="60" customHeight="1" x14ac:dyDescent="0.35"/>
    <row r="736" ht="60" customHeight="1" x14ac:dyDescent="0.35"/>
    <row r="737" ht="60" customHeight="1" x14ac:dyDescent="0.35"/>
    <row r="738" ht="60" customHeight="1" x14ac:dyDescent="0.35"/>
    <row r="739" ht="60" customHeight="1" x14ac:dyDescent="0.35"/>
    <row r="740" ht="60" customHeight="1" x14ac:dyDescent="0.35"/>
    <row r="741" ht="60" customHeight="1" x14ac:dyDescent="0.35"/>
    <row r="742" ht="60" customHeight="1" x14ac:dyDescent="0.35"/>
    <row r="743" ht="60" customHeight="1" x14ac:dyDescent="0.35"/>
    <row r="744" ht="60" customHeight="1" x14ac:dyDescent="0.35"/>
    <row r="745" ht="60" customHeight="1" x14ac:dyDescent="0.35"/>
    <row r="746" ht="60" customHeight="1" x14ac:dyDescent="0.35"/>
    <row r="747" ht="60" customHeight="1" x14ac:dyDescent="0.35"/>
    <row r="748" ht="60" customHeight="1" x14ac:dyDescent="0.35"/>
    <row r="749" ht="60" customHeight="1" x14ac:dyDescent="0.35"/>
    <row r="750" ht="60" customHeight="1" x14ac:dyDescent="0.35"/>
    <row r="751" ht="60" customHeight="1" x14ac:dyDescent="0.35"/>
    <row r="752" ht="60" customHeight="1" x14ac:dyDescent="0.35"/>
    <row r="753" ht="60" customHeight="1" x14ac:dyDescent="0.35"/>
    <row r="754" ht="60" customHeight="1" x14ac:dyDescent="0.35"/>
    <row r="755" ht="60" customHeight="1" x14ac:dyDescent="0.35"/>
    <row r="756" ht="60" customHeight="1" x14ac:dyDescent="0.35"/>
    <row r="757" ht="60" customHeight="1" x14ac:dyDescent="0.35"/>
    <row r="758" ht="60" customHeight="1" x14ac:dyDescent="0.35"/>
    <row r="759" ht="60" customHeight="1" x14ac:dyDescent="0.35"/>
    <row r="760" ht="60" customHeight="1" x14ac:dyDescent="0.35"/>
    <row r="761" ht="60" customHeight="1" x14ac:dyDescent="0.35"/>
    <row r="762" ht="60" customHeight="1" x14ac:dyDescent="0.35"/>
    <row r="763" ht="60" customHeight="1" x14ac:dyDescent="0.35"/>
    <row r="764" ht="60" customHeight="1" x14ac:dyDescent="0.35"/>
    <row r="765" ht="60" customHeight="1" x14ac:dyDescent="0.35"/>
    <row r="766" ht="60" customHeight="1" x14ac:dyDescent="0.35"/>
    <row r="767" ht="60" customHeight="1" x14ac:dyDescent="0.35"/>
    <row r="768" ht="60" customHeight="1" x14ac:dyDescent="0.35"/>
    <row r="769" ht="60" customHeight="1" x14ac:dyDescent="0.35"/>
    <row r="770" ht="60" customHeight="1" x14ac:dyDescent="0.35"/>
    <row r="771" ht="60" customHeight="1" x14ac:dyDescent="0.35"/>
    <row r="772" ht="60" customHeight="1" x14ac:dyDescent="0.35"/>
    <row r="773" ht="60" customHeight="1" x14ac:dyDescent="0.35"/>
    <row r="774" ht="60" customHeight="1" x14ac:dyDescent="0.35"/>
    <row r="775" ht="60" customHeight="1" x14ac:dyDescent="0.35"/>
    <row r="776" ht="60" customHeight="1" x14ac:dyDescent="0.35"/>
    <row r="777" ht="60" customHeight="1" x14ac:dyDescent="0.35"/>
    <row r="778" ht="60" customHeight="1" x14ac:dyDescent="0.35"/>
    <row r="779" ht="60" customHeight="1" x14ac:dyDescent="0.35"/>
    <row r="780" ht="60" customHeight="1" x14ac:dyDescent="0.35"/>
    <row r="781" ht="60" customHeight="1" x14ac:dyDescent="0.35"/>
    <row r="782" ht="60" customHeight="1" x14ac:dyDescent="0.35"/>
    <row r="783" ht="60" customHeight="1" x14ac:dyDescent="0.35"/>
    <row r="784" ht="60" customHeight="1" x14ac:dyDescent="0.35"/>
    <row r="785" ht="60" customHeight="1" x14ac:dyDescent="0.35"/>
    <row r="786" ht="60" customHeight="1" x14ac:dyDescent="0.35"/>
    <row r="787" ht="60" customHeight="1" x14ac:dyDescent="0.35"/>
    <row r="788" ht="60" customHeight="1" x14ac:dyDescent="0.35"/>
    <row r="789" ht="60" customHeight="1" x14ac:dyDescent="0.35"/>
    <row r="790" ht="60" customHeight="1" x14ac:dyDescent="0.35"/>
    <row r="791" ht="60" customHeight="1" x14ac:dyDescent="0.35"/>
    <row r="792" ht="60" customHeight="1" x14ac:dyDescent="0.35"/>
    <row r="793" ht="60" customHeight="1" x14ac:dyDescent="0.35"/>
    <row r="794" ht="60" customHeight="1" x14ac:dyDescent="0.35"/>
    <row r="795" ht="60" customHeight="1" x14ac:dyDescent="0.35"/>
    <row r="796" ht="60" customHeight="1" x14ac:dyDescent="0.35"/>
    <row r="797" ht="60" customHeight="1" x14ac:dyDescent="0.35"/>
    <row r="798" ht="60" customHeight="1" x14ac:dyDescent="0.35"/>
    <row r="799" ht="60" customHeight="1" x14ac:dyDescent="0.35"/>
    <row r="800" ht="60" customHeight="1" x14ac:dyDescent="0.35"/>
    <row r="801" ht="60" customHeight="1" x14ac:dyDescent="0.35"/>
    <row r="802" ht="60" customHeight="1" x14ac:dyDescent="0.35"/>
    <row r="803" ht="60" customHeight="1" x14ac:dyDescent="0.35"/>
    <row r="804" ht="60" customHeight="1" x14ac:dyDescent="0.35"/>
    <row r="805" ht="60" customHeight="1" x14ac:dyDescent="0.35"/>
    <row r="806" ht="60" customHeight="1" x14ac:dyDescent="0.35"/>
    <row r="807" ht="60" customHeight="1" x14ac:dyDescent="0.35"/>
    <row r="808" ht="60" customHeight="1" x14ac:dyDescent="0.35"/>
    <row r="809" ht="60" customHeight="1" x14ac:dyDescent="0.35"/>
    <row r="810" ht="60" customHeight="1" x14ac:dyDescent="0.35"/>
    <row r="811" ht="60" customHeight="1" x14ac:dyDescent="0.35"/>
    <row r="812" ht="60" customHeight="1" x14ac:dyDescent="0.35"/>
    <row r="813" ht="60" customHeight="1" x14ac:dyDescent="0.35"/>
    <row r="814" ht="60" customHeight="1" x14ac:dyDescent="0.35"/>
    <row r="815" ht="60" customHeight="1" x14ac:dyDescent="0.35"/>
    <row r="816" ht="60" customHeight="1" x14ac:dyDescent="0.35"/>
    <row r="817" ht="60" customHeight="1" x14ac:dyDescent="0.35"/>
    <row r="818" ht="60" customHeight="1" x14ac:dyDescent="0.35"/>
    <row r="819" ht="60" customHeight="1" x14ac:dyDescent="0.35"/>
    <row r="820" ht="60" customHeight="1" x14ac:dyDescent="0.35"/>
    <row r="821" ht="60" customHeight="1" x14ac:dyDescent="0.35"/>
    <row r="822" ht="60" customHeight="1" x14ac:dyDescent="0.35"/>
    <row r="823" ht="60" customHeight="1" x14ac:dyDescent="0.35"/>
    <row r="824" ht="60" customHeight="1" x14ac:dyDescent="0.35"/>
    <row r="825" ht="60" customHeight="1" x14ac:dyDescent="0.35"/>
    <row r="826" ht="60" customHeight="1" x14ac:dyDescent="0.35"/>
    <row r="827" ht="60" customHeight="1" x14ac:dyDescent="0.35"/>
    <row r="828" ht="60" customHeight="1" x14ac:dyDescent="0.35"/>
    <row r="829" ht="60" customHeight="1" x14ac:dyDescent="0.35"/>
    <row r="830" ht="60" customHeight="1" x14ac:dyDescent="0.35"/>
    <row r="831" ht="60" customHeight="1" x14ac:dyDescent="0.35"/>
    <row r="832" ht="60" customHeight="1" x14ac:dyDescent="0.35"/>
    <row r="833" ht="60" customHeight="1" x14ac:dyDescent="0.35"/>
    <row r="834" ht="60" customHeight="1" x14ac:dyDescent="0.35"/>
    <row r="835" ht="60" customHeight="1" x14ac:dyDescent="0.35"/>
    <row r="836" ht="60" customHeight="1" x14ac:dyDescent="0.35"/>
    <row r="837" ht="60" customHeight="1" x14ac:dyDescent="0.35"/>
    <row r="838" ht="60" customHeight="1" x14ac:dyDescent="0.35"/>
    <row r="839" ht="60" customHeight="1" x14ac:dyDescent="0.35"/>
    <row r="840" ht="60" customHeight="1" x14ac:dyDescent="0.35"/>
    <row r="841" ht="60" customHeight="1" x14ac:dyDescent="0.35"/>
    <row r="842" ht="60" customHeight="1" x14ac:dyDescent="0.35"/>
    <row r="843" ht="60" customHeight="1" x14ac:dyDescent="0.35"/>
    <row r="844" ht="60" customHeight="1" x14ac:dyDescent="0.35"/>
    <row r="845" ht="60" customHeight="1" x14ac:dyDescent="0.35"/>
    <row r="846" ht="60" customHeight="1" x14ac:dyDescent="0.35"/>
    <row r="847" ht="60" customHeight="1" x14ac:dyDescent="0.35"/>
    <row r="848" ht="60" customHeight="1" x14ac:dyDescent="0.35"/>
    <row r="849" ht="60" customHeight="1" x14ac:dyDescent="0.35"/>
    <row r="850" ht="60" customHeight="1" x14ac:dyDescent="0.35"/>
    <row r="851" ht="60" customHeight="1" x14ac:dyDescent="0.35"/>
    <row r="852" ht="60" customHeight="1" x14ac:dyDescent="0.35"/>
    <row r="853" ht="60" customHeight="1" x14ac:dyDescent="0.35"/>
    <row r="854" ht="60" customHeight="1" x14ac:dyDescent="0.35"/>
    <row r="855" ht="60" customHeight="1" x14ac:dyDescent="0.35"/>
    <row r="856" ht="60" customHeight="1" x14ac:dyDescent="0.35"/>
    <row r="857" ht="60" customHeight="1" x14ac:dyDescent="0.35"/>
    <row r="858" ht="60" customHeight="1" x14ac:dyDescent="0.35"/>
    <row r="859" ht="60" customHeight="1" x14ac:dyDescent="0.35"/>
    <row r="860" ht="60" customHeight="1" x14ac:dyDescent="0.35"/>
    <row r="861" ht="60" customHeight="1" x14ac:dyDescent="0.35"/>
    <row r="862" ht="60" customHeight="1" x14ac:dyDescent="0.35"/>
    <row r="863" ht="60" customHeight="1" x14ac:dyDescent="0.35"/>
    <row r="864" ht="60" customHeight="1" x14ac:dyDescent="0.35"/>
    <row r="865" ht="60" customHeight="1" x14ac:dyDescent="0.35"/>
    <row r="866" ht="60" customHeight="1" x14ac:dyDescent="0.35"/>
    <row r="867" ht="60" customHeight="1" x14ac:dyDescent="0.35"/>
    <row r="868" ht="60" customHeight="1" x14ac:dyDescent="0.35"/>
    <row r="869" ht="60" customHeight="1" x14ac:dyDescent="0.35"/>
    <row r="870" ht="60" customHeight="1" x14ac:dyDescent="0.35"/>
    <row r="871" ht="60" customHeight="1" x14ac:dyDescent="0.35"/>
    <row r="872" ht="60" customHeight="1" x14ac:dyDescent="0.35"/>
    <row r="873" ht="60" customHeight="1" x14ac:dyDescent="0.35"/>
    <row r="874" ht="60" customHeight="1" x14ac:dyDescent="0.35"/>
    <row r="875" ht="60" customHeight="1" x14ac:dyDescent="0.35"/>
    <row r="876" ht="60" customHeight="1" x14ac:dyDescent="0.35"/>
    <row r="877" ht="60" customHeight="1" x14ac:dyDescent="0.35"/>
    <row r="878" ht="60" customHeight="1" x14ac:dyDescent="0.35"/>
    <row r="879" ht="60" customHeight="1" x14ac:dyDescent="0.35"/>
    <row r="880" ht="60" customHeight="1" x14ac:dyDescent="0.35"/>
    <row r="881" ht="60" customHeight="1" x14ac:dyDescent="0.35"/>
    <row r="882" ht="60" customHeight="1" x14ac:dyDescent="0.35"/>
    <row r="883" ht="60" customHeight="1" x14ac:dyDescent="0.35"/>
    <row r="884" ht="60" customHeight="1" x14ac:dyDescent="0.35"/>
    <row r="885" ht="60" customHeight="1" x14ac:dyDescent="0.35"/>
    <row r="886" ht="60" customHeight="1" x14ac:dyDescent="0.35"/>
    <row r="887" ht="60" customHeight="1" x14ac:dyDescent="0.35"/>
    <row r="888" ht="60" customHeight="1" x14ac:dyDescent="0.35"/>
    <row r="889" ht="60" customHeight="1" x14ac:dyDescent="0.35"/>
    <row r="890" ht="60" customHeight="1" x14ac:dyDescent="0.35"/>
    <row r="891" ht="60" customHeight="1" x14ac:dyDescent="0.35"/>
    <row r="892" ht="60" customHeight="1" x14ac:dyDescent="0.35"/>
    <row r="893" ht="60" customHeight="1" x14ac:dyDescent="0.35"/>
    <row r="894" ht="60" customHeight="1" x14ac:dyDescent="0.35"/>
    <row r="895" ht="60" customHeight="1" x14ac:dyDescent="0.35"/>
    <row r="896" ht="60" customHeight="1" x14ac:dyDescent="0.35"/>
    <row r="897" ht="60" customHeight="1" x14ac:dyDescent="0.35"/>
    <row r="898" ht="60" customHeight="1" x14ac:dyDescent="0.35"/>
    <row r="899" ht="60" customHeight="1" x14ac:dyDescent="0.35"/>
    <row r="900" ht="60" customHeight="1" x14ac:dyDescent="0.35"/>
    <row r="901" ht="60" customHeight="1" x14ac:dyDescent="0.35"/>
    <row r="902" ht="60" customHeight="1" x14ac:dyDescent="0.35"/>
    <row r="903" ht="60" customHeight="1" x14ac:dyDescent="0.35"/>
    <row r="904" ht="60" customHeight="1" x14ac:dyDescent="0.35"/>
    <row r="905" ht="60" customHeight="1" x14ac:dyDescent="0.35"/>
    <row r="906" ht="60" customHeight="1" x14ac:dyDescent="0.35"/>
    <row r="907" ht="60" customHeight="1" x14ac:dyDescent="0.35"/>
    <row r="908" ht="60" customHeight="1" x14ac:dyDescent="0.35"/>
    <row r="909" ht="60" customHeight="1" x14ac:dyDescent="0.35"/>
    <row r="910" ht="60" customHeight="1" x14ac:dyDescent="0.35"/>
    <row r="911" ht="60" customHeight="1" x14ac:dyDescent="0.35"/>
    <row r="912" ht="60" customHeight="1" x14ac:dyDescent="0.35"/>
    <row r="913" ht="60" customHeight="1" x14ac:dyDescent="0.35"/>
    <row r="914" ht="60" customHeight="1" x14ac:dyDescent="0.35"/>
    <row r="915" ht="60" customHeight="1" x14ac:dyDescent="0.35"/>
    <row r="916" ht="60" customHeight="1" x14ac:dyDescent="0.35"/>
    <row r="917" ht="60" customHeight="1" x14ac:dyDescent="0.35"/>
    <row r="918" ht="60" customHeight="1" x14ac:dyDescent="0.35"/>
    <row r="919" ht="60" customHeight="1" x14ac:dyDescent="0.35"/>
    <row r="920" ht="60" customHeight="1" x14ac:dyDescent="0.35"/>
    <row r="921" ht="60" customHeight="1" x14ac:dyDescent="0.35"/>
    <row r="922" ht="60" customHeight="1" x14ac:dyDescent="0.35"/>
    <row r="923" ht="60" customHeight="1" x14ac:dyDescent="0.35"/>
    <row r="924" ht="60" customHeight="1" x14ac:dyDescent="0.35"/>
    <row r="925" ht="60" customHeight="1" x14ac:dyDescent="0.35"/>
    <row r="926" ht="60" customHeight="1" x14ac:dyDescent="0.35"/>
    <row r="927" ht="60" customHeight="1" x14ac:dyDescent="0.35"/>
    <row r="928" ht="60" customHeight="1" x14ac:dyDescent="0.35"/>
    <row r="929" ht="60" customHeight="1" x14ac:dyDescent="0.35"/>
    <row r="930" ht="60" customHeight="1" x14ac:dyDescent="0.35"/>
    <row r="931" ht="60" customHeight="1" x14ac:dyDescent="0.35"/>
    <row r="932" ht="60" customHeight="1" x14ac:dyDescent="0.35"/>
    <row r="933" ht="60" customHeight="1" x14ac:dyDescent="0.35"/>
    <row r="934" ht="60" customHeight="1" x14ac:dyDescent="0.35"/>
    <row r="935" ht="60" customHeight="1" x14ac:dyDescent="0.35"/>
    <row r="936" ht="60" customHeight="1" x14ac:dyDescent="0.35"/>
    <row r="937" ht="60" customHeight="1" x14ac:dyDescent="0.35"/>
    <row r="938" ht="60" customHeight="1" x14ac:dyDescent="0.35"/>
    <row r="939" ht="60" customHeight="1" x14ac:dyDescent="0.35"/>
    <row r="940" ht="60" customHeight="1" x14ac:dyDescent="0.35"/>
    <row r="941" ht="60" customHeight="1" x14ac:dyDescent="0.35"/>
    <row r="942" ht="60" customHeight="1" x14ac:dyDescent="0.35"/>
    <row r="943" ht="60" customHeight="1" x14ac:dyDescent="0.35"/>
    <row r="944" ht="60" customHeight="1" x14ac:dyDescent="0.35"/>
    <row r="945" ht="60" customHeight="1" x14ac:dyDescent="0.35"/>
    <row r="946" ht="60" customHeight="1" x14ac:dyDescent="0.35"/>
    <row r="947" ht="60" customHeight="1" x14ac:dyDescent="0.35"/>
    <row r="948" ht="60" customHeight="1" x14ac:dyDescent="0.35"/>
    <row r="949" ht="60" customHeight="1" x14ac:dyDescent="0.35"/>
    <row r="950" ht="60" customHeight="1" x14ac:dyDescent="0.35"/>
    <row r="951" ht="60" customHeight="1" x14ac:dyDescent="0.35"/>
    <row r="952" ht="60" customHeight="1" x14ac:dyDescent="0.35"/>
    <row r="953" ht="60" customHeight="1" x14ac:dyDescent="0.35"/>
    <row r="954" ht="60" customHeight="1" x14ac:dyDescent="0.35"/>
    <row r="955" ht="60" customHeight="1" x14ac:dyDescent="0.35"/>
    <row r="956" ht="60" customHeight="1" x14ac:dyDescent="0.35"/>
    <row r="957" ht="60" customHeight="1" x14ac:dyDescent="0.35"/>
    <row r="958" ht="60" customHeight="1" x14ac:dyDescent="0.35"/>
    <row r="959" ht="60" customHeight="1" x14ac:dyDescent="0.35"/>
    <row r="960" ht="60" customHeight="1" x14ac:dyDescent="0.35"/>
    <row r="961" ht="60" customHeight="1" x14ac:dyDescent="0.35"/>
    <row r="962" ht="60" customHeight="1" x14ac:dyDescent="0.35"/>
    <row r="963" ht="60" customHeight="1" x14ac:dyDescent="0.35"/>
    <row r="964" ht="60" customHeight="1" x14ac:dyDescent="0.35"/>
    <row r="965" ht="60" customHeight="1" x14ac:dyDescent="0.35"/>
    <row r="966" ht="60" customHeight="1" x14ac:dyDescent="0.35"/>
    <row r="967" ht="60" customHeight="1" x14ac:dyDescent="0.35"/>
    <row r="968" ht="60" customHeight="1" x14ac:dyDescent="0.35"/>
    <row r="969" ht="60" customHeight="1" x14ac:dyDescent="0.35"/>
    <row r="970" ht="60" customHeight="1" x14ac:dyDescent="0.35"/>
    <row r="971" ht="60" customHeight="1" x14ac:dyDescent="0.35"/>
    <row r="972" ht="60" customHeight="1" x14ac:dyDescent="0.35"/>
    <row r="973" ht="60" customHeight="1" x14ac:dyDescent="0.35"/>
    <row r="974" ht="60" customHeight="1" x14ac:dyDescent="0.35"/>
    <row r="975" ht="60" customHeight="1" x14ac:dyDescent="0.35"/>
    <row r="976" ht="60" customHeight="1" x14ac:dyDescent="0.35"/>
    <row r="977" ht="60" customHeight="1" x14ac:dyDescent="0.35"/>
    <row r="978" ht="60" customHeight="1" x14ac:dyDescent="0.35"/>
    <row r="979" ht="60" customHeight="1" x14ac:dyDescent="0.35"/>
    <row r="980" ht="60" customHeight="1" x14ac:dyDescent="0.35"/>
    <row r="981" ht="60" customHeight="1" x14ac:dyDescent="0.35"/>
    <row r="982" ht="60" customHeight="1" x14ac:dyDescent="0.35"/>
    <row r="983" ht="60" customHeight="1" x14ac:dyDescent="0.35"/>
    <row r="984" ht="60" customHeight="1" x14ac:dyDescent="0.35"/>
    <row r="985" ht="60" customHeight="1" x14ac:dyDescent="0.35"/>
    <row r="986" ht="60" customHeight="1" x14ac:dyDescent="0.35"/>
    <row r="987" ht="60" customHeight="1" x14ac:dyDescent="0.35"/>
    <row r="988" ht="60" customHeight="1" x14ac:dyDescent="0.35"/>
    <row r="989" ht="60" customHeight="1" x14ac:dyDescent="0.35"/>
    <row r="990" ht="60" customHeight="1" x14ac:dyDescent="0.35"/>
    <row r="991" ht="60" customHeight="1" x14ac:dyDescent="0.35"/>
    <row r="992" ht="60" customHeight="1" x14ac:dyDescent="0.35"/>
    <row r="993" ht="60" customHeight="1" x14ac:dyDescent="0.35"/>
    <row r="994" ht="60" customHeight="1" x14ac:dyDescent="0.35"/>
    <row r="995" ht="60" customHeight="1" x14ac:dyDescent="0.35"/>
    <row r="996" ht="60" customHeight="1" x14ac:dyDescent="0.35"/>
    <row r="997" ht="60" customHeight="1" x14ac:dyDescent="0.35"/>
    <row r="998" ht="60" customHeight="1" x14ac:dyDescent="0.35"/>
    <row r="999" ht="60" customHeight="1" x14ac:dyDescent="0.35"/>
    <row r="1000" ht="60" customHeight="1" x14ac:dyDescent="0.35"/>
    <row r="1001" ht="60" customHeight="1" x14ac:dyDescent="0.35"/>
    <row r="1002" ht="60" customHeight="1" x14ac:dyDescent="0.35"/>
    <row r="1003" ht="60" customHeight="1" x14ac:dyDescent="0.35"/>
    <row r="1004" ht="60" customHeight="1" x14ac:dyDescent="0.35"/>
    <row r="1005" ht="60" customHeight="1" x14ac:dyDescent="0.35"/>
    <row r="1006" ht="60" customHeight="1" x14ac:dyDescent="0.35"/>
    <row r="1007" ht="60" customHeight="1" x14ac:dyDescent="0.35"/>
    <row r="1008" ht="60" customHeight="1" x14ac:dyDescent="0.35"/>
    <row r="1009" ht="60" customHeight="1" x14ac:dyDescent="0.35"/>
    <row r="1010" ht="60" customHeight="1" x14ac:dyDescent="0.35"/>
    <row r="1011" ht="60" customHeight="1" x14ac:dyDescent="0.35"/>
    <row r="1012" ht="60" customHeight="1" x14ac:dyDescent="0.35"/>
    <row r="1013" ht="60" customHeight="1" x14ac:dyDescent="0.35"/>
    <row r="1014" ht="60" customHeight="1" x14ac:dyDescent="0.35"/>
    <row r="1015" ht="60" customHeight="1" x14ac:dyDescent="0.35"/>
    <row r="1016" ht="60" customHeight="1" x14ac:dyDescent="0.35"/>
    <row r="1017" ht="60" customHeight="1" x14ac:dyDescent="0.35"/>
    <row r="1018" ht="60" customHeight="1" x14ac:dyDescent="0.35"/>
    <row r="1019" ht="60" customHeight="1" x14ac:dyDescent="0.35"/>
    <row r="1020" ht="60" customHeight="1" x14ac:dyDescent="0.35"/>
    <row r="1021" ht="60" customHeight="1" x14ac:dyDescent="0.35"/>
    <row r="1022" ht="60" customHeight="1" x14ac:dyDescent="0.35"/>
    <row r="1023" ht="60" customHeight="1" x14ac:dyDescent="0.35"/>
    <row r="1024" ht="60" customHeight="1" x14ac:dyDescent="0.35"/>
    <row r="1025" ht="60" customHeight="1" x14ac:dyDescent="0.35"/>
    <row r="1026" ht="60" customHeight="1" x14ac:dyDescent="0.35"/>
    <row r="1027" ht="60" customHeight="1" x14ac:dyDescent="0.35"/>
    <row r="1028" ht="60" customHeight="1" x14ac:dyDescent="0.35"/>
    <row r="1029" ht="60" customHeight="1" x14ac:dyDescent="0.35"/>
    <row r="1030" ht="60" customHeight="1" x14ac:dyDescent="0.35"/>
    <row r="1031" ht="60" customHeight="1" x14ac:dyDescent="0.35"/>
    <row r="1032" ht="60" customHeight="1" x14ac:dyDescent="0.35"/>
    <row r="1033" ht="60" customHeight="1" x14ac:dyDescent="0.35"/>
    <row r="1034" ht="60" customHeight="1" x14ac:dyDescent="0.35"/>
    <row r="1035" ht="60" customHeight="1" x14ac:dyDescent="0.35"/>
    <row r="1036" ht="60" customHeight="1" x14ac:dyDescent="0.35"/>
    <row r="1037" ht="60" customHeight="1" x14ac:dyDescent="0.35"/>
    <row r="1038" ht="60" customHeight="1" x14ac:dyDescent="0.35"/>
    <row r="1039" ht="60" customHeight="1" x14ac:dyDescent="0.35"/>
    <row r="1040" ht="60" customHeight="1" x14ac:dyDescent="0.35"/>
    <row r="1041" ht="60" customHeight="1" x14ac:dyDescent="0.35"/>
    <row r="1042" ht="60" customHeight="1" x14ac:dyDescent="0.35"/>
    <row r="1043" ht="60" customHeight="1" x14ac:dyDescent="0.35"/>
    <row r="1044" ht="60" customHeight="1" x14ac:dyDescent="0.35"/>
    <row r="1045" ht="60" customHeight="1" x14ac:dyDescent="0.35"/>
    <row r="1046" ht="60" customHeight="1" x14ac:dyDescent="0.35"/>
    <row r="1047" ht="60" customHeight="1" x14ac:dyDescent="0.35"/>
    <row r="1048" ht="60" customHeight="1" x14ac:dyDescent="0.35"/>
    <row r="1049" ht="60" customHeight="1" x14ac:dyDescent="0.35"/>
    <row r="1050" ht="60" customHeight="1" x14ac:dyDescent="0.35"/>
    <row r="1051" ht="60" customHeight="1" x14ac:dyDescent="0.35"/>
    <row r="1052" ht="60" customHeight="1" x14ac:dyDescent="0.35"/>
    <row r="1053" ht="60" customHeight="1" x14ac:dyDescent="0.35"/>
    <row r="1054" ht="60" customHeight="1" x14ac:dyDescent="0.35"/>
    <row r="1055" ht="60" customHeight="1" x14ac:dyDescent="0.35"/>
    <row r="1056" ht="60" customHeight="1" x14ac:dyDescent="0.35"/>
    <row r="1057" ht="60" customHeight="1" x14ac:dyDescent="0.35"/>
    <row r="1058" ht="60" customHeight="1" x14ac:dyDescent="0.35"/>
    <row r="1059" ht="60" customHeight="1" x14ac:dyDescent="0.35"/>
    <row r="1060" ht="60" customHeight="1" x14ac:dyDescent="0.35"/>
    <row r="1061" ht="60" customHeight="1" x14ac:dyDescent="0.35"/>
    <row r="1062" ht="60" customHeight="1" x14ac:dyDescent="0.35"/>
    <row r="1063" ht="60" customHeight="1" x14ac:dyDescent="0.35"/>
    <row r="1064" ht="60" customHeight="1" x14ac:dyDescent="0.35"/>
    <row r="1065" ht="60" customHeight="1" x14ac:dyDescent="0.35"/>
    <row r="1066" ht="60" customHeight="1" x14ac:dyDescent="0.35"/>
    <row r="1067" ht="60" customHeight="1" x14ac:dyDescent="0.35"/>
    <row r="1068" ht="60" customHeight="1" x14ac:dyDescent="0.35"/>
    <row r="1069" ht="60" customHeight="1" x14ac:dyDescent="0.35"/>
    <row r="1070" ht="60" customHeight="1" x14ac:dyDescent="0.35"/>
    <row r="1071" ht="60" customHeight="1" x14ac:dyDescent="0.35"/>
    <row r="1072" ht="60" customHeight="1" x14ac:dyDescent="0.35"/>
    <row r="1073" ht="60" customHeight="1" x14ac:dyDescent="0.35"/>
    <row r="1074" ht="60" customHeight="1" x14ac:dyDescent="0.35"/>
    <row r="1075" ht="60" customHeight="1" x14ac:dyDescent="0.35"/>
    <row r="1076" ht="60" customHeight="1" x14ac:dyDescent="0.35"/>
    <row r="1077" ht="60" customHeight="1" x14ac:dyDescent="0.35"/>
    <row r="1078" ht="60" customHeight="1" x14ac:dyDescent="0.35"/>
    <row r="1079" ht="60" customHeight="1" x14ac:dyDescent="0.35"/>
    <row r="1080" ht="60" customHeight="1" x14ac:dyDescent="0.35"/>
    <row r="1081" ht="60" customHeight="1" x14ac:dyDescent="0.35"/>
    <row r="1082" ht="60" customHeight="1" x14ac:dyDescent="0.35"/>
    <row r="1083" ht="60" customHeight="1" x14ac:dyDescent="0.35"/>
    <row r="1084" ht="60" customHeight="1" x14ac:dyDescent="0.35"/>
    <row r="1085" ht="60" customHeight="1" x14ac:dyDescent="0.35"/>
    <row r="1086" ht="60" customHeight="1" x14ac:dyDescent="0.35"/>
    <row r="1087" ht="60" customHeight="1" x14ac:dyDescent="0.35"/>
    <row r="1088" ht="60" customHeight="1" x14ac:dyDescent="0.35"/>
    <row r="1089" ht="60" customHeight="1" x14ac:dyDescent="0.35"/>
    <row r="1090" ht="60" customHeight="1" x14ac:dyDescent="0.35"/>
    <row r="1091" ht="60" customHeight="1" x14ac:dyDescent="0.35"/>
    <row r="1092" ht="60" customHeight="1" x14ac:dyDescent="0.35"/>
    <row r="1093" ht="60" customHeight="1" x14ac:dyDescent="0.35"/>
    <row r="1094" ht="60" customHeight="1" x14ac:dyDescent="0.35"/>
    <row r="1095" ht="60" customHeight="1" x14ac:dyDescent="0.35"/>
    <row r="1096" ht="60" customHeight="1" x14ac:dyDescent="0.35"/>
    <row r="1097" ht="60" customHeight="1" x14ac:dyDescent="0.35"/>
    <row r="1098" ht="60" customHeight="1" x14ac:dyDescent="0.35"/>
    <row r="1099" ht="60" customHeight="1" x14ac:dyDescent="0.35"/>
    <row r="1100" ht="60" customHeight="1" x14ac:dyDescent="0.35"/>
    <row r="1101" ht="60" customHeight="1" x14ac:dyDescent="0.35"/>
    <row r="1102" ht="60" customHeight="1" x14ac:dyDescent="0.35"/>
    <row r="1103" ht="60" customHeight="1" x14ac:dyDescent="0.35"/>
    <row r="1104" ht="60" customHeight="1" x14ac:dyDescent="0.35"/>
    <row r="1105" ht="60" customHeight="1" x14ac:dyDescent="0.35"/>
    <row r="1106" ht="60" customHeight="1" x14ac:dyDescent="0.35"/>
    <row r="1107" ht="60" customHeight="1" x14ac:dyDescent="0.35"/>
    <row r="1108" ht="60" customHeight="1" x14ac:dyDescent="0.35"/>
    <row r="1109" ht="60" customHeight="1" x14ac:dyDescent="0.35"/>
    <row r="1110" ht="60" customHeight="1" x14ac:dyDescent="0.35"/>
    <row r="1111" ht="60" customHeight="1" x14ac:dyDescent="0.35"/>
    <row r="1112" ht="60" customHeight="1" x14ac:dyDescent="0.35"/>
    <row r="1113" ht="60" customHeight="1" x14ac:dyDescent="0.35"/>
    <row r="1114" ht="60" customHeight="1" x14ac:dyDescent="0.35"/>
    <row r="1115" ht="60" customHeight="1" x14ac:dyDescent="0.35"/>
    <row r="1116" ht="60" customHeight="1" x14ac:dyDescent="0.35"/>
    <row r="1117" ht="60" customHeight="1" x14ac:dyDescent="0.35"/>
    <row r="1118" ht="60" customHeight="1" x14ac:dyDescent="0.35"/>
    <row r="1119" ht="60" customHeight="1" x14ac:dyDescent="0.35"/>
    <row r="1120" ht="60" customHeight="1" x14ac:dyDescent="0.35"/>
    <row r="1121" ht="60" customHeight="1" x14ac:dyDescent="0.35"/>
    <row r="1122" ht="60" customHeight="1" x14ac:dyDescent="0.35"/>
    <row r="1123" ht="60" customHeight="1" x14ac:dyDescent="0.35"/>
    <row r="1124" ht="60" customHeight="1" x14ac:dyDescent="0.35"/>
    <row r="1125" ht="60" customHeight="1" x14ac:dyDescent="0.35"/>
    <row r="1126" ht="60" customHeight="1" x14ac:dyDescent="0.35"/>
    <row r="1127" ht="60" customHeight="1" x14ac:dyDescent="0.35"/>
    <row r="1128" ht="60" customHeight="1" x14ac:dyDescent="0.35"/>
    <row r="1129" ht="60" customHeight="1" x14ac:dyDescent="0.35"/>
    <row r="1130" ht="60" customHeight="1" x14ac:dyDescent="0.35"/>
    <row r="1131" ht="60" customHeight="1" x14ac:dyDescent="0.35"/>
    <row r="1132" ht="60" customHeight="1" x14ac:dyDescent="0.35"/>
    <row r="1133" ht="60" customHeight="1" x14ac:dyDescent="0.35"/>
    <row r="1134" ht="60" customHeight="1" x14ac:dyDescent="0.35"/>
    <row r="1135" ht="60" customHeight="1" x14ac:dyDescent="0.35"/>
    <row r="1136" ht="60" customHeight="1" x14ac:dyDescent="0.35"/>
    <row r="1137" ht="60" customHeight="1" x14ac:dyDescent="0.35"/>
    <row r="1138" ht="60" customHeight="1" x14ac:dyDescent="0.35"/>
    <row r="1139" ht="60" customHeight="1" x14ac:dyDescent="0.35"/>
    <row r="1140" ht="60" customHeight="1" x14ac:dyDescent="0.35"/>
    <row r="1141" ht="60" customHeight="1" x14ac:dyDescent="0.35"/>
    <row r="1142" ht="60" customHeight="1" x14ac:dyDescent="0.35"/>
    <row r="1143" ht="60" customHeight="1" x14ac:dyDescent="0.35"/>
    <row r="1144" ht="60" customHeight="1" x14ac:dyDescent="0.35"/>
    <row r="1145" ht="60" customHeight="1" x14ac:dyDescent="0.35"/>
    <row r="1146" ht="60" customHeight="1" x14ac:dyDescent="0.35"/>
    <row r="1147" ht="60" customHeight="1" x14ac:dyDescent="0.35"/>
    <row r="1148" ht="60" customHeight="1" x14ac:dyDescent="0.35"/>
    <row r="1149" ht="60" customHeight="1" x14ac:dyDescent="0.35"/>
    <row r="1150" ht="60" customHeight="1" x14ac:dyDescent="0.35"/>
    <row r="1151" ht="60" customHeight="1" x14ac:dyDescent="0.35"/>
    <row r="1152" ht="60" customHeight="1" x14ac:dyDescent="0.35"/>
    <row r="1153" ht="60" customHeight="1" x14ac:dyDescent="0.35"/>
    <row r="1154" ht="60" customHeight="1" x14ac:dyDescent="0.35"/>
    <row r="1155" ht="60" customHeight="1" x14ac:dyDescent="0.35"/>
    <row r="1156" ht="60" customHeight="1" x14ac:dyDescent="0.35"/>
    <row r="1157" ht="60" customHeight="1" x14ac:dyDescent="0.35"/>
    <row r="1158" ht="60" customHeight="1" x14ac:dyDescent="0.35"/>
    <row r="1159" ht="60" customHeight="1" x14ac:dyDescent="0.35"/>
    <row r="1160" ht="60" customHeight="1" x14ac:dyDescent="0.35"/>
    <row r="1161" ht="60" customHeight="1" x14ac:dyDescent="0.35"/>
    <row r="1162" ht="60" customHeight="1" x14ac:dyDescent="0.35"/>
    <row r="1163" ht="60" customHeight="1" x14ac:dyDescent="0.35"/>
    <row r="1164" ht="60" customHeight="1" x14ac:dyDescent="0.35"/>
    <row r="1165" ht="60" customHeight="1" x14ac:dyDescent="0.35"/>
    <row r="1166" ht="60" customHeight="1" x14ac:dyDescent="0.35"/>
    <row r="1167" ht="60" customHeight="1" x14ac:dyDescent="0.35"/>
    <row r="1168" ht="60" customHeight="1" x14ac:dyDescent="0.35"/>
    <row r="1169" ht="60" customHeight="1" x14ac:dyDescent="0.35"/>
    <row r="1170" ht="60" customHeight="1" x14ac:dyDescent="0.35"/>
    <row r="1171" ht="60" customHeight="1" x14ac:dyDescent="0.35"/>
    <row r="1172" ht="60" customHeight="1" x14ac:dyDescent="0.35"/>
    <row r="1173" ht="60" customHeight="1" x14ac:dyDescent="0.35"/>
    <row r="1174" ht="60" customHeight="1" x14ac:dyDescent="0.35"/>
    <row r="1175" ht="60" customHeight="1" x14ac:dyDescent="0.35"/>
    <row r="1176" ht="60" customHeight="1" x14ac:dyDescent="0.35"/>
    <row r="1177" ht="60" customHeight="1" x14ac:dyDescent="0.35"/>
    <row r="1178" ht="60" customHeight="1" x14ac:dyDescent="0.35"/>
    <row r="1179" ht="60" customHeight="1" x14ac:dyDescent="0.35"/>
    <row r="1180" ht="60" customHeight="1" x14ac:dyDescent="0.35"/>
    <row r="1181" ht="60" customHeight="1" x14ac:dyDescent="0.35"/>
    <row r="1182" ht="60" customHeight="1" x14ac:dyDescent="0.35"/>
    <row r="1183" ht="60" customHeight="1" x14ac:dyDescent="0.35"/>
    <row r="1184" ht="60" customHeight="1" x14ac:dyDescent="0.35"/>
    <row r="1185" ht="60" customHeight="1" x14ac:dyDescent="0.35"/>
    <row r="1186" ht="60" customHeight="1" x14ac:dyDescent="0.35"/>
    <row r="1187" ht="60" customHeight="1" x14ac:dyDescent="0.35"/>
    <row r="1188" ht="60" customHeight="1" x14ac:dyDescent="0.35"/>
    <row r="1189" ht="60" customHeight="1" x14ac:dyDescent="0.35"/>
    <row r="1190" ht="60" customHeight="1" x14ac:dyDescent="0.35"/>
    <row r="1191" ht="60" customHeight="1" x14ac:dyDescent="0.35"/>
    <row r="1192" ht="60" customHeight="1" x14ac:dyDescent="0.35"/>
    <row r="1193" ht="60" customHeight="1" x14ac:dyDescent="0.35"/>
    <row r="1194" ht="60" customHeight="1" x14ac:dyDescent="0.35"/>
    <row r="1195" ht="60" customHeight="1" x14ac:dyDescent="0.35"/>
    <row r="1196" ht="60" customHeight="1" x14ac:dyDescent="0.35"/>
    <row r="1197" ht="60" customHeight="1" x14ac:dyDescent="0.35"/>
    <row r="1198" ht="60" customHeight="1" x14ac:dyDescent="0.35"/>
    <row r="1199" ht="60" customHeight="1" x14ac:dyDescent="0.35"/>
    <row r="1200" ht="60" customHeight="1" x14ac:dyDescent="0.35"/>
    <row r="1201" ht="60" customHeight="1" x14ac:dyDescent="0.35"/>
    <row r="1202" ht="60" customHeight="1" x14ac:dyDescent="0.35"/>
    <row r="1203" ht="60" customHeight="1" x14ac:dyDescent="0.35"/>
    <row r="1204" ht="60" customHeight="1" x14ac:dyDescent="0.35"/>
    <row r="1205" ht="60" customHeight="1" x14ac:dyDescent="0.35"/>
    <row r="1206" ht="60" customHeight="1" x14ac:dyDescent="0.35"/>
    <row r="1207" ht="60" customHeight="1" x14ac:dyDescent="0.35"/>
    <row r="1208" ht="60" customHeight="1" x14ac:dyDescent="0.35"/>
    <row r="1209" ht="60" customHeight="1" x14ac:dyDescent="0.35"/>
    <row r="1210" ht="60" customHeight="1" x14ac:dyDescent="0.35"/>
    <row r="1211" ht="60" customHeight="1" x14ac:dyDescent="0.35"/>
    <row r="1212" ht="60" customHeight="1" x14ac:dyDescent="0.35"/>
    <row r="1213" ht="60" customHeight="1" x14ac:dyDescent="0.35"/>
    <row r="1214" ht="60" customHeight="1" x14ac:dyDescent="0.35"/>
    <row r="1215" ht="60" customHeight="1" x14ac:dyDescent="0.35"/>
    <row r="1216" ht="60" customHeight="1" x14ac:dyDescent="0.35"/>
    <row r="1217" ht="60" customHeight="1" x14ac:dyDescent="0.35"/>
    <row r="1218" ht="60" customHeight="1" x14ac:dyDescent="0.35"/>
    <row r="1219" ht="60" customHeight="1" x14ac:dyDescent="0.35"/>
    <row r="1220" ht="60" customHeight="1" x14ac:dyDescent="0.35"/>
    <row r="1221" ht="60" customHeight="1" x14ac:dyDescent="0.35"/>
    <row r="1222" ht="60" customHeight="1" x14ac:dyDescent="0.35"/>
    <row r="1223" ht="60" customHeight="1" x14ac:dyDescent="0.35"/>
    <row r="1224" ht="60" customHeight="1" x14ac:dyDescent="0.35"/>
    <row r="1225" ht="60" customHeight="1" x14ac:dyDescent="0.35"/>
    <row r="1226" ht="60" customHeight="1" x14ac:dyDescent="0.35"/>
    <row r="1227" ht="60" customHeight="1" x14ac:dyDescent="0.35"/>
    <row r="1228" ht="60" customHeight="1" x14ac:dyDescent="0.35"/>
    <row r="1229" ht="60" customHeight="1" x14ac:dyDescent="0.35"/>
    <row r="1230" ht="60" customHeight="1" x14ac:dyDescent="0.35"/>
    <row r="1231" ht="60" customHeight="1" x14ac:dyDescent="0.35"/>
    <row r="1232" ht="60" customHeight="1" x14ac:dyDescent="0.35"/>
    <row r="1233" ht="60" customHeight="1" x14ac:dyDescent="0.35"/>
    <row r="1234" ht="60" customHeight="1" x14ac:dyDescent="0.35"/>
    <row r="1235" ht="60" customHeight="1" x14ac:dyDescent="0.35"/>
    <row r="1236" ht="60" customHeight="1" x14ac:dyDescent="0.35"/>
    <row r="1237" ht="60" customHeight="1" x14ac:dyDescent="0.35"/>
    <row r="1238" ht="60" customHeight="1" x14ac:dyDescent="0.35"/>
    <row r="1239" ht="60" customHeight="1" x14ac:dyDescent="0.35"/>
    <row r="1240" ht="60" customHeight="1" x14ac:dyDescent="0.35"/>
    <row r="1241" ht="60" customHeight="1" x14ac:dyDescent="0.35"/>
    <row r="1242" ht="60" customHeight="1" x14ac:dyDescent="0.35"/>
    <row r="1243" ht="60" customHeight="1" x14ac:dyDescent="0.35"/>
    <row r="1244" ht="60" customHeight="1" x14ac:dyDescent="0.35"/>
    <row r="1245" ht="60" customHeight="1" x14ac:dyDescent="0.35"/>
    <row r="1246" ht="60" customHeight="1" x14ac:dyDescent="0.35"/>
    <row r="1247" ht="60" customHeight="1" x14ac:dyDescent="0.35"/>
    <row r="1248" ht="60" customHeight="1" x14ac:dyDescent="0.35"/>
    <row r="1249" ht="60" customHeight="1" x14ac:dyDescent="0.35"/>
    <row r="1250" ht="60" customHeight="1" x14ac:dyDescent="0.35"/>
    <row r="1251" ht="60" customHeight="1" x14ac:dyDescent="0.35"/>
    <row r="1252" ht="60" customHeight="1" x14ac:dyDescent="0.35"/>
    <row r="1253" ht="60" customHeight="1" x14ac:dyDescent="0.35"/>
    <row r="1254" ht="60" customHeight="1" x14ac:dyDescent="0.35"/>
    <row r="1255" ht="60" customHeight="1" x14ac:dyDescent="0.35"/>
    <row r="1256" ht="60" customHeight="1" x14ac:dyDescent="0.35"/>
    <row r="1257" ht="60" customHeight="1" x14ac:dyDescent="0.35"/>
    <row r="1258" ht="60" customHeight="1" x14ac:dyDescent="0.35"/>
    <row r="1259" ht="60" customHeight="1" x14ac:dyDescent="0.35"/>
    <row r="1260" ht="60" customHeight="1" x14ac:dyDescent="0.35"/>
    <row r="1261" ht="60" customHeight="1" x14ac:dyDescent="0.35"/>
    <row r="1262" ht="60" customHeight="1" x14ac:dyDescent="0.35"/>
    <row r="1263" ht="60" customHeight="1" x14ac:dyDescent="0.35"/>
    <row r="1264" ht="60" customHeight="1" x14ac:dyDescent="0.35"/>
    <row r="1265" ht="60" customHeight="1" x14ac:dyDescent="0.35"/>
    <row r="1266" ht="60" customHeight="1" x14ac:dyDescent="0.35"/>
    <row r="1267" ht="60" customHeight="1" x14ac:dyDescent="0.35"/>
    <row r="1268" ht="60" customHeight="1" x14ac:dyDescent="0.35"/>
    <row r="1269" ht="60" customHeight="1" x14ac:dyDescent="0.35"/>
    <row r="1270" ht="60" customHeight="1" x14ac:dyDescent="0.35"/>
    <row r="1271" ht="60" customHeight="1" x14ac:dyDescent="0.35"/>
    <row r="1272" ht="60" customHeight="1" x14ac:dyDescent="0.35"/>
    <row r="1273" ht="60" customHeight="1" x14ac:dyDescent="0.35"/>
    <row r="1274" ht="60" customHeight="1" x14ac:dyDescent="0.35"/>
    <row r="1275" ht="60" customHeight="1" x14ac:dyDescent="0.35"/>
    <row r="1276" ht="60" customHeight="1" x14ac:dyDescent="0.35"/>
    <row r="1277" ht="60" customHeight="1" x14ac:dyDescent="0.35"/>
    <row r="1278" ht="60" customHeight="1" x14ac:dyDescent="0.35"/>
    <row r="1279" ht="60" customHeight="1" x14ac:dyDescent="0.35"/>
    <row r="1280" ht="60" customHeight="1" x14ac:dyDescent="0.35"/>
    <row r="1281" ht="60" customHeight="1" x14ac:dyDescent="0.35"/>
    <row r="1282" ht="60" customHeight="1" x14ac:dyDescent="0.35"/>
    <row r="1283" ht="60" customHeight="1" x14ac:dyDescent="0.35"/>
    <row r="1284" ht="60" customHeight="1" x14ac:dyDescent="0.35"/>
    <row r="1285" ht="60" customHeight="1" x14ac:dyDescent="0.35"/>
    <row r="1286" ht="60" customHeight="1" x14ac:dyDescent="0.35"/>
    <row r="1287" ht="60" customHeight="1" x14ac:dyDescent="0.35"/>
    <row r="1288" ht="60" customHeight="1" x14ac:dyDescent="0.35"/>
    <row r="1289" ht="60" customHeight="1" x14ac:dyDescent="0.35"/>
    <row r="1290" ht="60" customHeight="1" x14ac:dyDescent="0.35"/>
    <row r="1291" ht="60" customHeight="1" x14ac:dyDescent="0.35"/>
    <row r="1292" ht="60" customHeight="1" x14ac:dyDescent="0.35"/>
    <row r="1293" ht="60" customHeight="1" x14ac:dyDescent="0.35"/>
    <row r="1294" ht="60" customHeight="1" x14ac:dyDescent="0.35"/>
    <row r="1295" ht="60" customHeight="1" x14ac:dyDescent="0.35"/>
    <row r="1296" ht="60" customHeight="1" x14ac:dyDescent="0.35"/>
    <row r="1297" ht="60" customHeight="1" x14ac:dyDescent="0.35"/>
    <row r="1298" ht="60" customHeight="1" x14ac:dyDescent="0.35"/>
    <row r="1299" ht="60" customHeight="1" x14ac:dyDescent="0.35"/>
    <row r="1300" ht="60" customHeight="1" x14ac:dyDescent="0.35"/>
    <row r="1301" ht="60" customHeight="1" x14ac:dyDescent="0.35"/>
    <row r="1302" ht="60" customHeight="1" x14ac:dyDescent="0.35"/>
    <row r="1303" ht="60" customHeight="1" x14ac:dyDescent="0.35"/>
    <row r="1304" ht="60" customHeight="1" x14ac:dyDescent="0.35"/>
    <row r="1305" ht="60" customHeight="1" x14ac:dyDescent="0.35"/>
    <row r="1306" ht="60" customHeight="1" x14ac:dyDescent="0.35"/>
    <row r="1307" ht="60" customHeight="1" x14ac:dyDescent="0.35"/>
    <row r="1308" ht="60" customHeight="1" x14ac:dyDescent="0.35"/>
    <row r="1309" ht="60" customHeight="1" x14ac:dyDescent="0.35"/>
    <row r="1310" ht="60" customHeight="1" x14ac:dyDescent="0.35"/>
    <row r="1311" ht="60" customHeight="1" x14ac:dyDescent="0.35"/>
    <row r="1312" ht="60" customHeight="1" x14ac:dyDescent="0.35"/>
    <row r="1313" ht="60" customHeight="1" x14ac:dyDescent="0.35"/>
    <row r="1314" ht="60" customHeight="1" x14ac:dyDescent="0.35"/>
    <row r="1315" ht="60" customHeight="1" x14ac:dyDescent="0.35"/>
    <row r="1316" ht="60" customHeight="1" x14ac:dyDescent="0.35"/>
    <row r="1317" ht="60" customHeight="1" x14ac:dyDescent="0.35"/>
    <row r="1318" ht="60" customHeight="1" x14ac:dyDescent="0.35"/>
    <row r="1319" ht="60" customHeight="1" x14ac:dyDescent="0.35"/>
    <row r="1320" ht="60" customHeight="1" x14ac:dyDescent="0.35"/>
    <row r="1321" ht="60" customHeight="1" x14ac:dyDescent="0.35"/>
    <row r="1322" ht="60" customHeight="1" x14ac:dyDescent="0.35"/>
    <row r="1323" ht="60" customHeight="1" x14ac:dyDescent="0.35"/>
    <row r="1324" ht="60" customHeight="1" x14ac:dyDescent="0.35"/>
    <row r="1325" ht="60" customHeight="1" x14ac:dyDescent="0.35"/>
    <row r="1326" ht="60" customHeight="1" x14ac:dyDescent="0.35"/>
    <row r="1327" ht="60" customHeight="1" x14ac:dyDescent="0.35"/>
    <row r="1328" ht="60" customHeight="1" x14ac:dyDescent="0.35"/>
    <row r="1329" ht="60" customHeight="1" x14ac:dyDescent="0.35"/>
    <row r="1330" ht="60" customHeight="1" x14ac:dyDescent="0.35"/>
    <row r="1331" ht="60" customHeight="1" x14ac:dyDescent="0.35"/>
    <row r="1332" ht="60" customHeight="1" x14ac:dyDescent="0.35"/>
    <row r="1333" ht="60" customHeight="1" x14ac:dyDescent="0.35"/>
    <row r="1334" ht="60" customHeight="1" x14ac:dyDescent="0.35"/>
    <row r="1335" ht="60" customHeight="1" x14ac:dyDescent="0.35"/>
    <row r="1336" ht="60" customHeight="1" x14ac:dyDescent="0.35"/>
    <row r="1337" ht="60" customHeight="1" x14ac:dyDescent="0.35"/>
    <row r="1338" ht="60" customHeight="1" x14ac:dyDescent="0.35"/>
    <row r="1339" ht="60" customHeight="1" x14ac:dyDescent="0.35"/>
    <row r="1340" ht="60" customHeight="1" x14ac:dyDescent="0.35"/>
    <row r="1341" ht="60" customHeight="1" x14ac:dyDescent="0.35"/>
    <row r="1342" ht="60" customHeight="1" x14ac:dyDescent="0.35"/>
    <row r="1343" ht="60" customHeight="1" x14ac:dyDescent="0.35"/>
    <row r="1344" ht="60" customHeight="1" x14ac:dyDescent="0.35"/>
    <row r="1345" ht="60" customHeight="1" x14ac:dyDescent="0.35"/>
    <row r="1346" ht="60" customHeight="1" x14ac:dyDescent="0.35"/>
    <row r="1347" ht="60" customHeight="1" x14ac:dyDescent="0.35"/>
    <row r="1348" ht="60" customHeight="1" x14ac:dyDescent="0.35"/>
    <row r="1349" ht="60" customHeight="1" x14ac:dyDescent="0.35"/>
    <row r="1350" ht="60" customHeight="1" x14ac:dyDescent="0.35"/>
    <row r="1351" ht="60" customHeight="1" x14ac:dyDescent="0.35"/>
    <row r="1352" ht="60" customHeight="1" x14ac:dyDescent="0.35"/>
    <row r="1353" ht="60" customHeight="1" x14ac:dyDescent="0.35"/>
    <row r="1354" ht="60" customHeight="1" x14ac:dyDescent="0.35"/>
    <row r="1355" ht="60" customHeight="1" x14ac:dyDescent="0.35"/>
    <row r="1356" ht="60" customHeight="1" x14ac:dyDescent="0.35"/>
    <row r="1357" ht="60" customHeight="1" x14ac:dyDescent="0.35"/>
    <row r="1358" ht="60" customHeight="1" x14ac:dyDescent="0.35"/>
    <row r="1359" ht="60" customHeight="1" x14ac:dyDescent="0.35"/>
    <row r="1360" ht="60" customHeight="1" x14ac:dyDescent="0.35"/>
    <row r="1361" ht="60" customHeight="1" x14ac:dyDescent="0.35"/>
    <row r="1362" ht="60" customHeight="1" x14ac:dyDescent="0.35"/>
    <row r="1363" ht="60" customHeight="1" x14ac:dyDescent="0.35"/>
    <row r="1364" ht="60" customHeight="1" x14ac:dyDescent="0.35"/>
    <row r="1365" ht="60" customHeight="1" x14ac:dyDescent="0.35"/>
    <row r="1366" ht="60" customHeight="1" x14ac:dyDescent="0.35"/>
    <row r="1367" ht="60" customHeight="1" x14ac:dyDescent="0.35"/>
    <row r="1368" ht="60" customHeight="1" x14ac:dyDescent="0.35"/>
    <row r="1369" ht="60" customHeight="1" x14ac:dyDescent="0.35"/>
    <row r="1370" ht="60" customHeight="1" x14ac:dyDescent="0.35"/>
    <row r="1371" ht="60" customHeight="1" x14ac:dyDescent="0.35"/>
    <row r="1372" ht="60" customHeight="1" x14ac:dyDescent="0.35"/>
    <row r="1373" ht="60" customHeight="1" x14ac:dyDescent="0.35"/>
    <row r="1374" ht="60" customHeight="1" x14ac:dyDescent="0.35"/>
    <row r="1375" ht="60" customHeight="1" x14ac:dyDescent="0.35"/>
    <row r="1376" ht="60" customHeight="1" x14ac:dyDescent="0.35"/>
    <row r="1377" ht="60" customHeight="1" x14ac:dyDescent="0.35"/>
    <row r="1378" ht="60" customHeight="1" x14ac:dyDescent="0.35"/>
    <row r="1379" ht="60" customHeight="1" x14ac:dyDescent="0.35"/>
    <row r="1380" ht="60" customHeight="1" x14ac:dyDescent="0.35"/>
    <row r="1381" ht="60" customHeight="1" x14ac:dyDescent="0.35"/>
    <row r="1382" ht="60" customHeight="1" x14ac:dyDescent="0.35"/>
    <row r="1383" ht="60" customHeight="1" x14ac:dyDescent="0.35"/>
    <row r="1384" ht="60" customHeight="1" x14ac:dyDescent="0.35"/>
    <row r="1385" ht="60" customHeight="1" x14ac:dyDescent="0.35"/>
    <row r="1386" ht="60" customHeight="1" x14ac:dyDescent="0.35"/>
    <row r="1387" ht="60" customHeight="1" x14ac:dyDescent="0.35"/>
    <row r="1388" ht="60" customHeight="1" x14ac:dyDescent="0.35"/>
    <row r="1389" ht="60" customHeight="1" x14ac:dyDescent="0.35"/>
    <row r="1390" ht="60" customHeight="1" x14ac:dyDescent="0.35"/>
    <row r="1391" ht="60" customHeight="1" x14ac:dyDescent="0.35"/>
    <row r="1392" ht="60" customHeight="1" x14ac:dyDescent="0.35"/>
    <row r="1393" ht="60" customHeight="1" x14ac:dyDescent="0.35"/>
    <row r="1394" ht="60" customHeight="1" x14ac:dyDescent="0.35"/>
    <row r="1395" ht="60" customHeight="1" x14ac:dyDescent="0.35"/>
    <row r="1396" ht="60" customHeight="1" x14ac:dyDescent="0.35"/>
    <row r="1397" ht="60" customHeight="1" x14ac:dyDescent="0.35"/>
    <row r="1398" ht="60" customHeight="1" x14ac:dyDescent="0.35"/>
    <row r="1399" ht="60" customHeight="1" x14ac:dyDescent="0.35"/>
    <row r="1400" ht="60" customHeight="1" x14ac:dyDescent="0.35"/>
    <row r="1401" ht="60" customHeight="1" x14ac:dyDescent="0.35"/>
    <row r="1402" ht="60" customHeight="1" x14ac:dyDescent="0.35"/>
    <row r="1403" ht="60" customHeight="1" x14ac:dyDescent="0.35"/>
    <row r="1404" ht="60" customHeight="1" x14ac:dyDescent="0.35"/>
    <row r="1405" ht="60" customHeight="1" x14ac:dyDescent="0.35"/>
    <row r="1406" ht="60" customHeight="1" x14ac:dyDescent="0.35"/>
    <row r="1407" ht="60" customHeight="1" x14ac:dyDescent="0.35"/>
    <row r="1408" ht="60" customHeight="1" x14ac:dyDescent="0.35"/>
    <row r="1409" ht="60" customHeight="1" x14ac:dyDescent="0.35"/>
    <row r="1410" ht="60" customHeight="1" x14ac:dyDescent="0.35"/>
    <row r="1411" ht="60" customHeight="1" x14ac:dyDescent="0.35"/>
    <row r="1412" ht="60" customHeight="1" x14ac:dyDescent="0.35"/>
    <row r="1413" ht="60" customHeight="1" x14ac:dyDescent="0.35"/>
    <row r="1414" ht="60" customHeight="1" x14ac:dyDescent="0.35"/>
    <row r="1415" ht="60" customHeight="1" x14ac:dyDescent="0.35"/>
    <row r="1416" ht="60" customHeight="1" x14ac:dyDescent="0.35"/>
    <row r="1417" ht="60" customHeight="1" x14ac:dyDescent="0.35"/>
    <row r="1418" ht="60" customHeight="1" x14ac:dyDescent="0.35"/>
    <row r="1419" ht="60" customHeight="1" x14ac:dyDescent="0.35"/>
    <row r="1420" ht="60" customHeight="1" x14ac:dyDescent="0.35"/>
    <row r="1421" ht="60" customHeight="1" x14ac:dyDescent="0.35"/>
    <row r="1422" ht="60" customHeight="1" x14ac:dyDescent="0.35"/>
    <row r="1423" ht="60" customHeight="1" x14ac:dyDescent="0.35"/>
    <row r="1424" ht="60" customHeight="1" x14ac:dyDescent="0.35"/>
    <row r="1425" ht="60" customHeight="1" x14ac:dyDescent="0.35"/>
    <row r="1426" ht="60" customHeight="1" x14ac:dyDescent="0.35"/>
    <row r="1427" ht="60" customHeight="1" x14ac:dyDescent="0.35"/>
    <row r="1428" ht="60" customHeight="1" x14ac:dyDescent="0.35"/>
    <row r="1429" ht="60" customHeight="1" x14ac:dyDescent="0.35"/>
    <row r="1430" ht="60" customHeight="1" x14ac:dyDescent="0.35"/>
    <row r="1431" ht="60" customHeight="1" x14ac:dyDescent="0.35"/>
    <row r="1432" ht="60" customHeight="1" x14ac:dyDescent="0.35"/>
    <row r="1433" ht="60" customHeight="1" x14ac:dyDescent="0.35"/>
    <row r="1434" ht="60" customHeight="1" x14ac:dyDescent="0.35"/>
    <row r="1435" ht="60" customHeight="1" x14ac:dyDescent="0.35"/>
    <row r="1436" ht="60" customHeight="1" x14ac:dyDescent="0.35"/>
    <row r="1437" ht="60" customHeight="1" x14ac:dyDescent="0.35"/>
    <row r="1438" ht="60" customHeight="1" x14ac:dyDescent="0.35"/>
    <row r="1439" ht="60" customHeight="1" x14ac:dyDescent="0.35"/>
    <row r="1440" ht="60" customHeight="1" x14ac:dyDescent="0.35"/>
    <row r="1441" ht="60" customHeight="1" x14ac:dyDescent="0.35"/>
    <row r="1442" ht="60" customHeight="1" x14ac:dyDescent="0.35"/>
    <row r="1443" ht="60" customHeight="1" x14ac:dyDescent="0.35"/>
    <row r="1444" ht="60" customHeight="1" x14ac:dyDescent="0.35"/>
    <row r="1445" ht="60" customHeight="1" x14ac:dyDescent="0.35"/>
    <row r="1446" ht="60" customHeight="1" x14ac:dyDescent="0.35"/>
    <row r="1447" ht="60" customHeight="1" x14ac:dyDescent="0.35"/>
    <row r="1448" ht="60" customHeight="1" x14ac:dyDescent="0.35"/>
    <row r="1449" ht="60" customHeight="1" x14ac:dyDescent="0.35"/>
    <row r="1450" ht="60" customHeight="1" x14ac:dyDescent="0.35"/>
    <row r="1451" ht="60" customHeight="1" x14ac:dyDescent="0.35"/>
    <row r="1452" ht="60" customHeight="1" x14ac:dyDescent="0.35"/>
    <row r="1453" ht="60" customHeight="1" x14ac:dyDescent="0.35"/>
    <row r="1454" ht="60" customHeight="1" x14ac:dyDescent="0.35"/>
    <row r="1455" ht="60" customHeight="1" x14ac:dyDescent="0.35"/>
    <row r="1456" ht="60" customHeight="1" x14ac:dyDescent="0.35"/>
    <row r="1457" ht="60" customHeight="1" x14ac:dyDescent="0.35"/>
    <row r="1458" ht="60" customHeight="1" x14ac:dyDescent="0.35"/>
    <row r="1459" ht="60" customHeight="1" x14ac:dyDescent="0.35"/>
    <row r="1460" ht="60" customHeight="1" x14ac:dyDescent="0.35"/>
    <row r="1461" ht="60" customHeight="1" x14ac:dyDescent="0.35"/>
    <row r="1462" ht="60" customHeight="1" x14ac:dyDescent="0.35"/>
    <row r="1463" ht="60" customHeight="1" x14ac:dyDescent="0.35"/>
    <row r="1464" ht="60" customHeight="1" x14ac:dyDescent="0.35"/>
    <row r="1465" ht="60" customHeight="1" x14ac:dyDescent="0.35"/>
    <row r="1466" ht="60" customHeight="1" x14ac:dyDescent="0.35"/>
    <row r="1467" ht="60" customHeight="1" x14ac:dyDescent="0.35"/>
    <row r="1468" ht="60" customHeight="1" x14ac:dyDescent="0.35"/>
    <row r="1469" ht="60" customHeight="1" x14ac:dyDescent="0.35"/>
    <row r="1470" ht="60" customHeight="1" x14ac:dyDescent="0.35"/>
    <row r="1471" ht="60" customHeight="1" x14ac:dyDescent="0.35"/>
    <row r="1472" ht="60" customHeight="1" x14ac:dyDescent="0.35"/>
    <row r="1473" ht="60" customHeight="1" x14ac:dyDescent="0.35"/>
    <row r="1474" ht="60" customHeight="1" x14ac:dyDescent="0.35"/>
    <row r="1475" ht="60" customHeight="1" x14ac:dyDescent="0.35"/>
    <row r="1476" ht="60" customHeight="1" x14ac:dyDescent="0.35"/>
    <row r="1477" ht="60" customHeight="1" x14ac:dyDescent="0.35"/>
    <row r="1478" ht="60" customHeight="1" x14ac:dyDescent="0.35"/>
    <row r="1479" ht="60" customHeight="1" x14ac:dyDescent="0.35"/>
    <row r="1480" ht="60" customHeight="1" x14ac:dyDescent="0.35"/>
    <row r="1481" ht="60" customHeight="1" x14ac:dyDescent="0.35"/>
    <row r="1482" ht="60" customHeight="1" x14ac:dyDescent="0.35"/>
    <row r="1483" ht="60" customHeight="1" x14ac:dyDescent="0.35"/>
    <row r="1484" ht="60" customHeight="1" x14ac:dyDescent="0.35"/>
    <row r="1485" ht="60" customHeight="1" x14ac:dyDescent="0.35"/>
    <row r="1486" ht="60" customHeight="1" x14ac:dyDescent="0.35"/>
    <row r="1487" ht="60" customHeight="1" x14ac:dyDescent="0.35"/>
    <row r="1488" ht="60" customHeight="1" x14ac:dyDescent="0.35"/>
    <row r="1489" ht="60" customHeight="1" x14ac:dyDescent="0.35"/>
    <row r="1490" ht="60" customHeight="1" x14ac:dyDescent="0.35"/>
    <row r="1491" ht="60" customHeight="1" x14ac:dyDescent="0.35"/>
    <row r="1492" ht="60" customHeight="1" x14ac:dyDescent="0.35"/>
    <row r="1493" ht="60" customHeight="1" x14ac:dyDescent="0.35"/>
    <row r="1494" ht="60" customHeight="1" x14ac:dyDescent="0.35"/>
    <row r="1495" ht="60" customHeight="1" x14ac:dyDescent="0.35"/>
    <row r="1496" ht="60" customHeight="1" x14ac:dyDescent="0.35"/>
    <row r="1497" ht="60" customHeight="1" x14ac:dyDescent="0.35"/>
    <row r="1498" ht="60" customHeight="1" x14ac:dyDescent="0.35"/>
    <row r="1499" ht="60" customHeight="1" x14ac:dyDescent="0.35"/>
    <row r="1500" ht="60" customHeight="1" x14ac:dyDescent="0.35"/>
    <row r="1501" ht="60" customHeight="1" x14ac:dyDescent="0.35"/>
    <row r="1502" ht="60" customHeight="1" x14ac:dyDescent="0.35"/>
    <row r="1503" ht="60" customHeight="1" x14ac:dyDescent="0.35"/>
    <row r="1504" ht="60" customHeight="1" x14ac:dyDescent="0.35"/>
    <row r="1505" ht="60" customHeight="1" x14ac:dyDescent="0.35"/>
    <row r="1506" ht="60" customHeight="1" x14ac:dyDescent="0.35"/>
    <row r="1507" ht="60" customHeight="1" x14ac:dyDescent="0.35"/>
    <row r="1508" ht="60" customHeight="1" x14ac:dyDescent="0.35"/>
    <row r="1509" ht="60" customHeight="1" x14ac:dyDescent="0.35"/>
    <row r="1510" ht="60" customHeight="1" x14ac:dyDescent="0.35"/>
    <row r="1511" ht="60" customHeight="1" x14ac:dyDescent="0.35"/>
    <row r="1512" ht="60" customHeight="1" x14ac:dyDescent="0.35"/>
    <row r="1513" ht="60" customHeight="1" x14ac:dyDescent="0.35"/>
    <row r="1514" ht="60" customHeight="1" x14ac:dyDescent="0.35"/>
    <row r="1515" ht="60" customHeight="1" x14ac:dyDescent="0.35"/>
    <row r="1516" ht="60" customHeight="1" x14ac:dyDescent="0.35"/>
    <row r="1517" ht="60" customHeight="1" x14ac:dyDescent="0.35"/>
    <row r="1518" ht="60" customHeight="1" x14ac:dyDescent="0.35"/>
    <row r="1519" ht="60" customHeight="1" x14ac:dyDescent="0.35"/>
    <row r="1520" ht="60" customHeight="1" x14ac:dyDescent="0.35"/>
    <row r="1521" ht="60" customHeight="1" x14ac:dyDescent="0.35"/>
    <row r="1522" ht="60" customHeight="1" x14ac:dyDescent="0.35"/>
    <row r="1523" ht="60" customHeight="1" x14ac:dyDescent="0.35"/>
    <row r="1524" ht="60" customHeight="1" x14ac:dyDescent="0.35"/>
    <row r="1525" ht="60" customHeight="1" x14ac:dyDescent="0.35"/>
    <row r="1526" ht="60" customHeight="1" x14ac:dyDescent="0.35"/>
    <row r="1527" ht="60" customHeight="1" x14ac:dyDescent="0.35"/>
    <row r="1528" ht="60" customHeight="1" x14ac:dyDescent="0.35"/>
    <row r="1529" ht="60" customHeight="1" x14ac:dyDescent="0.35"/>
    <row r="1530" ht="60" customHeight="1" x14ac:dyDescent="0.35"/>
    <row r="1531" ht="60" customHeight="1" x14ac:dyDescent="0.35"/>
    <row r="1532" ht="60" customHeight="1" x14ac:dyDescent="0.35"/>
    <row r="1533" ht="60" customHeight="1" x14ac:dyDescent="0.35"/>
    <row r="1534" ht="60" customHeight="1" x14ac:dyDescent="0.35"/>
    <row r="1535" ht="60" customHeight="1" x14ac:dyDescent="0.35"/>
    <row r="1536" ht="60" customHeight="1" x14ac:dyDescent="0.35"/>
    <row r="1537" ht="60" customHeight="1" x14ac:dyDescent="0.35"/>
    <row r="1538" ht="60" customHeight="1" x14ac:dyDescent="0.35"/>
    <row r="1539" ht="60" customHeight="1" x14ac:dyDescent="0.35"/>
    <row r="1540" ht="60" customHeight="1" x14ac:dyDescent="0.35"/>
    <row r="1541" ht="60" customHeight="1" x14ac:dyDescent="0.35"/>
    <row r="1542" ht="60" customHeight="1" x14ac:dyDescent="0.35"/>
    <row r="1543" ht="60" customHeight="1" x14ac:dyDescent="0.35"/>
    <row r="1544" ht="60" customHeight="1" x14ac:dyDescent="0.35"/>
    <row r="1545" ht="60" customHeight="1" x14ac:dyDescent="0.35"/>
    <row r="1546" ht="60" customHeight="1" x14ac:dyDescent="0.35"/>
    <row r="1547" ht="60" customHeight="1" x14ac:dyDescent="0.35"/>
    <row r="1548" ht="60" customHeight="1" x14ac:dyDescent="0.35"/>
    <row r="1549" ht="60" customHeight="1" x14ac:dyDescent="0.35"/>
    <row r="1550" ht="60" customHeight="1" x14ac:dyDescent="0.35"/>
    <row r="1551" ht="60" customHeight="1" x14ac:dyDescent="0.35"/>
    <row r="1552" ht="60" customHeight="1" x14ac:dyDescent="0.35"/>
    <row r="1553" ht="60" customHeight="1" x14ac:dyDescent="0.35"/>
    <row r="1554" ht="60" customHeight="1" x14ac:dyDescent="0.35"/>
    <row r="1555" ht="60" customHeight="1" x14ac:dyDescent="0.35"/>
    <row r="1556" ht="60" customHeight="1" x14ac:dyDescent="0.35"/>
    <row r="1557" ht="60" customHeight="1" x14ac:dyDescent="0.35"/>
    <row r="1558" ht="60" customHeight="1" x14ac:dyDescent="0.35"/>
    <row r="1559" ht="60" customHeight="1" x14ac:dyDescent="0.35"/>
    <row r="1560" ht="60" customHeight="1" x14ac:dyDescent="0.35"/>
    <row r="1561" ht="60" customHeight="1" x14ac:dyDescent="0.35"/>
    <row r="1562" ht="60" customHeight="1" x14ac:dyDescent="0.35"/>
    <row r="1563" ht="60" customHeight="1" x14ac:dyDescent="0.35"/>
    <row r="1564" ht="60" customHeight="1" x14ac:dyDescent="0.35"/>
    <row r="1565" ht="60" customHeight="1" x14ac:dyDescent="0.35"/>
    <row r="1566" ht="60" customHeight="1" x14ac:dyDescent="0.35"/>
    <row r="1567" ht="60" customHeight="1" x14ac:dyDescent="0.35"/>
    <row r="1568" ht="60" customHeight="1" x14ac:dyDescent="0.35"/>
    <row r="1569" ht="60" customHeight="1" x14ac:dyDescent="0.35"/>
    <row r="1570" ht="60" customHeight="1" x14ac:dyDescent="0.35"/>
    <row r="1571" ht="60" customHeight="1" x14ac:dyDescent="0.35"/>
    <row r="1572" ht="60" customHeight="1" x14ac:dyDescent="0.35"/>
    <row r="1573" ht="60" customHeight="1" x14ac:dyDescent="0.35"/>
    <row r="1574" ht="60" customHeight="1" x14ac:dyDescent="0.35"/>
    <row r="1575" ht="60" customHeight="1" x14ac:dyDescent="0.35"/>
    <row r="1576" ht="60" customHeight="1" x14ac:dyDescent="0.35"/>
    <row r="1577" ht="60" customHeight="1" x14ac:dyDescent="0.35"/>
    <row r="1578" ht="60" customHeight="1" x14ac:dyDescent="0.35"/>
    <row r="1579" ht="60" customHeight="1" x14ac:dyDescent="0.35"/>
    <row r="1580" ht="60" customHeight="1" x14ac:dyDescent="0.35"/>
    <row r="1581" ht="60" customHeight="1" x14ac:dyDescent="0.35"/>
    <row r="1582" ht="60" customHeight="1" x14ac:dyDescent="0.35"/>
    <row r="1583" ht="60" customHeight="1" x14ac:dyDescent="0.35"/>
    <row r="1584" ht="60" customHeight="1" x14ac:dyDescent="0.35"/>
    <row r="1585" ht="60" customHeight="1" x14ac:dyDescent="0.35"/>
    <row r="1586" ht="60" customHeight="1" x14ac:dyDescent="0.35"/>
    <row r="1587" ht="60" customHeight="1" x14ac:dyDescent="0.35"/>
    <row r="1588" ht="60" customHeight="1" x14ac:dyDescent="0.35"/>
    <row r="1589" ht="60" customHeight="1" x14ac:dyDescent="0.35"/>
    <row r="1590" ht="60" customHeight="1" x14ac:dyDescent="0.35"/>
    <row r="1591" ht="60" customHeight="1" x14ac:dyDescent="0.35"/>
    <row r="1592" ht="60" customHeight="1" x14ac:dyDescent="0.35"/>
    <row r="1593" ht="60" customHeight="1" x14ac:dyDescent="0.35"/>
    <row r="1594" ht="60" customHeight="1" x14ac:dyDescent="0.35"/>
    <row r="1595" ht="60" customHeight="1" x14ac:dyDescent="0.35"/>
    <row r="1596" ht="60" customHeight="1" x14ac:dyDescent="0.35"/>
    <row r="1597" ht="60" customHeight="1" x14ac:dyDescent="0.35"/>
    <row r="1598" ht="60" customHeight="1" x14ac:dyDescent="0.35"/>
    <row r="1599" ht="60" customHeight="1" x14ac:dyDescent="0.35"/>
    <row r="1600" ht="60" customHeight="1" x14ac:dyDescent="0.35"/>
    <row r="1601" ht="60" customHeight="1" x14ac:dyDescent="0.35"/>
    <row r="1602" ht="60" customHeight="1" x14ac:dyDescent="0.35"/>
    <row r="1603" ht="60" customHeight="1" x14ac:dyDescent="0.35"/>
    <row r="1604" ht="60" customHeight="1" x14ac:dyDescent="0.35"/>
    <row r="1605" ht="60" customHeight="1" x14ac:dyDescent="0.35"/>
    <row r="1606" ht="60" customHeight="1" x14ac:dyDescent="0.35"/>
    <row r="1607" ht="60" customHeight="1" x14ac:dyDescent="0.35"/>
    <row r="1608" ht="60" customHeight="1" x14ac:dyDescent="0.35"/>
    <row r="1609" ht="60" customHeight="1" x14ac:dyDescent="0.35"/>
    <row r="1610" ht="60" customHeight="1" x14ac:dyDescent="0.35"/>
    <row r="1611" ht="60" customHeight="1" x14ac:dyDescent="0.35"/>
    <row r="1612" ht="60" customHeight="1" x14ac:dyDescent="0.35"/>
    <row r="1613" ht="60" customHeight="1" x14ac:dyDescent="0.35"/>
    <row r="1614" ht="60" customHeight="1" x14ac:dyDescent="0.35"/>
    <row r="1615" ht="60" customHeight="1" x14ac:dyDescent="0.35"/>
    <row r="1616" ht="60" customHeight="1" x14ac:dyDescent="0.35"/>
    <row r="1617" ht="60" customHeight="1" x14ac:dyDescent="0.35"/>
    <row r="1618" ht="60" customHeight="1" x14ac:dyDescent="0.35"/>
    <row r="1619" ht="60" customHeight="1" x14ac:dyDescent="0.35"/>
    <row r="1620" ht="60" customHeight="1" x14ac:dyDescent="0.35"/>
    <row r="1621" ht="60" customHeight="1" x14ac:dyDescent="0.35"/>
    <row r="1622" ht="60" customHeight="1" x14ac:dyDescent="0.35"/>
    <row r="1623" ht="60" customHeight="1" x14ac:dyDescent="0.35"/>
    <row r="1624" ht="60" customHeight="1" x14ac:dyDescent="0.35"/>
    <row r="1625" ht="60" customHeight="1" x14ac:dyDescent="0.35"/>
    <row r="1626" ht="60" customHeight="1" x14ac:dyDescent="0.35"/>
    <row r="1627" ht="60" customHeight="1" x14ac:dyDescent="0.35"/>
    <row r="1628" ht="60" customHeight="1" x14ac:dyDescent="0.35"/>
    <row r="1629" ht="60" customHeight="1" x14ac:dyDescent="0.35"/>
    <row r="1630" ht="60" customHeight="1" x14ac:dyDescent="0.35"/>
    <row r="1631" ht="60" customHeight="1" x14ac:dyDescent="0.35"/>
    <row r="1632" ht="60" customHeight="1" x14ac:dyDescent="0.35"/>
    <row r="1633" ht="60" customHeight="1" x14ac:dyDescent="0.35"/>
    <row r="1634" ht="60" customHeight="1" x14ac:dyDescent="0.35"/>
    <row r="1635" ht="60" customHeight="1" x14ac:dyDescent="0.35"/>
    <row r="1636" ht="60" customHeight="1" x14ac:dyDescent="0.35"/>
    <row r="1637" ht="60" customHeight="1" x14ac:dyDescent="0.35"/>
    <row r="1638" ht="60" customHeight="1" x14ac:dyDescent="0.35"/>
    <row r="1639" ht="60" customHeight="1" x14ac:dyDescent="0.35"/>
    <row r="1640" ht="60" customHeight="1" x14ac:dyDescent="0.35"/>
    <row r="1641" ht="60" customHeight="1" x14ac:dyDescent="0.35"/>
    <row r="1642" ht="60" customHeight="1" x14ac:dyDescent="0.35"/>
    <row r="1643" ht="60" customHeight="1" x14ac:dyDescent="0.35"/>
    <row r="1644" ht="60" customHeight="1" x14ac:dyDescent="0.35"/>
    <row r="1645" ht="60" customHeight="1" x14ac:dyDescent="0.35"/>
    <row r="1646" ht="60" customHeight="1" x14ac:dyDescent="0.35"/>
    <row r="1647" ht="60" customHeight="1" x14ac:dyDescent="0.35"/>
    <row r="1648" ht="60" customHeight="1" x14ac:dyDescent="0.35"/>
    <row r="1649" ht="60" customHeight="1" x14ac:dyDescent="0.35"/>
    <row r="1650" ht="60" customHeight="1" x14ac:dyDescent="0.35"/>
    <row r="1651" ht="60" customHeight="1" x14ac:dyDescent="0.35"/>
    <row r="1652" ht="60" customHeight="1" x14ac:dyDescent="0.35"/>
    <row r="1653" ht="60" customHeight="1" x14ac:dyDescent="0.35"/>
    <row r="1654" ht="60" customHeight="1" x14ac:dyDescent="0.35"/>
    <row r="1655" ht="60" customHeight="1" x14ac:dyDescent="0.35"/>
    <row r="1656" ht="60" customHeight="1" x14ac:dyDescent="0.35"/>
    <row r="1657" ht="60" customHeight="1" x14ac:dyDescent="0.35"/>
    <row r="1658" ht="60" customHeight="1" x14ac:dyDescent="0.35"/>
    <row r="1659" ht="60" customHeight="1" x14ac:dyDescent="0.35"/>
    <row r="1660" ht="60" customHeight="1" x14ac:dyDescent="0.35"/>
    <row r="1661" ht="60" customHeight="1" x14ac:dyDescent="0.35"/>
    <row r="1662" ht="60" customHeight="1" x14ac:dyDescent="0.35"/>
    <row r="1663" ht="60" customHeight="1" x14ac:dyDescent="0.35"/>
    <row r="1664" ht="60" customHeight="1" x14ac:dyDescent="0.35"/>
    <row r="1665" ht="60" customHeight="1" x14ac:dyDescent="0.35"/>
    <row r="1666" ht="60" customHeight="1" x14ac:dyDescent="0.35"/>
    <row r="1667" ht="60" customHeight="1" x14ac:dyDescent="0.35"/>
    <row r="1668" ht="60" customHeight="1" x14ac:dyDescent="0.35"/>
    <row r="1669" ht="60" customHeight="1" x14ac:dyDescent="0.35"/>
    <row r="1670" ht="60" customHeight="1" x14ac:dyDescent="0.35"/>
    <row r="1671" ht="60" customHeight="1" x14ac:dyDescent="0.35"/>
    <row r="1672" ht="60" customHeight="1" x14ac:dyDescent="0.35"/>
    <row r="1673" ht="60" customHeight="1" x14ac:dyDescent="0.35"/>
    <row r="1674" ht="60" customHeight="1" x14ac:dyDescent="0.35"/>
    <row r="1675" ht="60" customHeight="1" x14ac:dyDescent="0.35"/>
    <row r="1676" ht="60" customHeight="1" x14ac:dyDescent="0.35"/>
    <row r="1677" ht="60" customHeight="1" x14ac:dyDescent="0.35"/>
    <row r="1678" ht="60" customHeight="1" x14ac:dyDescent="0.35"/>
    <row r="1679" ht="60" customHeight="1" x14ac:dyDescent="0.35"/>
    <row r="1680" ht="60" customHeight="1" x14ac:dyDescent="0.35"/>
    <row r="1681" ht="60" customHeight="1" x14ac:dyDescent="0.35"/>
    <row r="1682" ht="60" customHeight="1" x14ac:dyDescent="0.35"/>
    <row r="1683" ht="60" customHeight="1" x14ac:dyDescent="0.35"/>
    <row r="1684" ht="60" customHeight="1" x14ac:dyDescent="0.35"/>
    <row r="1685" ht="60" customHeight="1" x14ac:dyDescent="0.35"/>
    <row r="1686" ht="60" customHeight="1" x14ac:dyDescent="0.35"/>
    <row r="1687" ht="60" customHeight="1" x14ac:dyDescent="0.35"/>
    <row r="1688" ht="60" customHeight="1" x14ac:dyDescent="0.35"/>
    <row r="1689" ht="60" customHeight="1" x14ac:dyDescent="0.35"/>
    <row r="1690" ht="60" customHeight="1" x14ac:dyDescent="0.35"/>
    <row r="1691" ht="60" customHeight="1" x14ac:dyDescent="0.35"/>
    <row r="1692" ht="60" customHeight="1" x14ac:dyDescent="0.35"/>
    <row r="1693" ht="60" customHeight="1" x14ac:dyDescent="0.35"/>
    <row r="1694" ht="60" customHeight="1" x14ac:dyDescent="0.35"/>
    <row r="1695" ht="60" customHeight="1" x14ac:dyDescent="0.35"/>
    <row r="1696" ht="60" customHeight="1" x14ac:dyDescent="0.35"/>
    <row r="1697" ht="60" customHeight="1" x14ac:dyDescent="0.35"/>
    <row r="1698" ht="60" customHeight="1" x14ac:dyDescent="0.35"/>
    <row r="1699" ht="60" customHeight="1" x14ac:dyDescent="0.35"/>
    <row r="1700" ht="60" customHeight="1" x14ac:dyDescent="0.35"/>
    <row r="1701" ht="60" customHeight="1" x14ac:dyDescent="0.35"/>
    <row r="1702" ht="60" customHeight="1" x14ac:dyDescent="0.35"/>
    <row r="1703" ht="60" customHeight="1" x14ac:dyDescent="0.35"/>
    <row r="1704" ht="60" customHeight="1" x14ac:dyDescent="0.35"/>
    <row r="1705" ht="60" customHeight="1" x14ac:dyDescent="0.35"/>
    <row r="1706" ht="60" customHeight="1" x14ac:dyDescent="0.35"/>
    <row r="1707" ht="60" customHeight="1" x14ac:dyDescent="0.35"/>
    <row r="1708" ht="60" customHeight="1" x14ac:dyDescent="0.35"/>
    <row r="1709" ht="60" customHeight="1" x14ac:dyDescent="0.35"/>
    <row r="1710" ht="60" customHeight="1" x14ac:dyDescent="0.35"/>
    <row r="1711" ht="60" customHeight="1" x14ac:dyDescent="0.35"/>
    <row r="1712" ht="60" customHeight="1" x14ac:dyDescent="0.35"/>
    <row r="1713" ht="60" customHeight="1" x14ac:dyDescent="0.35"/>
    <row r="1714" ht="60" customHeight="1" x14ac:dyDescent="0.35"/>
    <row r="1715" ht="60" customHeight="1" x14ac:dyDescent="0.35"/>
    <row r="1716" ht="60" customHeight="1" x14ac:dyDescent="0.35"/>
    <row r="1717" ht="60" customHeight="1" x14ac:dyDescent="0.35"/>
    <row r="1718" ht="60" customHeight="1" x14ac:dyDescent="0.35"/>
    <row r="1719" ht="60" customHeight="1" x14ac:dyDescent="0.35"/>
    <row r="1720" ht="60" customHeight="1" x14ac:dyDescent="0.35"/>
    <row r="1721" ht="60" customHeight="1" x14ac:dyDescent="0.35"/>
    <row r="1722" ht="60" customHeight="1" x14ac:dyDescent="0.35"/>
    <row r="1723" ht="60" customHeight="1" x14ac:dyDescent="0.35"/>
    <row r="1724" ht="60" customHeight="1" x14ac:dyDescent="0.35"/>
    <row r="1725" ht="60" customHeight="1" x14ac:dyDescent="0.35"/>
    <row r="1726" ht="60" customHeight="1" x14ac:dyDescent="0.35"/>
    <row r="1727" ht="60" customHeight="1" x14ac:dyDescent="0.35"/>
    <row r="1728" ht="60" customHeight="1" x14ac:dyDescent="0.35"/>
    <row r="1729" ht="60" customHeight="1" x14ac:dyDescent="0.35"/>
    <row r="1730" ht="60" customHeight="1" x14ac:dyDescent="0.35"/>
    <row r="1731" ht="60" customHeight="1" x14ac:dyDescent="0.35"/>
    <row r="1732" ht="60" customHeight="1" x14ac:dyDescent="0.35"/>
    <row r="1733" ht="60" customHeight="1" x14ac:dyDescent="0.35"/>
    <row r="1734" ht="60" customHeight="1" x14ac:dyDescent="0.35"/>
    <row r="1735" ht="60" customHeight="1" x14ac:dyDescent="0.35"/>
    <row r="1736" ht="60" customHeight="1" x14ac:dyDescent="0.35"/>
    <row r="1737" ht="60" customHeight="1" x14ac:dyDescent="0.35"/>
    <row r="1738" ht="60" customHeight="1" x14ac:dyDescent="0.35"/>
    <row r="1739" ht="60" customHeight="1" x14ac:dyDescent="0.35"/>
    <row r="1740" ht="60" customHeight="1" x14ac:dyDescent="0.35"/>
    <row r="1741" ht="60" customHeight="1" x14ac:dyDescent="0.35"/>
    <row r="1742" ht="60" customHeight="1" x14ac:dyDescent="0.35"/>
    <row r="1743" ht="60" customHeight="1" x14ac:dyDescent="0.35"/>
    <row r="1744" ht="60" customHeight="1" x14ac:dyDescent="0.35"/>
    <row r="1745" ht="60" customHeight="1" x14ac:dyDescent="0.35"/>
    <row r="1746" ht="60" customHeight="1" x14ac:dyDescent="0.35"/>
    <row r="1747" ht="60" customHeight="1" x14ac:dyDescent="0.35"/>
    <row r="1748" ht="60" customHeight="1" x14ac:dyDescent="0.35"/>
    <row r="1749" ht="60" customHeight="1" x14ac:dyDescent="0.35"/>
    <row r="1750" ht="60" customHeight="1" x14ac:dyDescent="0.35"/>
    <row r="1751" ht="60" customHeight="1" x14ac:dyDescent="0.35"/>
    <row r="1752" ht="60" customHeight="1" x14ac:dyDescent="0.35"/>
    <row r="1753" ht="60" customHeight="1" x14ac:dyDescent="0.35"/>
    <row r="1754" ht="60" customHeight="1" x14ac:dyDescent="0.35"/>
    <row r="1755" ht="60" customHeight="1" x14ac:dyDescent="0.35"/>
    <row r="1756" ht="60" customHeight="1" x14ac:dyDescent="0.35"/>
    <row r="1757" ht="60" customHeight="1" x14ac:dyDescent="0.35"/>
    <row r="1758" ht="60" customHeight="1" x14ac:dyDescent="0.35"/>
    <row r="1759" ht="60" customHeight="1" x14ac:dyDescent="0.35"/>
    <row r="1760" ht="60" customHeight="1" x14ac:dyDescent="0.35"/>
    <row r="1761" ht="60" customHeight="1" x14ac:dyDescent="0.35"/>
    <row r="1762" ht="60" customHeight="1" x14ac:dyDescent="0.35"/>
    <row r="1763" ht="60" customHeight="1" x14ac:dyDescent="0.35"/>
    <row r="1764" ht="60" customHeight="1" x14ac:dyDescent="0.35"/>
    <row r="1765" ht="60" customHeight="1" x14ac:dyDescent="0.35"/>
    <row r="1766" ht="60" customHeight="1" x14ac:dyDescent="0.35"/>
    <row r="1767" ht="60" customHeight="1" x14ac:dyDescent="0.35"/>
    <row r="1768" ht="60" customHeight="1" x14ac:dyDescent="0.35"/>
    <row r="1769" ht="60" customHeight="1" x14ac:dyDescent="0.35"/>
    <row r="1770" ht="60" customHeight="1" x14ac:dyDescent="0.35"/>
    <row r="1771" ht="60" customHeight="1" x14ac:dyDescent="0.35"/>
    <row r="1772" ht="60" customHeight="1" x14ac:dyDescent="0.35"/>
    <row r="1773" ht="60" customHeight="1" x14ac:dyDescent="0.35"/>
    <row r="1774" ht="60" customHeight="1" x14ac:dyDescent="0.35"/>
    <row r="1775" ht="60" customHeight="1" x14ac:dyDescent="0.35"/>
    <row r="1776" ht="60" customHeight="1" x14ac:dyDescent="0.35"/>
    <row r="1777" ht="60" customHeight="1" x14ac:dyDescent="0.35"/>
    <row r="1778" ht="60" customHeight="1" x14ac:dyDescent="0.35"/>
    <row r="1779" ht="60" customHeight="1" x14ac:dyDescent="0.35"/>
    <row r="1780" ht="60" customHeight="1" x14ac:dyDescent="0.35"/>
    <row r="1781" ht="60" customHeight="1" x14ac:dyDescent="0.35"/>
    <row r="1782" ht="60" customHeight="1" x14ac:dyDescent="0.35"/>
    <row r="1783" ht="60" customHeight="1" x14ac:dyDescent="0.35"/>
    <row r="1784" ht="60" customHeight="1" x14ac:dyDescent="0.35"/>
    <row r="1785" ht="60" customHeight="1" x14ac:dyDescent="0.35"/>
    <row r="1786" ht="60" customHeight="1" x14ac:dyDescent="0.35"/>
    <row r="1787" ht="60" customHeight="1" x14ac:dyDescent="0.35"/>
    <row r="1788" ht="60" customHeight="1" x14ac:dyDescent="0.35"/>
    <row r="1789" ht="60" customHeight="1" x14ac:dyDescent="0.35"/>
    <row r="1790" ht="60" customHeight="1" x14ac:dyDescent="0.35"/>
    <row r="1791" ht="60" customHeight="1" x14ac:dyDescent="0.35"/>
    <row r="1792" ht="60" customHeight="1" x14ac:dyDescent="0.35"/>
    <row r="1793" ht="60" customHeight="1" x14ac:dyDescent="0.35"/>
    <row r="1794" ht="60" customHeight="1" x14ac:dyDescent="0.35"/>
    <row r="1795" ht="60" customHeight="1" x14ac:dyDescent="0.35"/>
    <row r="1796" ht="60" customHeight="1" x14ac:dyDescent="0.35"/>
    <row r="1797" ht="60" customHeight="1" x14ac:dyDescent="0.35"/>
    <row r="1798" ht="60" customHeight="1" x14ac:dyDescent="0.35"/>
    <row r="1799" ht="60" customHeight="1" x14ac:dyDescent="0.35"/>
    <row r="1800" ht="60" customHeight="1" x14ac:dyDescent="0.35"/>
    <row r="1801" ht="60" customHeight="1" x14ac:dyDescent="0.35"/>
    <row r="1802" ht="60" customHeight="1" x14ac:dyDescent="0.35"/>
    <row r="1803" ht="60" customHeight="1" x14ac:dyDescent="0.35"/>
    <row r="1804" ht="60" customHeight="1" x14ac:dyDescent="0.35"/>
    <row r="1805" ht="60" customHeight="1" x14ac:dyDescent="0.35"/>
    <row r="1806" ht="60" customHeight="1" x14ac:dyDescent="0.35"/>
    <row r="1807" ht="60" customHeight="1" x14ac:dyDescent="0.35"/>
    <row r="1808" ht="60" customHeight="1" x14ac:dyDescent="0.35"/>
    <row r="1809" ht="60" customHeight="1" x14ac:dyDescent="0.35"/>
    <row r="1810" ht="60" customHeight="1" x14ac:dyDescent="0.35"/>
    <row r="1811" ht="60" customHeight="1" x14ac:dyDescent="0.35"/>
    <row r="1812" ht="60" customHeight="1" x14ac:dyDescent="0.35"/>
    <row r="1813" ht="60" customHeight="1" x14ac:dyDescent="0.35"/>
    <row r="1814" ht="60" customHeight="1" x14ac:dyDescent="0.35"/>
    <row r="1815" ht="60" customHeight="1" x14ac:dyDescent="0.35"/>
    <row r="1816" ht="60" customHeight="1" x14ac:dyDescent="0.35"/>
    <row r="1817" ht="60" customHeight="1" x14ac:dyDescent="0.35"/>
    <row r="1818" ht="60" customHeight="1" x14ac:dyDescent="0.35"/>
    <row r="1819" ht="60" customHeight="1" x14ac:dyDescent="0.35"/>
    <row r="1820" ht="60" customHeight="1" x14ac:dyDescent="0.35"/>
    <row r="1821" ht="60" customHeight="1" x14ac:dyDescent="0.35"/>
    <row r="1822" ht="60" customHeight="1" x14ac:dyDescent="0.35"/>
    <row r="1823" ht="60" customHeight="1" x14ac:dyDescent="0.35"/>
    <row r="1824" ht="60" customHeight="1" x14ac:dyDescent="0.35"/>
    <row r="1825" ht="60" customHeight="1" x14ac:dyDescent="0.35"/>
    <row r="1826" ht="60" customHeight="1" x14ac:dyDescent="0.35"/>
    <row r="1827" ht="60" customHeight="1" x14ac:dyDescent="0.35"/>
    <row r="1828" ht="60" customHeight="1" x14ac:dyDescent="0.35"/>
    <row r="1829" ht="60" customHeight="1" x14ac:dyDescent="0.35"/>
    <row r="1830" ht="60" customHeight="1" x14ac:dyDescent="0.35"/>
    <row r="1831" ht="60" customHeight="1" x14ac:dyDescent="0.35"/>
    <row r="1832" ht="60" customHeight="1" x14ac:dyDescent="0.35"/>
    <row r="1833" ht="60" customHeight="1" x14ac:dyDescent="0.35"/>
    <row r="1834" ht="60" customHeight="1" x14ac:dyDescent="0.35"/>
    <row r="1835" ht="60" customHeight="1" x14ac:dyDescent="0.35"/>
    <row r="1836" ht="60" customHeight="1" x14ac:dyDescent="0.35"/>
    <row r="1837" ht="60" customHeight="1" x14ac:dyDescent="0.35"/>
    <row r="1838" ht="60" customHeight="1" x14ac:dyDescent="0.35"/>
    <row r="1839" ht="60" customHeight="1" x14ac:dyDescent="0.35"/>
    <row r="1840" ht="60" customHeight="1" x14ac:dyDescent="0.35"/>
    <row r="1841" ht="60" customHeight="1" x14ac:dyDescent="0.35"/>
    <row r="1842" ht="60" customHeight="1" x14ac:dyDescent="0.35"/>
    <row r="1843" ht="60" customHeight="1" x14ac:dyDescent="0.35"/>
    <row r="1844" ht="60" customHeight="1" x14ac:dyDescent="0.35"/>
    <row r="1845" ht="60" customHeight="1" x14ac:dyDescent="0.35"/>
    <row r="1846" ht="60" customHeight="1" x14ac:dyDescent="0.35"/>
    <row r="1847" ht="60" customHeight="1" x14ac:dyDescent="0.35"/>
    <row r="1848" ht="60" customHeight="1" x14ac:dyDescent="0.35"/>
    <row r="1849" ht="60" customHeight="1" x14ac:dyDescent="0.35"/>
    <row r="1850" ht="60" customHeight="1" x14ac:dyDescent="0.35"/>
    <row r="1851" ht="60" customHeight="1" x14ac:dyDescent="0.35"/>
    <row r="1852" ht="60" customHeight="1" x14ac:dyDescent="0.35"/>
    <row r="1853" ht="60" customHeight="1" x14ac:dyDescent="0.35"/>
    <row r="1854" ht="60" customHeight="1" x14ac:dyDescent="0.35"/>
    <row r="1855" ht="60" customHeight="1" x14ac:dyDescent="0.35"/>
    <row r="1856" ht="60" customHeight="1" x14ac:dyDescent="0.35"/>
    <row r="1857" ht="60" customHeight="1" x14ac:dyDescent="0.35"/>
    <row r="1858" ht="60" customHeight="1" x14ac:dyDescent="0.35"/>
    <row r="1859" ht="60" customHeight="1" x14ac:dyDescent="0.35"/>
    <row r="1860" ht="60" customHeight="1" x14ac:dyDescent="0.35"/>
    <row r="1861" ht="60" customHeight="1" x14ac:dyDescent="0.35"/>
    <row r="1862" ht="60" customHeight="1" x14ac:dyDescent="0.35"/>
    <row r="1863" ht="60" customHeight="1" x14ac:dyDescent="0.35"/>
    <row r="1864" ht="60" customHeight="1" x14ac:dyDescent="0.35"/>
    <row r="1865" ht="60" customHeight="1" x14ac:dyDescent="0.35"/>
    <row r="1866" ht="60" customHeight="1" x14ac:dyDescent="0.35"/>
    <row r="1867" ht="60" customHeight="1" x14ac:dyDescent="0.35"/>
    <row r="1868" ht="60" customHeight="1" x14ac:dyDescent="0.35"/>
    <row r="1869" ht="60" customHeight="1" x14ac:dyDescent="0.35"/>
    <row r="1870" ht="60" customHeight="1" x14ac:dyDescent="0.35"/>
    <row r="1871" ht="60" customHeight="1" x14ac:dyDescent="0.35"/>
    <row r="1872" ht="60" customHeight="1" x14ac:dyDescent="0.35"/>
    <row r="1873" ht="60" customHeight="1" x14ac:dyDescent="0.35"/>
    <row r="1874" ht="60" customHeight="1" x14ac:dyDescent="0.35"/>
    <row r="1875" ht="60" customHeight="1" x14ac:dyDescent="0.35"/>
    <row r="1876" ht="60" customHeight="1" x14ac:dyDescent="0.35"/>
    <row r="1877" ht="60" customHeight="1" x14ac:dyDescent="0.35"/>
    <row r="1878" ht="60" customHeight="1" x14ac:dyDescent="0.35"/>
    <row r="1879" ht="60" customHeight="1" x14ac:dyDescent="0.35"/>
    <row r="1880" ht="60" customHeight="1" x14ac:dyDescent="0.35"/>
    <row r="1881" ht="60" customHeight="1" x14ac:dyDescent="0.35"/>
    <row r="1882" ht="60" customHeight="1" x14ac:dyDescent="0.35"/>
    <row r="1883" ht="60" customHeight="1" x14ac:dyDescent="0.35"/>
    <row r="1884" ht="60" customHeight="1" x14ac:dyDescent="0.35"/>
    <row r="1885" ht="60" customHeight="1" x14ac:dyDescent="0.35"/>
    <row r="1886" ht="60" customHeight="1" x14ac:dyDescent="0.35"/>
    <row r="1887" ht="60" customHeight="1" x14ac:dyDescent="0.35"/>
    <row r="1888" ht="60" customHeight="1" x14ac:dyDescent="0.35"/>
    <row r="1889" ht="60" customHeight="1" x14ac:dyDescent="0.35"/>
    <row r="1890" ht="60" customHeight="1" x14ac:dyDescent="0.35"/>
    <row r="1891" ht="60" customHeight="1" x14ac:dyDescent="0.35"/>
    <row r="1892" ht="60" customHeight="1" x14ac:dyDescent="0.35"/>
    <row r="1893" ht="60" customHeight="1" x14ac:dyDescent="0.35"/>
    <row r="1894" ht="60" customHeight="1" x14ac:dyDescent="0.35"/>
    <row r="1895" ht="60" customHeight="1" x14ac:dyDescent="0.35"/>
    <row r="1896" ht="60" customHeight="1" x14ac:dyDescent="0.35"/>
    <row r="1897" ht="60" customHeight="1" x14ac:dyDescent="0.35"/>
    <row r="1898" ht="60" customHeight="1" x14ac:dyDescent="0.35"/>
    <row r="1899" ht="60" customHeight="1" x14ac:dyDescent="0.35"/>
    <row r="1900" ht="60" customHeight="1" x14ac:dyDescent="0.35"/>
    <row r="1901" ht="60" customHeight="1" x14ac:dyDescent="0.35"/>
    <row r="1902" ht="60" customHeight="1" x14ac:dyDescent="0.35"/>
    <row r="1903" ht="60" customHeight="1" x14ac:dyDescent="0.35"/>
    <row r="1904" ht="60" customHeight="1" x14ac:dyDescent="0.35"/>
    <row r="1905" ht="60" customHeight="1" x14ac:dyDescent="0.35"/>
    <row r="1906" ht="60" customHeight="1" x14ac:dyDescent="0.35"/>
    <row r="1907" ht="60" customHeight="1" x14ac:dyDescent="0.35"/>
    <row r="1908" ht="60" customHeight="1" x14ac:dyDescent="0.35"/>
    <row r="1909" ht="60" customHeight="1" x14ac:dyDescent="0.35"/>
    <row r="1910" ht="60" customHeight="1" x14ac:dyDescent="0.35"/>
    <row r="1911" ht="60" customHeight="1" x14ac:dyDescent="0.35"/>
    <row r="1912" ht="60" customHeight="1" x14ac:dyDescent="0.35"/>
    <row r="1913" ht="60" customHeight="1" x14ac:dyDescent="0.35"/>
    <row r="1914" ht="60" customHeight="1" x14ac:dyDescent="0.35"/>
    <row r="1915" ht="60" customHeight="1" x14ac:dyDescent="0.35"/>
    <row r="1916" ht="60" customHeight="1" x14ac:dyDescent="0.35"/>
    <row r="1917" ht="60" customHeight="1" x14ac:dyDescent="0.35"/>
    <row r="1918" ht="60" customHeight="1" x14ac:dyDescent="0.35"/>
    <row r="1919" ht="60" customHeight="1" x14ac:dyDescent="0.35"/>
    <row r="1920" ht="60" customHeight="1" x14ac:dyDescent="0.35"/>
    <row r="1921" ht="60" customHeight="1" x14ac:dyDescent="0.35"/>
    <row r="1922" ht="60" customHeight="1" x14ac:dyDescent="0.35"/>
    <row r="1923" ht="60" customHeight="1" x14ac:dyDescent="0.35"/>
    <row r="1924" ht="60" customHeight="1" x14ac:dyDescent="0.35"/>
    <row r="1925" ht="60" customHeight="1" x14ac:dyDescent="0.35"/>
    <row r="1926" ht="60" customHeight="1" x14ac:dyDescent="0.35"/>
    <row r="1927" ht="60" customHeight="1" x14ac:dyDescent="0.35"/>
    <row r="1928" ht="60" customHeight="1" x14ac:dyDescent="0.35"/>
    <row r="1929" ht="60" customHeight="1" x14ac:dyDescent="0.35"/>
    <row r="1930" ht="60" customHeight="1" x14ac:dyDescent="0.35"/>
    <row r="1931" ht="60" customHeight="1" x14ac:dyDescent="0.35"/>
    <row r="1932" ht="60" customHeight="1" x14ac:dyDescent="0.35"/>
    <row r="1933" ht="60" customHeight="1" x14ac:dyDescent="0.35"/>
    <row r="1934" ht="60" customHeight="1" x14ac:dyDescent="0.35"/>
    <row r="1935" ht="60" customHeight="1" x14ac:dyDescent="0.35"/>
    <row r="1936" ht="60" customHeight="1" x14ac:dyDescent="0.35"/>
    <row r="1937" ht="60" customHeight="1" x14ac:dyDescent="0.35"/>
    <row r="1938" ht="60" customHeight="1" x14ac:dyDescent="0.35"/>
    <row r="1939" ht="60" customHeight="1" x14ac:dyDescent="0.35"/>
    <row r="1940" ht="60" customHeight="1" x14ac:dyDescent="0.35"/>
    <row r="1941" ht="60" customHeight="1" x14ac:dyDescent="0.35"/>
    <row r="1942" ht="60" customHeight="1" x14ac:dyDescent="0.35"/>
    <row r="1943" ht="60" customHeight="1" x14ac:dyDescent="0.35"/>
    <row r="1944" ht="60" customHeight="1" x14ac:dyDescent="0.35"/>
    <row r="1945" ht="60" customHeight="1" x14ac:dyDescent="0.35"/>
    <row r="1946" ht="60" customHeight="1" x14ac:dyDescent="0.35"/>
    <row r="1947" ht="60" customHeight="1" x14ac:dyDescent="0.35"/>
    <row r="1948" ht="60" customHeight="1" x14ac:dyDescent="0.35"/>
    <row r="1949" ht="60" customHeight="1" x14ac:dyDescent="0.35"/>
    <row r="1950" ht="60" customHeight="1" x14ac:dyDescent="0.35"/>
    <row r="1951" ht="60" customHeight="1" x14ac:dyDescent="0.35"/>
    <row r="1952" ht="60" customHeight="1" x14ac:dyDescent="0.35"/>
    <row r="1953" ht="60" customHeight="1" x14ac:dyDescent="0.35"/>
    <row r="1954" ht="60" customHeight="1" x14ac:dyDescent="0.35"/>
    <row r="1955" ht="60" customHeight="1" x14ac:dyDescent="0.35"/>
    <row r="1956" ht="60" customHeight="1" x14ac:dyDescent="0.35"/>
    <row r="1957" ht="60" customHeight="1" x14ac:dyDescent="0.35"/>
    <row r="1958" ht="60" customHeight="1" x14ac:dyDescent="0.35"/>
    <row r="1959" ht="60" customHeight="1" x14ac:dyDescent="0.35"/>
    <row r="1960" ht="60" customHeight="1" x14ac:dyDescent="0.35"/>
    <row r="1961" ht="60" customHeight="1" x14ac:dyDescent="0.35"/>
    <row r="1962" ht="60" customHeight="1" x14ac:dyDescent="0.35"/>
    <row r="1963" ht="60" customHeight="1" x14ac:dyDescent="0.35"/>
    <row r="1964" ht="60" customHeight="1" x14ac:dyDescent="0.35"/>
    <row r="1965" ht="60" customHeight="1" x14ac:dyDescent="0.35"/>
    <row r="1966" ht="60" customHeight="1" x14ac:dyDescent="0.35"/>
    <row r="1967" ht="60" customHeight="1" x14ac:dyDescent="0.35"/>
    <row r="1968" ht="60" customHeight="1" x14ac:dyDescent="0.35"/>
    <row r="1969" ht="60" customHeight="1" x14ac:dyDescent="0.35"/>
    <row r="1970" ht="60" customHeight="1" x14ac:dyDescent="0.35"/>
    <row r="1971" ht="60" customHeight="1" x14ac:dyDescent="0.35"/>
    <row r="1972" ht="60" customHeight="1" x14ac:dyDescent="0.35"/>
    <row r="1973" ht="60" customHeight="1" x14ac:dyDescent="0.35"/>
    <row r="1974" ht="60" customHeight="1" x14ac:dyDescent="0.35"/>
    <row r="1975" ht="60" customHeight="1" x14ac:dyDescent="0.35"/>
    <row r="1976" ht="60" customHeight="1" x14ac:dyDescent="0.35"/>
    <row r="1977" ht="60" customHeight="1" x14ac:dyDescent="0.35"/>
    <row r="1978" ht="60" customHeight="1" x14ac:dyDescent="0.35"/>
    <row r="1979" ht="60" customHeight="1" x14ac:dyDescent="0.35"/>
    <row r="1980" ht="60" customHeight="1" x14ac:dyDescent="0.35"/>
    <row r="1981" ht="60" customHeight="1" x14ac:dyDescent="0.35"/>
    <row r="1982" ht="60" customHeight="1" x14ac:dyDescent="0.35"/>
    <row r="1983" ht="60" customHeight="1" x14ac:dyDescent="0.35"/>
    <row r="1984" ht="60" customHeight="1" x14ac:dyDescent="0.35"/>
    <row r="1985" ht="60" customHeight="1" x14ac:dyDescent="0.35"/>
    <row r="1986" ht="60" customHeight="1" x14ac:dyDescent="0.35"/>
    <row r="1987" ht="60" customHeight="1" x14ac:dyDescent="0.35"/>
    <row r="1988" ht="60" customHeight="1" x14ac:dyDescent="0.35"/>
    <row r="1989" ht="60" customHeight="1" x14ac:dyDescent="0.35"/>
    <row r="1990" ht="60" customHeight="1" x14ac:dyDescent="0.35"/>
    <row r="1991" ht="60" customHeight="1" x14ac:dyDescent="0.35"/>
    <row r="1992" ht="60" customHeight="1" x14ac:dyDescent="0.35"/>
    <row r="1993" ht="60" customHeight="1" x14ac:dyDescent="0.35"/>
  </sheetData>
  <mergeCells count="2">
    <mergeCell ref="U1:AD1"/>
    <mergeCell ref="AR1:BE1"/>
  </mergeCells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3E05-7065-47C4-905F-0C40D97D6341}">
  <dimension ref="A1:CP68"/>
  <sheetViews>
    <sheetView topLeftCell="A15" zoomScale="65" workbookViewId="0">
      <pane xSplit="2" topLeftCell="P1" activePane="topRight" state="frozen"/>
      <selection pane="topRight" activeCell="V21" sqref="V21"/>
    </sheetView>
  </sheetViews>
  <sheetFormatPr defaultColWidth="12.6328125" defaultRowHeight="18.5" x14ac:dyDescent="0.35"/>
  <cols>
    <col min="1" max="1" width="3.1796875" style="2" customWidth="1"/>
    <col min="2" max="2" width="15.453125" style="22" customWidth="1"/>
    <col min="3" max="4" width="13.6328125" style="2" customWidth="1"/>
    <col min="5" max="7" width="13.6328125" style="10" customWidth="1"/>
    <col min="8" max="8" width="13.6328125" style="38" customWidth="1"/>
    <col min="9" max="10" width="13.6328125" style="2" customWidth="1"/>
    <col min="11" max="13" width="13.6328125" style="10" customWidth="1"/>
    <col min="14" max="14" width="13.6328125" style="38" customWidth="1"/>
    <col min="15" max="16" width="13.6328125" style="2" customWidth="1"/>
    <col min="17" max="19" width="13.6328125" style="10" customWidth="1"/>
    <col min="20" max="20" width="13.6328125" style="38" customWidth="1"/>
    <col min="21" max="22" width="13.6328125" style="2" customWidth="1"/>
    <col min="23" max="25" width="13.6328125" style="10" customWidth="1"/>
    <col min="26" max="26" width="13.6328125" style="38" customWidth="1"/>
    <col min="27" max="28" width="13.6328125" style="2" customWidth="1"/>
    <col min="29" max="31" width="13.6328125" style="10" customWidth="1"/>
    <col min="32" max="34" width="13.6328125" style="2" customWidth="1"/>
    <col min="35" max="37" width="13.6328125" style="10" customWidth="1"/>
    <col min="38" max="40" width="13.6328125" style="2" customWidth="1"/>
    <col min="41" max="43" width="13.6328125" style="10" customWidth="1"/>
    <col min="44" max="46" width="13.6328125" style="2" customWidth="1"/>
    <col min="47" max="49" width="13.6328125" style="10" customWidth="1"/>
    <col min="50" max="51" width="13.6328125" style="2" customWidth="1"/>
    <col min="52" max="52" width="11.81640625" style="2" bestFit="1" customWidth="1"/>
    <col min="53" max="55" width="12.6328125" style="10"/>
    <col min="56" max="58" width="12.6328125" style="2"/>
    <col min="59" max="61" width="12.6328125" style="10"/>
    <col min="62" max="64" width="12.6328125" style="2"/>
    <col min="65" max="67" width="12.6328125" style="10"/>
    <col min="68" max="70" width="12.6328125" style="2"/>
    <col min="71" max="73" width="12.6328125" style="141"/>
    <col min="74" max="76" width="12.6328125" style="2"/>
    <col min="77" max="79" width="12.6328125" style="10"/>
    <col min="80" max="82" width="12.6328125" style="2"/>
    <col min="83" max="85" width="12.6328125" style="10"/>
    <col min="86" max="88" width="12.6328125" style="2"/>
    <col min="89" max="91" width="12.6328125" style="10"/>
    <col min="92" max="16384" width="12.6328125" style="2"/>
  </cols>
  <sheetData>
    <row r="1" spans="1:94" s="6" customFormat="1" ht="60" customHeight="1" x14ac:dyDescent="0.35">
      <c r="A1" s="7" t="s">
        <v>0</v>
      </c>
      <c r="B1" s="20" t="s">
        <v>14</v>
      </c>
      <c r="C1" s="8" t="s">
        <v>7</v>
      </c>
      <c r="D1" s="8" t="s">
        <v>15</v>
      </c>
      <c r="E1" s="9" t="s">
        <v>68</v>
      </c>
      <c r="F1" s="9" t="s">
        <v>16</v>
      </c>
      <c r="G1" s="9" t="s">
        <v>24</v>
      </c>
      <c r="H1" s="8" t="s">
        <v>69</v>
      </c>
      <c r="I1" s="8" t="s">
        <v>17</v>
      </c>
      <c r="J1" s="8" t="s">
        <v>25</v>
      </c>
      <c r="K1" s="9" t="s">
        <v>70</v>
      </c>
      <c r="L1" s="9" t="s">
        <v>18</v>
      </c>
      <c r="M1" s="9" t="s">
        <v>26</v>
      </c>
      <c r="N1" s="8" t="s">
        <v>71</v>
      </c>
      <c r="O1" s="8" t="s">
        <v>19</v>
      </c>
      <c r="P1" s="8" t="s">
        <v>27</v>
      </c>
      <c r="Q1" s="9" t="s">
        <v>72</v>
      </c>
      <c r="R1" s="9" t="s">
        <v>20</v>
      </c>
      <c r="S1" s="9" t="s">
        <v>27</v>
      </c>
      <c r="T1" s="8" t="s">
        <v>73</v>
      </c>
      <c r="U1" s="8" t="s">
        <v>21</v>
      </c>
      <c r="V1" s="8" t="s">
        <v>27</v>
      </c>
      <c r="W1" s="9" t="s">
        <v>74</v>
      </c>
      <c r="X1" s="9" t="s">
        <v>23</v>
      </c>
      <c r="Y1" s="9" t="s">
        <v>27</v>
      </c>
      <c r="Z1" s="8" t="s">
        <v>75</v>
      </c>
      <c r="AA1" s="8" t="s">
        <v>22</v>
      </c>
      <c r="AB1" s="8" t="s">
        <v>27</v>
      </c>
      <c r="AC1" s="48" t="s">
        <v>195</v>
      </c>
      <c r="AD1" s="48" t="s">
        <v>196</v>
      </c>
      <c r="AE1" s="48" t="s">
        <v>24</v>
      </c>
      <c r="AF1" s="49" t="s">
        <v>212</v>
      </c>
      <c r="AG1" s="50" t="s">
        <v>213</v>
      </c>
      <c r="AH1" s="50" t="s">
        <v>24</v>
      </c>
      <c r="AI1" s="48" t="s">
        <v>238</v>
      </c>
      <c r="AJ1" s="48" t="s">
        <v>239</v>
      </c>
      <c r="AK1" s="48" t="s">
        <v>24</v>
      </c>
      <c r="AL1" s="50" t="s">
        <v>258</v>
      </c>
      <c r="AM1" s="50" t="s">
        <v>259</v>
      </c>
      <c r="AN1" s="50" t="s">
        <v>24</v>
      </c>
      <c r="AO1" s="48" t="s">
        <v>293</v>
      </c>
      <c r="AP1" s="48" t="s">
        <v>294</v>
      </c>
      <c r="AQ1" s="48" t="s">
        <v>295</v>
      </c>
      <c r="AR1" s="50" t="s">
        <v>312</v>
      </c>
      <c r="AS1" s="50" t="s">
        <v>313</v>
      </c>
      <c r="AT1" s="50" t="s">
        <v>24</v>
      </c>
      <c r="AU1" s="48" t="s">
        <v>365</v>
      </c>
      <c r="AV1" s="48" t="s">
        <v>366</v>
      </c>
      <c r="AW1" s="48" t="s">
        <v>24</v>
      </c>
      <c r="AX1" s="50" t="s">
        <v>371</v>
      </c>
      <c r="AY1" s="50" t="s">
        <v>372</v>
      </c>
      <c r="AZ1" s="50" t="s">
        <v>24</v>
      </c>
      <c r="BA1" s="48" t="s">
        <v>879</v>
      </c>
      <c r="BB1" s="48" t="s">
        <v>880</v>
      </c>
      <c r="BC1" s="48" t="s">
        <v>24</v>
      </c>
      <c r="BD1" s="50" t="s">
        <v>881</v>
      </c>
      <c r="BE1" s="50" t="s">
        <v>882</v>
      </c>
      <c r="BF1" s="50" t="s">
        <v>24</v>
      </c>
      <c r="BG1" s="48" t="s">
        <v>883</v>
      </c>
      <c r="BH1" s="48" t="s">
        <v>884</v>
      </c>
      <c r="BI1" s="48" t="s">
        <v>24</v>
      </c>
      <c r="BJ1" s="50" t="s">
        <v>885</v>
      </c>
      <c r="BK1" s="50" t="s">
        <v>886</v>
      </c>
      <c r="BL1" s="50" t="s">
        <v>24</v>
      </c>
      <c r="BM1" s="48" t="s">
        <v>914</v>
      </c>
      <c r="BN1" s="48" t="s">
        <v>915</v>
      </c>
      <c r="BO1" s="48" t="s">
        <v>24</v>
      </c>
      <c r="BP1" s="50" t="s">
        <v>980</v>
      </c>
      <c r="BQ1" s="50" t="s">
        <v>981</v>
      </c>
      <c r="BR1" s="50" t="s">
        <v>24</v>
      </c>
      <c r="BS1" s="140" t="s">
        <v>982</v>
      </c>
      <c r="BT1" s="140" t="s">
        <v>983</v>
      </c>
      <c r="BU1" s="140" t="s">
        <v>24</v>
      </c>
      <c r="BV1" s="50" t="s">
        <v>984</v>
      </c>
      <c r="BW1" s="50" t="s">
        <v>985</v>
      </c>
      <c r="BX1" s="50" t="s">
        <v>24</v>
      </c>
      <c r="BY1" s="48" t="s">
        <v>1031</v>
      </c>
      <c r="BZ1" s="48" t="s">
        <v>1029</v>
      </c>
      <c r="CA1" s="48" t="s">
        <v>24</v>
      </c>
      <c r="CB1" s="50" t="s">
        <v>1030</v>
      </c>
      <c r="CC1" s="50" t="s">
        <v>1032</v>
      </c>
      <c r="CD1" s="50" t="s">
        <v>24</v>
      </c>
      <c r="CE1" s="48" t="s">
        <v>1035</v>
      </c>
      <c r="CF1" s="48" t="s">
        <v>1036</v>
      </c>
      <c r="CG1" s="48" t="s">
        <v>24</v>
      </c>
      <c r="CH1" s="50" t="s">
        <v>1114</v>
      </c>
      <c r="CI1" s="50" t="s">
        <v>1115</v>
      </c>
      <c r="CJ1" s="50" t="s">
        <v>24</v>
      </c>
      <c r="CK1" s="48" t="s">
        <v>1116</v>
      </c>
      <c r="CL1" s="48" t="s">
        <v>1117</v>
      </c>
      <c r="CM1" s="48" t="s">
        <v>24</v>
      </c>
      <c r="CN1" s="50" t="s">
        <v>1158</v>
      </c>
      <c r="CO1" s="50" t="s">
        <v>1159</v>
      </c>
      <c r="CP1" s="50" t="s">
        <v>24</v>
      </c>
    </row>
    <row r="2" spans="1:94" ht="60" customHeight="1" x14ac:dyDescent="0.35">
      <c r="A2" s="2">
        <v>1</v>
      </c>
      <c r="B2" s="137">
        <v>4109</v>
      </c>
      <c r="C2" s="3">
        <v>45983</v>
      </c>
      <c r="D2" s="56"/>
      <c r="E2" s="40">
        <v>46000</v>
      </c>
      <c r="F2" s="10">
        <v>6.9950000000000001</v>
      </c>
      <c r="G2" s="10">
        <f>(F2-D2)/(E2-C2)</f>
        <v>0.41147058823529414</v>
      </c>
      <c r="H2" s="43">
        <v>46003</v>
      </c>
      <c r="I2" s="2">
        <v>7.84</v>
      </c>
      <c r="J2" s="2">
        <f>(I2-F2)/(H2-E2)</f>
        <v>0.28166666666666657</v>
      </c>
      <c r="K2" s="40">
        <v>46007</v>
      </c>
      <c r="L2" s="10">
        <v>8.84</v>
      </c>
      <c r="M2" s="10">
        <f>(L2-I2)/(K2-H2)</f>
        <v>0.25</v>
      </c>
      <c r="N2" s="43">
        <v>46010</v>
      </c>
      <c r="O2" s="2">
        <v>9.9049999999999994</v>
      </c>
      <c r="P2" s="2">
        <f>(O2-L2)/(N2-K2)</f>
        <v>0.35499999999999982</v>
      </c>
      <c r="Q2" s="40">
        <v>46013</v>
      </c>
      <c r="R2" s="10">
        <v>10.52</v>
      </c>
      <c r="S2" s="10">
        <f>(R2-O2)/(Q2-N2)</f>
        <v>0.20500000000000007</v>
      </c>
      <c r="T2" s="43">
        <v>46018</v>
      </c>
      <c r="U2" s="2">
        <v>11.78</v>
      </c>
      <c r="V2" s="2">
        <f>(U2-R2)/(T2-Q2)</f>
        <v>0.25199999999999995</v>
      </c>
      <c r="W2" s="40">
        <v>46021</v>
      </c>
      <c r="X2" s="10">
        <v>12.3</v>
      </c>
      <c r="Y2" s="10">
        <f>(X2-U2)/(W2-T2)</f>
        <v>0.17333333333333378</v>
      </c>
      <c r="Z2" s="43">
        <v>46024</v>
      </c>
      <c r="AA2" s="2">
        <v>12.75</v>
      </c>
      <c r="AB2" s="125">
        <f>(AA2-X2)/(Z2-W2)</f>
        <v>0.14999999999999977</v>
      </c>
      <c r="AC2" s="40">
        <v>46027</v>
      </c>
      <c r="AD2" s="10">
        <v>13.5</v>
      </c>
      <c r="AE2" s="10">
        <f>(AD2-AA2)/(AC2-Z2)</f>
        <v>0.25</v>
      </c>
      <c r="AF2" s="3">
        <v>46031</v>
      </c>
      <c r="AG2" s="2">
        <v>13.78</v>
      </c>
      <c r="AH2" s="2">
        <f>(AG2-AD2)/(AF2-AC2)</f>
        <v>6.999999999999984E-2</v>
      </c>
      <c r="AI2" s="40">
        <v>46035</v>
      </c>
      <c r="AJ2" s="10">
        <v>14.86</v>
      </c>
      <c r="AK2" s="10">
        <f>(AJ2-AG2)/(AI2-AF2)</f>
        <v>0.27</v>
      </c>
      <c r="AL2" s="3">
        <v>46038</v>
      </c>
      <c r="AM2" s="2">
        <v>14.75</v>
      </c>
      <c r="AN2" s="2">
        <f>(AM2-AJ2)/(AL2-AI2)</f>
        <v>-3.666666666666648E-2</v>
      </c>
      <c r="AO2" s="40">
        <v>46041</v>
      </c>
      <c r="AP2" s="10">
        <v>15.42</v>
      </c>
      <c r="AQ2" s="10">
        <f>(AP2-AM2)/(AO2-AL2)</f>
        <v>0.2233333333333333</v>
      </c>
      <c r="AR2" s="3"/>
    </row>
    <row r="3" spans="1:94" ht="60" customHeight="1" x14ac:dyDescent="0.35">
      <c r="A3" s="2">
        <v>2</v>
      </c>
      <c r="B3" s="137">
        <v>4110</v>
      </c>
      <c r="C3" s="3">
        <v>45989</v>
      </c>
      <c r="D3" s="56"/>
      <c r="E3" s="40">
        <v>46000</v>
      </c>
      <c r="F3" s="10">
        <v>6.3250000000000002</v>
      </c>
      <c r="G3" s="10">
        <f t="shared" ref="G3:G20" si="0">(F3-D3)/(E3-C3)</f>
        <v>0.57500000000000007</v>
      </c>
      <c r="H3" s="43">
        <v>46003</v>
      </c>
      <c r="I3" s="2">
        <v>6.8</v>
      </c>
      <c r="J3" s="2">
        <f t="shared" ref="J3:J20" si="1">(I3-F3)/(H3-E3)</f>
        <v>0.15833333333333321</v>
      </c>
      <c r="K3" s="40">
        <v>46007</v>
      </c>
      <c r="L3" s="10">
        <v>7.73</v>
      </c>
      <c r="M3" s="10">
        <f>(L3-I3)/(K3-H3)</f>
        <v>0.23250000000000015</v>
      </c>
      <c r="N3" s="43">
        <v>46010</v>
      </c>
      <c r="O3" s="2">
        <v>7.9950000000000001</v>
      </c>
      <c r="P3" s="2">
        <f t="shared" ref="P3:P19" si="2">(O3-L3)/(N3-K3)</f>
        <v>8.8333333333333222E-2</v>
      </c>
      <c r="Q3" s="40">
        <v>46013</v>
      </c>
      <c r="R3" s="10">
        <v>8.68</v>
      </c>
      <c r="S3" s="10">
        <f t="shared" ref="S3:S19" si="3">(R3-O3)/(Q3-N3)</f>
        <v>0.22833333333333319</v>
      </c>
      <c r="T3" s="43">
        <v>46018</v>
      </c>
      <c r="U3" s="123">
        <v>9.27</v>
      </c>
      <c r="V3" s="2">
        <f t="shared" ref="V3:V19" si="4">(U3-R3)/(T3-Q3)</f>
        <v>0.11799999999999997</v>
      </c>
      <c r="W3" s="40">
        <v>46021</v>
      </c>
      <c r="X3" s="10">
        <v>9.94</v>
      </c>
      <c r="Y3" s="10">
        <f t="shared" ref="Y3:Y19" si="5">(X3-U3)/(W3-T3)</f>
        <v>0.2233333333333333</v>
      </c>
      <c r="Z3" s="43">
        <v>46024</v>
      </c>
      <c r="AA3" s="2">
        <v>10.51</v>
      </c>
      <c r="AB3" s="125">
        <f t="shared" ref="AB3:AB19" si="6">(AA3-X3)/(Z3-W3)</f>
        <v>0.19000000000000009</v>
      </c>
      <c r="AC3" s="40">
        <v>46027</v>
      </c>
      <c r="AD3" s="10">
        <v>11.02</v>
      </c>
      <c r="AE3" s="10">
        <f t="shared" ref="AE3:AE19" si="7">(AD3-AA3)/(AC3-Z3)</f>
        <v>0.16999999999999993</v>
      </c>
      <c r="AF3" s="3">
        <v>46031</v>
      </c>
      <c r="AG3" s="2">
        <v>11.64</v>
      </c>
      <c r="AH3" s="2">
        <f>(AG3-AD3)/(AF3-AC3)</f>
        <v>0.15500000000000025</v>
      </c>
      <c r="AI3" s="40">
        <v>46035</v>
      </c>
      <c r="AJ3" s="10">
        <v>12.33</v>
      </c>
      <c r="AK3" s="10">
        <f t="shared" ref="AK3:AK18" si="8">(AJ3-AG3)/(AI3-AF3)</f>
        <v>0.17249999999999988</v>
      </c>
      <c r="AL3" s="3">
        <v>46038</v>
      </c>
      <c r="AM3" s="2">
        <v>11.79</v>
      </c>
      <c r="AN3" s="2">
        <f t="shared" ref="AN3:AN18" si="9">(AM3-AJ3)/(AL3-AI3)</f>
        <v>-0.1800000000000003</v>
      </c>
      <c r="AO3" s="40">
        <v>46041</v>
      </c>
      <c r="AP3" s="10">
        <v>12.3</v>
      </c>
      <c r="AQ3" s="10">
        <f t="shared" ref="AQ3:AQ18" si="10">(AP3-AM3)/(AO3-AL3)</f>
        <v>0.17000000000000051</v>
      </c>
    </row>
    <row r="4" spans="1:94" ht="60" customHeight="1" x14ac:dyDescent="0.35">
      <c r="A4" s="2">
        <v>3</v>
      </c>
      <c r="B4" s="22">
        <v>4112</v>
      </c>
      <c r="C4" s="3">
        <v>45989</v>
      </c>
      <c r="D4" s="56"/>
      <c r="E4" s="40">
        <v>46000</v>
      </c>
      <c r="F4" s="10">
        <v>5.5</v>
      </c>
      <c r="G4" s="10">
        <f t="shared" si="0"/>
        <v>0.5</v>
      </c>
      <c r="H4" s="43">
        <v>46003</v>
      </c>
      <c r="I4" s="2">
        <v>6.38</v>
      </c>
      <c r="J4" s="2">
        <f t="shared" si="1"/>
        <v>0.29333333333333328</v>
      </c>
      <c r="K4" s="40">
        <v>46007</v>
      </c>
      <c r="L4" s="10">
        <v>7.0049999999999999</v>
      </c>
      <c r="M4" s="10">
        <f t="shared" ref="M4:M20" si="11">(L4-I4)/(K4-H4)</f>
        <v>0.15625</v>
      </c>
      <c r="N4" s="43">
        <v>46010</v>
      </c>
      <c r="O4" s="2">
        <v>7.0949999999999998</v>
      </c>
      <c r="P4" s="2">
        <f t="shared" si="2"/>
        <v>2.9999999999999954E-2</v>
      </c>
      <c r="Q4" s="40">
        <v>46013</v>
      </c>
      <c r="R4" s="10">
        <v>7.9950000000000001</v>
      </c>
      <c r="S4" s="10">
        <f t="shared" si="3"/>
        <v>0.3000000000000001</v>
      </c>
      <c r="T4" s="43">
        <v>46018</v>
      </c>
      <c r="U4" s="2">
        <v>8.8800000000000008</v>
      </c>
      <c r="V4" s="2">
        <f t="shared" si="4"/>
        <v>0.17700000000000013</v>
      </c>
      <c r="W4" s="40">
        <v>46021</v>
      </c>
      <c r="X4" s="10">
        <v>9.4649999999999999</v>
      </c>
      <c r="Y4" s="10">
        <f t="shared" si="5"/>
        <v>0.1949999999999997</v>
      </c>
      <c r="Z4" s="43">
        <v>46024</v>
      </c>
      <c r="AA4" s="2">
        <v>9.6549999999999994</v>
      </c>
      <c r="AB4" s="125">
        <f t="shared" si="6"/>
        <v>6.3333333333333172E-2</v>
      </c>
      <c r="AC4" s="40">
        <v>46027</v>
      </c>
      <c r="AD4" s="10">
        <v>10.02</v>
      </c>
      <c r="AE4" s="10">
        <f t="shared" si="7"/>
        <v>0.12166666666666674</v>
      </c>
      <c r="AF4" s="3">
        <v>46031</v>
      </c>
      <c r="AG4" s="2">
        <v>10.58</v>
      </c>
      <c r="AH4" s="2">
        <f t="shared" ref="AH4:AH19" si="12">(AG4-AD4)/(AF4-AC4)</f>
        <v>0.14000000000000012</v>
      </c>
      <c r="AI4" s="40">
        <v>46035</v>
      </c>
      <c r="AJ4" s="10">
        <v>10.83</v>
      </c>
      <c r="AK4" s="10">
        <f t="shared" si="8"/>
        <v>6.25E-2</v>
      </c>
      <c r="AL4" s="3">
        <v>46038</v>
      </c>
      <c r="AM4" s="2">
        <v>10.02</v>
      </c>
      <c r="AN4" s="2">
        <f t="shared" si="9"/>
        <v>-0.27000000000000018</v>
      </c>
      <c r="AO4" s="40">
        <v>46041</v>
      </c>
      <c r="AP4" s="10">
        <v>11.6</v>
      </c>
      <c r="AQ4" s="10">
        <f t="shared" si="10"/>
        <v>0.52666666666666673</v>
      </c>
      <c r="AR4" s="3">
        <v>46045</v>
      </c>
      <c r="AS4" s="2">
        <v>10.87</v>
      </c>
      <c r="AT4" s="2">
        <f t="shared" ref="AT4:AT12" si="13">(AS4-AP4)/(AR4-AO4)</f>
        <v>-0.18250000000000011</v>
      </c>
      <c r="AU4" s="40">
        <v>46049</v>
      </c>
      <c r="AV4" s="10">
        <v>11.35</v>
      </c>
      <c r="AW4" s="10">
        <f>(AV4-AS4)/(AU4-AR4)</f>
        <v>0.12000000000000011</v>
      </c>
      <c r="AX4" s="3">
        <v>46052</v>
      </c>
      <c r="AY4" s="2">
        <v>11.29</v>
      </c>
      <c r="AZ4" s="2">
        <f>(AY4-AV4)/(AX4-AU4)</f>
        <v>-2.0000000000000167E-2</v>
      </c>
      <c r="BA4" s="40">
        <v>46056</v>
      </c>
      <c r="BB4" s="10">
        <v>12.32</v>
      </c>
      <c r="BC4" s="10">
        <f t="shared" ref="BC4:BC14" si="14">(BB4-AY4)/(BA4-AX4)</f>
        <v>0.25750000000000028</v>
      </c>
      <c r="BD4" s="3">
        <v>46059</v>
      </c>
      <c r="BE4" s="2">
        <v>12.99</v>
      </c>
      <c r="BF4" s="2">
        <f>(BE4-BB4)/(BD4-BA4)</f>
        <v>0.2233333333333333</v>
      </c>
      <c r="BG4" s="40">
        <v>46062</v>
      </c>
      <c r="BH4" s="10">
        <v>12.13</v>
      </c>
      <c r="BI4" s="10">
        <f t="shared" ref="BI4:BI14" si="15">(BH4-BE4)/(BG4-BD4)</f>
        <v>-0.28666666666666646</v>
      </c>
      <c r="BJ4" s="3">
        <v>46066</v>
      </c>
      <c r="BK4" s="2">
        <v>11.9</v>
      </c>
      <c r="BL4" s="2">
        <f t="shared" ref="BL4:BL14" si="16">(BK4-BH4)/(BJ4-BG4)</f>
        <v>-5.7500000000000107E-2</v>
      </c>
      <c r="BM4" s="40">
        <v>46070</v>
      </c>
      <c r="BN4" s="10">
        <v>12.68</v>
      </c>
      <c r="BO4" s="10">
        <f t="shared" ref="BO4:BO12" si="17">(BN4-BK4)/(BM4-BJ4)</f>
        <v>0.19499999999999984</v>
      </c>
      <c r="BP4" s="3">
        <v>46074</v>
      </c>
      <c r="BQ4" s="2">
        <v>13.57</v>
      </c>
      <c r="BR4" s="2">
        <f t="shared" ref="BR4:BR11" si="18">(BQ4-BN4)/(BP4-BM4)</f>
        <v>0.22250000000000014</v>
      </c>
      <c r="BS4" s="142">
        <v>46077</v>
      </c>
      <c r="BT4" s="141">
        <v>13.56</v>
      </c>
      <c r="BU4" s="141">
        <f>(BT4-BQ4)/(BS4-BP4)</f>
        <v>-3.3333333333332624E-3</v>
      </c>
      <c r="BV4" s="3">
        <v>46080</v>
      </c>
      <c r="BW4" s="2">
        <v>14</v>
      </c>
      <c r="BX4" s="2">
        <f>(BW4-BT4)/(BV4-BS4)</f>
        <v>0.1466666666666665</v>
      </c>
      <c r="BY4" s="40">
        <v>46084</v>
      </c>
      <c r="BZ4" s="10">
        <v>15.1</v>
      </c>
      <c r="CA4" s="10">
        <f t="shared" ref="CA4:CA11" si="19">(BZ4-BW4)/(BY4-BV4)</f>
        <v>0.27499999999999991</v>
      </c>
      <c r="CB4" s="3">
        <v>46088</v>
      </c>
      <c r="CC4" s="2">
        <v>15.11</v>
      </c>
      <c r="CD4" s="2">
        <f t="shared" ref="CD4:CD10" si="20">(CC4-BZ4)/(CB4-BY4)</f>
        <v>2.4999999999999467E-3</v>
      </c>
      <c r="CE4" s="40">
        <v>46091</v>
      </c>
      <c r="CF4" s="10">
        <v>14.82</v>
      </c>
      <c r="CG4" s="10">
        <f t="shared" ref="CG4:CG10" si="21">(CF4-CC4)/(CE4-CB4)</f>
        <v>-9.6666666666666387E-2</v>
      </c>
      <c r="CH4" s="3">
        <v>46094</v>
      </c>
      <c r="CI4" s="2">
        <v>15.18</v>
      </c>
      <c r="CJ4" s="2">
        <f t="shared" ref="CJ4:CJ9" si="22">(CI4-CF4)/(CH4-CE4)</f>
        <v>0.11999999999999982</v>
      </c>
      <c r="CK4" s="40">
        <v>46098</v>
      </c>
      <c r="CL4" s="10">
        <v>15.79</v>
      </c>
      <c r="CM4" s="10">
        <f>(CL4-CI4)/(CK4-CH4)</f>
        <v>0.15249999999999986</v>
      </c>
      <c r="CN4" s="3">
        <v>46105</v>
      </c>
      <c r="CO4" s="2">
        <v>17.600000000000001</v>
      </c>
      <c r="CP4" s="2">
        <f>(CO4-CL4)/(CN4-CK4)</f>
        <v>0.2585714285714289</v>
      </c>
    </row>
    <row r="5" spans="1:94" ht="60" customHeight="1" x14ac:dyDescent="0.35">
      <c r="A5" s="2">
        <v>4</v>
      </c>
      <c r="B5" s="22">
        <v>4113</v>
      </c>
      <c r="C5" s="3">
        <v>45983</v>
      </c>
      <c r="D5" s="56"/>
      <c r="E5" s="40">
        <v>46000</v>
      </c>
      <c r="F5" s="10">
        <v>8.0050000000000008</v>
      </c>
      <c r="G5" s="10">
        <f t="shared" si="0"/>
        <v>0.47088235294117653</v>
      </c>
      <c r="H5" s="43">
        <v>46003</v>
      </c>
      <c r="I5" s="2">
        <v>8.83</v>
      </c>
      <c r="J5" s="2">
        <f t="shared" si="1"/>
        <v>0.27499999999999974</v>
      </c>
      <c r="K5" s="40">
        <v>46007</v>
      </c>
      <c r="L5" s="10">
        <v>9.5449999999999999</v>
      </c>
      <c r="M5" s="10">
        <f t="shared" si="11"/>
        <v>0.17874999999999996</v>
      </c>
      <c r="N5" s="43">
        <v>46010</v>
      </c>
      <c r="O5" s="2">
        <v>10.39</v>
      </c>
      <c r="P5" s="2">
        <f t="shared" si="2"/>
        <v>0.2816666666666669</v>
      </c>
      <c r="Q5" s="40">
        <v>46013</v>
      </c>
      <c r="R5" s="10">
        <v>11.01</v>
      </c>
      <c r="S5" s="10">
        <f t="shared" si="3"/>
        <v>0.20666666666666642</v>
      </c>
      <c r="T5" s="43">
        <v>46018</v>
      </c>
      <c r="U5" s="2">
        <v>11.8</v>
      </c>
      <c r="V5" s="2">
        <f t="shared" si="4"/>
        <v>0.1580000000000002</v>
      </c>
      <c r="W5" s="40">
        <v>46021</v>
      </c>
      <c r="X5" s="10">
        <v>12.37</v>
      </c>
      <c r="Y5" s="10">
        <f t="shared" si="5"/>
        <v>0.1899999999999995</v>
      </c>
      <c r="Z5" s="43">
        <v>46024</v>
      </c>
      <c r="AA5" s="2">
        <v>13.58</v>
      </c>
      <c r="AB5" s="125">
        <f t="shared" si="6"/>
        <v>0.4033333333333336</v>
      </c>
      <c r="AC5" s="40">
        <v>46027</v>
      </c>
      <c r="AD5" s="10">
        <v>13.6</v>
      </c>
      <c r="AE5" s="10">
        <f t="shared" si="7"/>
        <v>6.6666666666665248E-3</v>
      </c>
      <c r="AF5" s="3">
        <v>46031</v>
      </c>
      <c r="AG5" s="2">
        <v>14.19</v>
      </c>
      <c r="AH5" s="2">
        <f t="shared" si="12"/>
        <v>0.14749999999999996</v>
      </c>
      <c r="AI5" s="40">
        <v>46035</v>
      </c>
      <c r="AJ5" s="10">
        <v>14.4</v>
      </c>
      <c r="AK5" s="10">
        <f t="shared" si="8"/>
        <v>5.2500000000000213E-2</v>
      </c>
      <c r="AL5" s="3">
        <v>46038</v>
      </c>
      <c r="AM5" s="2">
        <v>13.77</v>
      </c>
      <c r="AN5" s="2">
        <f t="shared" si="9"/>
        <v>-0.21000000000000027</v>
      </c>
      <c r="AO5" s="40">
        <v>46041</v>
      </c>
      <c r="AP5" s="10">
        <v>14.7</v>
      </c>
      <c r="AQ5" s="10">
        <f t="shared" si="10"/>
        <v>0.30999999999999989</v>
      </c>
      <c r="AR5" s="3">
        <v>46045</v>
      </c>
      <c r="AS5" s="2">
        <v>14.79</v>
      </c>
      <c r="AT5" s="2">
        <f t="shared" si="13"/>
        <v>2.2499999999999964E-2</v>
      </c>
      <c r="AU5" s="40">
        <v>46049</v>
      </c>
      <c r="AV5" s="10">
        <v>15.19</v>
      </c>
      <c r="AW5" s="10">
        <f>(AV5-AS5)/(AU5-AR5)</f>
        <v>0.10000000000000009</v>
      </c>
      <c r="AX5" s="3">
        <v>46052</v>
      </c>
      <c r="AY5" s="2">
        <v>15.57</v>
      </c>
      <c r="AZ5" s="2">
        <f>(AY5-AV5)/(AX5-AU5)</f>
        <v>0.12666666666666693</v>
      </c>
      <c r="BA5" s="40">
        <v>46056</v>
      </c>
      <c r="BB5" s="10">
        <v>16.149999999999999</v>
      </c>
      <c r="BC5" s="10">
        <f t="shared" si="14"/>
        <v>0.14499999999999957</v>
      </c>
      <c r="BD5" s="3">
        <v>46059</v>
      </c>
      <c r="BE5" s="2">
        <v>14.44</v>
      </c>
      <c r="BF5" s="2">
        <f>(BE5-BB5)/(BD5-BA5)</f>
        <v>-0.56999999999999973</v>
      </c>
      <c r="BG5" s="40">
        <v>46062</v>
      </c>
      <c r="BH5" s="10">
        <v>15.2</v>
      </c>
      <c r="BI5" s="10">
        <f t="shared" si="15"/>
        <v>0.25333333333333324</v>
      </c>
      <c r="BJ5" s="3">
        <v>46066</v>
      </c>
      <c r="BK5" s="2">
        <v>15.14</v>
      </c>
      <c r="BL5" s="2">
        <f t="shared" si="16"/>
        <v>-1.499999999999968E-2</v>
      </c>
      <c r="BM5" s="40">
        <v>46070</v>
      </c>
      <c r="BN5" s="10">
        <v>14.85</v>
      </c>
      <c r="BO5" s="10">
        <f t="shared" si="17"/>
        <v>-7.2500000000000231E-2</v>
      </c>
      <c r="BP5" s="3">
        <v>46074</v>
      </c>
      <c r="BQ5" s="2">
        <v>15.79</v>
      </c>
      <c r="BR5" s="2">
        <f t="shared" si="18"/>
        <v>0.23499999999999988</v>
      </c>
      <c r="BS5" s="142">
        <v>46077</v>
      </c>
      <c r="BT5" s="141">
        <v>16.34</v>
      </c>
      <c r="BU5" s="141">
        <f>(BT5-BQ5)/(BS5-BP5)</f>
        <v>0.18333333333333357</v>
      </c>
      <c r="BV5" s="3">
        <v>46080</v>
      </c>
      <c r="BW5" s="2">
        <v>16.559999999999999</v>
      </c>
      <c r="BX5" s="2">
        <f>(BW5-BT5)/(BV5-BS5)</f>
        <v>7.3333333333332959E-2</v>
      </c>
      <c r="BY5" s="40">
        <v>46084</v>
      </c>
      <c r="BZ5" s="10">
        <v>17.02</v>
      </c>
      <c r="CA5" s="10">
        <f t="shared" si="19"/>
        <v>0.11500000000000021</v>
      </c>
      <c r="CB5" s="3">
        <v>46088</v>
      </c>
      <c r="CC5" s="2">
        <v>16.89</v>
      </c>
      <c r="CD5" s="2">
        <f t="shared" si="20"/>
        <v>-3.2499999999999751E-2</v>
      </c>
      <c r="CE5" s="40">
        <v>46091</v>
      </c>
      <c r="CF5" s="10">
        <v>17.57</v>
      </c>
      <c r="CG5" s="10">
        <f t="shared" si="21"/>
        <v>0.22666666666666657</v>
      </c>
      <c r="CH5" s="3">
        <v>46094</v>
      </c>
      <c r="CI5" s="2">
        <v>17.8</v>
      </c>
      <c r="CJ5" s="2">
        <f t="shared" si="22"/>
        <v>7.6666666666666813E-2</v>
      </c>
      <c r="CK5" s="40">
        <v>46098</v>
      </c>
      <c r="CL5" s="10">
        <v>18.02</v>
      </c>
      <c r="CM5" s="10">
        <f>(CL5-CI5)/(CK5-CH5)</f>
        <v>5.4999999999999716E-2</v>
      </c>
      <c r="CN5" s="3">
        <v>46105</v>
      </c>
      <c r="CO5" s="2">
        <v>21</v>
      </c>
      <c r="CP5" s="2">
        <f>(CO5-CL5)/(CN5-CK5)</f>
        <v>0.42571428571428577</v>
      </c>
    </row>
    <row r="6" spans="1:94" ht="60" customHeight="1" x14ac:dyDescent="0.35">
      <c r="A6" s="2">
        <v>5</v>
      </c>
      <c r="B6" s="22">
        <v>4115</v>
      </c>
      <c r="C6" s="3">
        <v>45996</v>
      </c>
      <c r="D6" s="56"/>
      <c r="E6" s="40">
        <v>46003</v>
      </c>
      <c r="F6" s="10">
        <v>2.9950000000000001</v>
      </c>
      <c r="G6" s="10">
        <f t="shared" si="0"/>
        <v>0.42785714285714288</v>
      </c>
      <c r="H6" s="43">
        <v>46007</v>
      </c>
      <c r="I6" s="2">
        <v>3.4649999999999999</v>
      </c>
      <c r="J6" s="2">
        <f t="shared" si="1"/>
        <v>0.11749999999999994</v>
      </c>
      <c r="K6" s="40">
        <v>46010</v>
      </c>
      <c r="L6" s="10">
        <v>3.92</v>
      </c>
      <c r="M6" s="10">
        <f t="shared" si="11"/>
        <v>0.1516666666666667</v>
      </c>
      <c r="N6" s="43">
        <v>46013</v>
      </c>
      <c r="O6" s="2">
        <v>4.3899999999999997</v>
      </c>
      <c r="P6" s="2">
        <f t="shared" si="2"/>
        <v>0.15666666666666659</v>
      </c>
      <c r="Q6" s="40">
        <v>46018</v>
      </c>
      <c r="R6" s="10">
        <v>4.9950000000000001</v>
      </c>
      <c r="S6" s="10">
        <f t="shared" si="3"/>
        <v>0.12100000000000008</v>
      </c>
      <c r="T6" s="43">
        <v>46021</v>
      </c>
      <c r="U6" s="2">
        <v>5.42</v>
      </c>
      <c r="V6" s="2">
        <f t="shared" si="4"/>
        <v>0.14166666666666661</v>
      </c>
      <c r="W6" s="40">
        <v>46024</v>
      </c>
      <c r="X6" s="10">
        <v>5.7649999999999997</v>
      </c>
      <c r="Y6" s="10">
        <f t="shared" si="5"/>
        <v>0.11499999999999992</v>
      </c>
      <c r="Z6" s="43">
        <v>46027</v>
      </c>
      <c r="AA6" s="2">
        <v>6.2850000000000001</v>
      </c>
      <c r="AB6" s="2">
        <f t="shared" si="6"/>
        <v>0.17333333333333348</v>
      </c>
      <c r="AC6" s="40">
        <v>46031</v>
      </c>
      <c r="AD6" s="10">
        <v>6.6050000000000004</v>
      </c>
      <c r="AE6" s="10">
        <f t="shared" si="7"/>
        <v>8.0000000000000071E-2</v>
      </c>
      <c r="AF6" s="3">
        <v>46035</v>
      </c>
      <c r="AG6" s="2">
        <v>6.9349999999999996</v>
      </c>
      <c r="AH6" s="2">
        <f t="shared" si="12"/>
        <v>8.2499999999999796E-2</v>
      </c>
      <c r="AI6" s="40">
        <v>46038</v>
      </c>
      <c r="AJ6" s="10">
        <v>7.0049999999999999</v>
      </c>
      <c r="AK6" s="10">
        <f t="shared" si="8"/>
        <v>2.3333333333333428E-2</v>
      </c>
      <c r="AL6" s="3">
        <v>46041</v>
      </c>
      <c r="AM6" s="2">
        <v>7.51</v>
      </c>
      <c r="AN6" s="2">
        <f t="shared" si="9"/>
        <v>0.16833333333333331</v>
      </c>
      <c r="AO6" s="40">
        <v>46045</v>
      </c>
      <c r="AP6" s="10">
        <v>8.0050000000000008</v>
      </c>
      <c r="AQ6" s="10">
        <f t="shared" si="10"/>
        <v>0.12375000000000025</v>
      </c>
      <c r="AR6" s="3">
        <v>46049</v>
      </c>
      <c r="AS6" s="2">
        <v>8.0050000000000008</v>
      </c>
      <c r="AT6" s="2">
        <f t="shared" si="13"/>
        <v>0</v>
      </c>
      <c r="AU6" s="40">
        <v>46052</v>
      </c>
      <c r="AV6" s="10">
        <v>8.1199999999999992</v>
      </c>
      <c r="AW6" s="10">
        <f>(AV6-AS6)/(AU6-AR6)</f>
        <v>3.833333333333281E-2</v>
      </c>
      <c r="AX6" s="3">
        <v>46056</v>
      </c>
      <c r="AY6" s="2">
        <v>8.1449999999999996</v>
      </c>
      <c r="AZ6" s="2">
        <f>(AY6-AV6)/(AX6-AU6)</f>
        <v>6.2500000000000888E-3</v>
      </c>
      <c r="BA6" s="40">
        <v>46059</v>
      </c>
      <c r="BB6" s="10">
        <v>8.7750000000000004</v>
      </c>
      <c r="BC6" s="10">
        <f t="shared" si="14"/>
        <v>0.21000000000000027</v>
      </c>
      <c r="BD6" s="3">
        <v>46062</v>
      </c>
      <c r="BE6" s="2">
        <v>8.9350000000000005</v>
      </c>
      <c r="BF6" s="2">
        <f>(BE6-BB6)/(BD6-BA6)</f>
        <v>5.3333333333333378E-2</v>
      </c>
      <c r="BG6" s="40">
        <v>46066</v>
      </c>
      <c r="BH6" s="10">
        <v>8.8000000000000007</v>
      </c>
      <c r="BI6" s="10">
        <f t="shared" si="15"/>
        <v>-3.3749999999999947E-2</v>
      </c>
      <c r="BJ6" s="3">
        <v>46070</v>
      </c>
      <c r="BK6" s="2">
        <v>9</v>
      </c>
      <c r="BL6" s="2">
        <f t="shared" si="16"/>
        <v>4.9999999999999822E-2</v>
      </c>
      <c r="BM6" s="40">
        <v>46074</v>
      </c>
      <c r="BN6" s="10">
        <v>8.6999999999999993</v>
      </c>
      <c r="BO6" s="10">
        <f t="shared" si="17"/>
        <v>-7.5000000000000178E-2</v>
      </c>
      <c r="BP6" s="3">
        <v>46077</v>
      </c>
      <c r="BQ6" s="2">
        <v>7.9950000000000001</v>
      </c>
      <c r="BR6" s="2">
        <f t="shared" si="18"/>
        <v>-0.23499999999999974</v>
      </c>
      <c r="BS6" s="142">
        <v>46080</v>
      </c>
      <c r="BT6" s="141">
        <v>9.4550000000000001</v>
      </c>
      <c r="BU6" s="141">
        <f>(BT6-BQ6)/(BS6-BP6)</f>
        <v>0.48666666666666664</v>
      </c>
      <c r="BV6" s="3">
        <v>46084</v>
      </c>
      <c r="BW6" s="2">
        <v>10.3</v>
      </c>
      <c r="BX6" s="2">
        <f t="shared" ref="BX6:BX11" si="23">(BW6-BT6)/(BV6-BS6)</f>
        <v>0.21125000000000016</v>
      </c>
      <c r="BY6" s="40">
        <v>46088</v>
      </c>
      <c r="BZ6" s="10">
        <v>10.76</v>
      </c>
      <c r="CA6" s="10">
        <f t="shared" si="19"/>
        <v>0.11499999999999977</v>
      </c>
      <c r="CB6" s="3">
        <v>46091</v>
      </c>
      <c r="CC6" s="2">
        <v>10.72</v>
      </c>
      <c r="CD6" s="2">
        <f t="shared" si="20"/>
        <v>-1.333333333333305E-2</v>
      </c>
      <c r="CE6" s="40">
        <v>46094</v>
      </c>
      <c r="CF6" s="10">
        <v>11.15</v>
      </c>
      <c r="CG6" s="10">
        <f t="shared" si="21"/>
        <v>0.14333333333333323</v>
      </c>
      <c r="CH6" s="3">
        <v>46098</v>
      </c>
      <c r="CI6" s="2">
        <v>11.89</v>
      </c>
      <c r="CJ6" s="2">
        <f t="shared" si="22"/>
        <v>0.18500000000000005</v>
      </c>
      <c r="CK6" s="40">
        <v>46105</v>
      </c>
      <c r="CL6" s="10">
        <v>13.34</v>
      </c>
      <c r="CM6" s="10">
        <f>(CL6-CI6)/(CK6-CH6)</f>
        <v>0.20714285714285705</v>
      </c>
    </row>
    <row r="7" spans="1:94" ht="60" customHeight="1" x14ac:dyDescent="0.35">
      <c r="A7" s="2">
        <v>6</v>
      </c>
      <c r="B7" s="22">
        <v>4111</v>
      </c>
      <c r="C7" s="43">
        <v>45992</v>
      </c>
      <c r="D7" s="56"/>
      <c r="E7" s="40">
        <v>46007</v>
      </c>
      <c r="F7" s="10">
        <v>4.08</v>
      </c>
      <c r="G7" s="10">
        <f t="shared" si="0"/>
        <v>0.27200000000000002</v>
      </c>
      <c r="H7" s="43">
        <v>46010</v>
      </c>
      <c r="I7" s="2">
        <v>4.5</v>
      </c>
      <c r="J7" s="2">
        <f t="shared" si="1"/>
        <v>0.13999999999999999</v>
      </c>
      <c r="K7" s="40">
        <v>46013</v>
      </c>
      <c r="L7" s="10">
        <v>4.6900000000000004</v>
      </c>
      <c r="M7" s="10">
        <f t="shared" si="11"/>
        <v>6.3333333333333464E-2</v>
      </c>
      <c r="N7" s="43">
        <v>46018</v>
      </c>
      <c r="O7" s="123">
        <v>5.0750000000000002</v>
      </c>
      <c r="P7" s="2">
        <f t="shared" si="2"/>
        <v>7.6999999999999957E-2</v>
      </c>
      <c r="Q7" s="40">
        <v>46021</v>
      </c>
      <c r="R7" s="10">
        <v>5.375</v>
      </c>
      <c r="S7" s="10">
        <f t="shared" si="3"/>
        <v>9.9999999999999936E-2</v>
      </c>
      <c r="T7" s="43">
        <v>46024</v>
      </c>
      <c r="U7" s="2">
        <v>5.7</v>
      </c>
      <c r="V7" s="2">
        <f t="shared" si="4"/>
        <v>0.10833333333333339</v>
      </c>
      <c r="W7" s="40">
        <v>46027</v>
      </c>
      <c r="X7" s="10">
        <v>6.0949999999999998</v>
      </c>
      <c r="Y7" s="10">
        <f t="shared" si="5"/>
        <v>0.13166666666666652</v>
      </c>
      <c r="Z7" s="43">
        <v>46031</v>
      </c>
      <c r="AA7" s="2">
        <v>6.36</v>
      </c>
      <c r="AB7" s="2">
        <f t="shared" si="6"/>
        <v>6.6250000000000142E-2</v>
      </c>
      <c r="AC7" s="40">
        <v>46035</v>
      </c>
      <c r="AD7" s="10">
        <v>6.9349999999999996</v>
      </c>
      <c r="AE7" s="10">
        <f t="shared" si="7"/>
        <v>0.14374999999999982</v>
      </c>
      <c r="AF7" s="3">
        <v>46038</v>
      </c>
      <c r="AG7" s="2">
        <v>6</v>
      </c>
      <c r="AH7" s="2">
        <f t="shared" si="12"/>
        <v>-0.31166666666666654</v>
      </c>
      <c r="AI7" s="40">
        <v>46041</v>
      </c>
      <c r="AJ7" s="10">
        <v>7</v>
      </c>
      <c r="AK7" s="10">
        <f t="shared" si="8"/>
        <v>0.33333333333333331</v>
      </c>
      <c r="AL7" s="3">
        <v>46045</v>
      </c>
      <c r="AM7" s="2">
        <v>7.53</v>
      </c>
      <c r="AN7" s="2">
        <f t="shared" si="9"/>
        <v>0.13250000000000006</v>
      </c>
      <c r="AO7" s="40">
        <v>46049</v>
      </c>
      <c r="AP7" s="10">
        <v>7.335</v>
      </c>
      <c r="AQ7" s="10">
        <f t="shared" si="10"/>
        <v>-4.8750000000000071E-2</v>
      </c>
      <c r="AR7" s="3">
        <v>46052</v>
      </c>
      <c r="AS7" s="2">
        <v>7.2050000000000001</v>
      </c>
      <c r="AT7" s="2">
        <f t="shared" si="13"/>
        <v>-4.33333333333333E-2</v>
      </c>
      <c r="AU7" s="40">
        <v>46056</v>
      </c>
      <c r="AV7" s="10">
        <v>8.5250000000000004</v>
      </c>
      <c r="AW7" s="10">
        <f t="shared" ref="AW7:AW17" si="24">(AV7-AS7)/(AU7-AR7)</f>
        <v>0.33000000000000007</v>
      </c>
      <c r="AX7" s="3">
        <v>46059</v>
      </c>
      <c r="AY7" s="2">
        <v>8.4049999999999994</v>
      </c>
      <c r="AZ7" s="2">
        <f t="shared" ref="AZ7:AZ17" si="25">(AY7-AV7)/(AX7-AU7)</f>
        <v>-4.0000000000000334E-2</v>
      </c>
      <c r="BA7" s="40">
        <v>46062</v>
      </c>
      <c r="BB7" s="10">
        <v>8.73</v>
      </c>
      <c r="BC7" s="10">
        <f t="shared" si="14"/>
        <v>0.10833333333333368</v>
      </c>
      <c r="BD7" s="3">
        <v>46066</v>
      </c>
      <c r="BE7" s="2">
        <v>8.3149999999999995</v>
      </c>
      <c r="BF7" s="2">
        <f t="shared" ref="BF7:BF14" si="26">(BE7-BB7)/(BD7-BA7)</f>
        <v>-0.10375000000000023</v>
      </c>
      <c r="BG7" s="40">
        <v>46070</v>
      </c>
      <c r="BH7" s="10">
        <v>8.8350000000000009</v>
      </c>
      <c r="BI7" s="10">
        <f t="shared" si="15"/>
        <v>0.13000000000000034</v>
      </c>
      <c r="BJ7" s="3">
        <v>46074</v>
      </c>
      <c r="BK7" s="2">
        <v>8.6950000000000003</v>
      </c>
      <c r="BL7" s="2">
        <f t="shared" si="16"/>
        <v>-3.5000000000000142E-2</v>
      </c>
      <c r="BM7" s="40">
        <v>46046</v>
      </c>
      <c r="BN7" s="10">
        <v>8.6850000000000005</v>
      </c>
      <c r="BO7" s="10">
        <f t="shared" si="17"/>
        <v>3.5714285714284955E-4</v>
      </c>
      <c r="BP7" s="3">
        <v>46080</v>
      </c>
      <c r="BQ7" s="2">
        <v>9.4</v>
      </c>
      <c r="BR7" s="2">
        <f t="shared" si="18"/>
        <v>2.102941176470588E-2</v>
      </c>
      <c r="BS7" s="142">
        <v>46084</v>
      </c>
      <c r="BT7" s="141">
        <v>9.6050000000000004</v>
      </c>
      <c r="BU7" s="141">
        <f t="shared" ref="BU7:BU11" si="27">(BT7-BQ7)/(BS7-BP7)</f>
        <v>5.1250000000000018E-2</v>
      </c>
      <c r="BV7" s="3">
        <v>46088</v>
      </c>
      <c r="BW7" s="2">
        <v>10.01</v>
      </c>
      <c r="BX7" s="2">
        <f t="shared" si="23"/>
        <v>0.10124999999999984</v>
      </c>
      <c r="BY7" s="40">
        <v>46091</v>
      </c>
      <c r="BZ7" s="10">
        <v>10.69</v>
      </c>
      <c r="CA7" s="10">
        <f t="shared" si="19"/>
        <v>0.22666666666666657</v>
      </c>
      <c r="CB7" s="3">
        <v>46094</v>
      </c>
      <c r="CC7" s="2">
        <v>11.27</v>
      </c>
      <c r="CD7" s="2">
        <f t="shared" si="20"/>
        <v>0.19333333333333336</v>
      </c>
      <c r="CE7" s="40">
        <v>46098</v>
      </c>
      <c r="CF7" s="10">
        <v>10.82</v>
      </c>
      <c r="CG7" s="10">
        <f t="shared" si="21"/>
        <v>-0.11249999999999982</v>
      </c>
      <c r="CH7" s="3">
        <v>46105</v>
      </c>
      <c r="CI7" s="2">
        <v>13</v>
      </c>
      <c r="CJ7" s="2">
        <f t="shared" si="22"/>
        <v>0.31142857142857139</v>
      </c>
    </row>
    <row r="8" spans="1:94" ht="60" customHeight="1" x14ac:dyDescent="0.35">
      <c r="A8" s="2">
        <v>7</v>
      </c>
      <c r="B8" s="22">
        <v>4121</v>
      </c>
      <c r="C8" s="3">
        <v>45998</v>
      </c>
      <c r="D8" s="56"/>
      <c r="E8" s="40">
        <v>46007</v>
      </c>
      <c r="F8" s="10">
        <v>4.6349999999999998</v>
      </c>
      <c r="G8" s="10">
        <f t="shared" si="0"/>
        <v>0.51500000000000001</v>
      </c>
      <c r="H8" s="43">
        <v>46010</v>
      </c>
      <c r="I8" s="2">
        <v>4.87</v>
      </c>
      <c r="J8" s="2">
        <f t="shared" si="1"/>
        <v>7.8333333333333435E-2</v>
      </c>
      <c r="K8" s="40">
        <v>46013</v>
      </c>
      <c r="L8" s="10">
        <v>5.0999999999999996</v>
      </c>
      <c r="M8" s="10">
        <f t="shared" si="11"/>
        <v>7.6666666666666508E-2</v>
      </c>
      <c r="N8" s="43">
        <v>46018</v>
      </c>
      <c r="O8" s="2">
        <v>5.45</v>
      </c>
      <c r="P8" s="2">
        <f t="shared" si="2"/>
        <v>7.0000000000000104E-2</v>
      </c>
      <c r="Q8" s="40">
        <v>46021</v>
      </c>
      <c r="R8" s="10">
        <v>5.63</v>
      </c>
      <c r="S8" s="10">
        <f t="shared" si="3"/>
        <v>5.9999999999999908E-2</v>
      </c>
      <c r="T8" s="43">
        <v>46024</v>
      </c>
      <c r="U8" s="2">
        <v>5.94</v>
      </c>
      <c r="V8" s="2">
        <f t="shared" si="4"/>
        <v>0.1033333333333335</v>
      </c>
      <c r="W8" s="40">
        <v>46027</v>
      </c>
      <c r="X8" s="10">
        <v>6.18</v>
      </c>
      <c r="Y8" s="10">
        <f t="shared" si="5"/>
        <v>7.999999999999978E-2</v>
      </c>
      <c r="Z8" s="43">
        <v>46031</v>
      </c>
      <c r="AA8" s="2">
        <v>6.6950000000000003</v>
      </c>
      <c r="AB8" s="2">
        <f t="shared" si="6"/>
        <v>0.12875000000000014</v>
      </c>
      <c r="AC8" s="40">
        <v>46035</v>
      </c>
      <c r="AD8" s="10">
        <v>6.8</v>
      </c>
      <c r="AE8" s="10">
        <f t="shared" si="7"/>
        <v>2.6249999999999885E-2</v>
      </c>
      <c r="AF8" s="3">
        <v>46038</v>
      </c>
      <c r="AG8" s="2">
        <v>7.08</v>
      </c>
      <c r="AH8" s="2">
        <f t="shared" si="12"/>
        <v>9.3333333333333421E-2</v>
      </c>
      <c r="AI8" s="40">
        <v>46041</v>
      </c>
      <c r="AJ8" s="10">
        <v>7.24</v>
      </c>
      <c r="AK8" s="10">
        <f t="shared" si="8"/>
        <v>5.3333333333333378E-2</v>
      </c>
      <c r="AL8" s="3">
        <v>46045</v>
      </c>
      <c r="AM8" s="2">
        <v>7.53</v>
      </c>
      <c r="AN8" s="2">
        <f t="shared" si="9"/>
        <v>7.2500000000000009E-2</v>
      </c>
      <c r="AO8" s="40">
        <v>46049</v>
      </c>
      <c r="AP8" s="10">
        <v>7.4850000000000003</v>
      </c>
      <c r="AQ8" s="10">
        <f t="shared" si="10"/>
        <v>-1.1249999999999982E-2</v>
      </c>
      <c r="AR8" s="3">
        <v>46052</v>
      </c>
      <c r="AS8" s="2">
        <v>7.5149999999999997</v>
      </c>
      <c r="AT8" s="2">
        <f t="shared" si="13"/>
        <v>9.9999999999997868E-3</v>
      </c>
      <c r="AU8" s="40">
        <v>46056</v>
      </c>
      <c r="AV8" s="10">
        <v>7.8</v>
      </c>
      <c r="AW8" s="10">
        <f t="shared" si="24"/>
        <v>7.1250000000000036E-2</v>
      </c>
      <c r="AX8" s="3">
        <v>46059</v>
      </c>
      <c r="AY8" s="2">
        <v>8.5449999999999999</v>
      </c>
      <c r="AZ8" s="2">
        <f t="shared" si="25"/>
        <v>0.24833333333333338</v>
      </c>
      <c r="BA8" s="40">
        <v>46062</v>
      </c>
      <c r="BB8" s="10">
        <v>8.3000000000000007</v>
      </c>
      <c r="BC8" s="10">
        <f t="shared" si="14"/>
        <v>-8.1666666666666402E-2</v>
      </c>
      <c r="BD8" s="3">
        <v>46066</v>
      </c>
      <c r="BE8" s="2">
        <v>7.7850000000000001</v>
      </c>
      <c r="BF8" s="2">
        <f t="shared" si="26"/>
        <v>-0.12875000000000014</v>
      </c>
      <c r="BG8" s="40">
        <v>46070</v>
      </c>
      <c r="BH8" s="10">
        <v>8.41</v>
      </c>
      <c r="BI8" s="10">
        <f t="shared" si="15"/>
        <v>0.15625</v>
      </c>
      <c r="BJ8" s="3">
        <v>46074</v>
      </c>
      <c r="BK8" s="2">
        <v>8.7449999999999992</v>
      </c>
      <c r="BL8" s="2">
        <f t="shared" si="16"/>
        <v>8.3749999999999769E-2</v>
      </c>
      <c r="BM8" s="40">
        <v>46077</v>
      </c>
      <c r="BN8" s="10">
        <v>7.7450000000000001</v>
      </c>
      <c r="BO8" s="10">
        <f t="shared" si="17"/>
        <v>-0.33333333333333304</v>
      </c>
      <c r="BP8" s="3">
        <v>46080</v>
      </c>
      <c r="BQ8" s="2">
        <v>8.41</v>
      </c>
      <c r="BR8" s="2">
        <f t="shared" si="18"/>
        <v>0.22166666666666668</v>
      </c>
      <c r="BS8" s="142">
        <v>46084</v>
      </c>
      <c r="BT8" s="141">
        <v>9.2100000000000009</v>
      </c>
      <c r="BU8" s="141">
        <f t="shared" si="27"/>
        <v>0.20000000000000018</v>
      </c>
      <c r="BV8" s="3">
        <v>46088</v>
      </c>
      <c r="BW8" s="2">
        <v>10.26</v>
      </c>
      <c r="BX8" s="2">
        <f t="shared" si="23"/>
        <v>0.26249999999999973</v>
      </c>
      <c r="BY8" s="40">
        <v>46091</v>
      </c>
      <c r="BZ8" s="10">
        <v>11</v>
      </c>
      <c r="CA8" s="10">
        <f t="shared" si="19"/>
        <v>0.24666666666666673</v>
      </c>
      <c r="CB8" s="3">
        <v>46094</v>
      </c>
      <c r="CC8" s="2">
        <v>11.26</v>
      </c>
      <c r="CD8" s="2">
        <f t="shared" si="20"/>
        <v>8.66666666666666E-2</v>
      </c>
      <c r="CE8" s="40">
        <v>46098</v>
      </c>
      <c r="CF8" s="10">
        <v>12.01</v>
      </c>
      <c r="CG8" s="10">
        <f t="shared" si="21"/>
        <v>0.1875</v>
      </c>
      <c r="CH8" s="3">
        <v>46105</v>
      </c>
      <c r="CI8" s="2">
        <v>13.8</v>
      </c>
      <c r="CJ8" s="2">
        <f t="shared" si="22"/>
        <v>0.25571428571428584</v>
      </c>
    </row>
    <row r="9" spans="1:94" ht="60" customHeight="1" x14ac:dyDescent="0.35">
      <c r="A9" s="2">
        <v>8</v>
      </c>
      <c r="B9" s="22">
        <v>4122</v>
      </c>
      <c r="C9" s="3">
        <v>45998</v>
      </c>
      <c r="D9" s="56"/>
      <c r="E9" s="40">
        <v>46007</v>
      </c>
      <c r="F9" s="10">
        <v>3.5249999999999999</v>
      </c>
      <c r="G9" s="10">
        <f t="shared" si="0"/>
        <v>0.39166666666666666</v>
      </c>
      <c r="H9" s="43">
        <v>46010</v>
      </c>
      <c r="I9" s="2">
        <v>4.085</v>
      </c>
      <c r="J9" s="2">
        <f t="shared" si="1"/>
        <v>0.18666666666666668</v>
      </c>
      <c r="K9" s="40">
        <v>46013</v>
      </c>
      <c r="L9" s="10">
        <v>4.2649999999999997</v>
      </c>
      <c r="M9" s="10">
        <f t="shared" si="11"/>
        <v>5.9999999999999908E-2</v>
      </c>
      <c r="N9" s="43">
        <v>46018</v>
      </c>
      <c r="O9" s="2">
        <v>4.75</v>
      </c>
      <c r="P9" s="2">
        <f t="shared" si="2"/>
        <v>9.7000000000000058E-2</v>
      </c>
      <c r="Q9" s="40">
        <v>46021</v>
      </c>
      <c r="R9" s="10">
        <v>4.9249999999999998</v>
      </c>
      <c r="S9" s="10">
        <f t="shared" si="3"/>
        <v>5.8333333333333272E-2</v>
      </c>
      <c r="T9" s="43">
        <v>46024</v>
      </c>
      <c r="U9" s="2">
        <v>4.9050000000000002</v>
      </c>
      <c r="V9" s="2">
        <f t="shared" si="4"/>
        <v>-6.6666666666665248E-3</v>
      </c>
      <c r="W9" s="40">
        <v>46027</v>
      </c>
      <c r="X9" s="10">
        <v>5.7850000000000001</v>
      </c>
      <c r="Y9" s="10">
        <f t="shared" si="5"/>
        <v>0.29333333333333328</v>
      </c>
      <c r="Z9" s="43">
        <v>46031</v>
      </c>
      <c r="AA9" s="2">
        <v>5.8949999999999996</v>
      </c>
      <c r="AB9" s="2">
        <f t="shared" si="6"/>
        <v>2.7499999999999858E-2</v>
      </c>
      <c r="AC9" s="40">
        <v>46035</v>
      </c>
      <c r="AD9" s="10">
        <v>6.61</v>
      </c>
      <c r="AE9" s="10">
        <f t="shared" si="7"/>
        <v>0.17875000000000019</v>
      </c>
      <c r="AF9" s="3">
        <v>46038</v>
      </c>
      <c r="AG9" s="2">
        <v>6.3550000000000004</v>
      </c>
      <c r="AH9" s="2">
        <f t="shared" si="12"/>
        <v>-8.4999999999999964E-2</v>
      </c>
      <c r="AI9" s="40">
        <v>46041</v>
      </c>
      <c r="AJ9" s="10">
        <v>6.89</v>
      </c>
      <c r="AK9" s="10">
        <f t="shared" si="8"/>
        <v>0.17833333333333309</v>
      </c>
      <c r="AL9" s="3">
        <v>46045</v>
      </c>
      <c r="AM9" s="2">
        <v>7.4450000000000003</v>
      </c>
      <c r="AN9" s="2">
        <f t="shared" si="9"/>
        <v>0.13875000000000015</v>
      </c>
      <c r="AO9" s="40">
        <v>46049</v>
      </c>
      <c r="AP9" s="10">
        <v>7.335</v>
      </c>
      <c r="AQ9" s="10">
        <f t="shared" si="10"/>
        <v>-2.750000000000008E-2</v>
      </c>
      <c r="AR9" s="3">
        <v>46052</v>
      </c>
      <c r="AS9" s="2">
        <v>7.5149999999999997</v>
      </c>
      <c r="AT9" s="2">
        <f t="shared" si="13"/>
        <v>5.9999999999999908E-2</v>
      </c>
      <c r="AU9" s="40">
        <v>46056</v>
      </c>
      <c r="AV9" s="10">
        <v>8.4499999999999993</v>
      </c>
      <c r="AW9" s="10">
        <f t="shared" si="24"/>
        <v>0.2337499999999999</v>
      </c>
      <c r="AX9" s="3">
        <v>46059</v>
      </c>
      <c r="AY9" s="2">
        <v>8.5449999999999999</v>
      </c>
      <c r="AZ9" s="2">
        <f t="shared" si="25"/>
        <v>3.1666666666666878E-2</v>
      </c>
      <c r="BA9" s="40">
        <v>46062</v>
      </c>
      <c r="BB9" s="10">
        <v>8.5500000000000007</v>
      </c>
      <c r="BC9" s="10">
        <f t="shared" si="14"/>
        <v>1.6666666666669272E-3</v>
      </c>
      <c r="BD9" s="3">
        <v>46066</v>
      </c>
      <c r="BE9" s="2">
        <v>8.67</v>
      </c>
      <c r="BF9" s="2">
        <f t="shared" si="26"/>
        <v>2.9999999999999805E-2</v>
      </c>
      <c r="BG9" s="40">
        <v>46070</v>
      </c>
      <c r="BH9" s="10">
        <v>8.3149999999999995</v>
      </c>
      <c r="BI9" s="10">
        <f t="shared" si="15"/>
        <v>-8.8750000000000107E-2</v>
      </c>
      <c r="BJ9" s="3">
        <v>46074</v>
      </c>
      <c r="BK9" s="2">
        <v>9.32</v>
      </c>
      <c r="BL9" s="2">
        <f t="shared" si="16"/>
        <v>0.2512500000000002</v>
      </c>
      <c r="BM9" s="40">
        <v>46077</v>
      </c>
      <c r="BN9" s="10">
        <v>9.17</v>
      </c>
      <c r="BO9" s="10">
        <f t="shared" si="17"/>
        <v>-5.0000000000000121E-2</v>
      </c>
      <c r="BP9" s="3">
        <v>46080</v>
      </c>
      <c r="BQ9" s="2">
        <v>9.7750000000000004</v>
      </c>
      <c r="BR9" s="2">
        <f t="shared" si="18"/>
        <v>0.2016666666666668</v>
      </c>
      <c r="BS9" s="142">
        <v>46084</v>
      </c>
      <c r="BT9" s="141">
        <v>10.46</v>
      </c>
      <c r="BU9" s="141">
        <f t="shared" si="27"/>
        <v>0.17125000000000012</v>
      </c>
      <c r="BV9" s="3">
        <v>46088</v>
      </c>
      <c r="BW9" s="2">
        <v>11.52</v>
      </c>
      <c r="BX9" s="2">
        <f t="shared" si="23"/>
        <v>0.26499999999999968</v>
      </c>
      <c r="BY9" s="40">
        <v>46091</v>
      </c>
      <c r="BZ9" s="10">
        <v>11.3</v>
      </c>
      <c r="CA9" s="10">
        <f t="shared" si="19"/>
        <v>-7.3333333333332959E-2</v>
      </c>
      <c r="CB9" s="3">
        <v>46094</v>
      </c>
      <c r="CC9" s="2">
        <v>11.28</v>
      </c>
      <c r="CD9" s="2">
        <f t="shared" si="20"/>
        <v>-6.6666666666671164E-3</v>
      </c>
      <c r="CE9" s="40">
        <v>46098</v>
      </c>
      <c r="CF9" s="10">
        <v>11.77</v>
      </c>
      <c r="CG9" s="10">
        <f t="shared" si="21"/>
        <v>0.12250000000000005</v>
      </c>
      <c r="CH9" s="3">
        <v>46105</v>
      </c>
      <c r="CI9" s="2">
        <v>13.34</v>
      </c>
      <c r="CJ9" s="2">
        <f t="shared" si="22"/>
        <v>0.22428571428571434</v>
      </c>
    </row>
    <row r="10" spans="1:94" ht="60" customHeight="1" x14ac:dyDescent="0.35">
      <c r="A10" s="2">
        <v>9</v>
      </c>
      <c r="B10" s="22">
        <v>4124</v>
      </c>
      <c r="C10" s="3">
        <v>46003</v>
      </c>
      <c r="D10" s="56"/>
      <c r="E10" s="40">
        <v>46010</v>
      </c>
      <c r="F10" s="10">
        <v>5.7</v>
      </c>
      <c r="G10" s="10">
        <f t="shared" si="0"/>
        <v>0.81428571428571428</v>
      </c>
      <c r="H10" s="43">
        <v>46013</v>
      </c>
      <c r="I10" s="2">
        <v>6.4550000000000001</v>
      </c>
      <c r="J10" s="2">
        <f t="shared" si="1"/>
        <v>0.25166666666666665</v>
      </c>
      <c r="K10" s="40">
        <v>46018</v>
      </c>
      <c r="L10" s="10">
        <v>7.57</v>
      </c>
      <c r="M10" s="10">
        <f t="shared" si="11"/>
        <v>0.22300000000000003</v>
      </c>
      <c r="N10" s="43">
        <v>46021</v>
      </c>
      <c r="O10" s="2">
        <v>8.2799999999999994</v>
      </c>
      <c r="P10" s="2">
        <f t="shared" si="2"/>
        <v>0.23666666666666636</v>
      </c>
      <c r="Q10" s="40">
        <v>46024</v>
      </c>
      <c r="R10" s="10">
        <v>8.91</v>
      </c>
      <c r="S10" s="10">
        <f t="shared" si="3"/>
        <v>0.21000000000000027</v>
      </c>
      <c r="T10" s="126">
        <v>46027</v>
      </c>
      <c r="U10" s="2">
        <v>9.6</v>
      </c>
      <c r="V10" s="2">
        <f t="shared" si="4"/>
        <v>0.22999999999999984</v>
      </c>
      <c r="W10" s="40">
        <v>46031</v>
      </c>
      <c r="X10" s="10">
        <v>10.38</v>
      </c>
      <c r="Y10" s="10">
        <f t="shared" si="5"/>
        <v>0.19500000000000028</v>
      </c>
      <c r="Z10" s="43">
        <v>46035</v>
      </c>
      <c r="AA10" s="2">
        <v>11.15</v>
      </c>
      <c r="AB10" s="2">
        <f t="shared" si="6"/>
        <v>0.19249999999999989</v>
      </c>
      <c r="AC10" s="40">
        <v>46038</v>
      </c>
      <c r="AD10" s="10">
        <v>11.53</v>
      </c>
      <c r="AE10" s="10">
        <f t="shared" si="7"/>
        <v>0.12666666666666634</v>
      </c>
      <c r="AF10" s="3">
        <v>46041</v>
      </c>
      <c r="AG10" s="2">
        <v>11.54</v>
      </c>
      <c r="AH10" s="2">
        <f t="shared" si="12"/>
        <v>3.3333333333332624E-3</v>
      </c>
      <c r="AI10" s="40">
        <v>46045</v>
      </c>
      <c r="AJ10" s="10">
        <v>12.55</v>
      </c>
      <c r="AK10" s="10">
        <f t="shared" si="8"/>
        <v>0.25250000000000039</v>
      </c>
      <c r="AL10" s="3">
        <v>46049</v>
      </c>
      <c r="AM10" s="2">
        <v>12.41</v>
      </c>
      <c r="AN10" s="2">
        <f t="shared" si="9"/>
        <v>-3.5000000000000142E-2</v>
      </c>
      <c r="AO10" s="40">
        <v>46052</v>
      </c>
      <c r="AP10" s="10">
        <v>12.99</v>
      </c>
      <c r="AQ10" s="10">
        <f t="shared" si="10"/>
        <v>0.19333333333333336</v>
      </c>
      <c r="AR10" s="3">
        <v>46056</v>
      </c>
      <c r="AS10" s="2">
        <v>13.47</v>
      </c>
      <c r="AT10" s="2">
        <f t="shared" si="13"/>
        <v>0.12000000000000011</v>
      </c>
      <c r="AU10" s="40">
        <v>46059</v>
      </c>
      <c r="AV10" s="10">
        <v>9.3350000000000009</v>
      </c>
      <c r="AW10" s="10">
        <f t="shared" si="24"/>
        <v>-1.3783333333333332</v>
      </c>
      <c r="AX10" s="3">
        <v>46062</v>
      </c>
      <c r="AY10" s="2">
        <v>13.8</v>
      </c>
      <c r="AZ10" s="2">
        <f t="shared" si="25"/>
        <v>1.4883333333333333</v>
      </c>
      <c r="BA10" s="40">
        <v>46066</v>
      </c>
      <c r="BB10" s="10">
        <v>13.77</v>
      </c>
      <c r="BC10" s="10">
        <f t="shared" si="14"/>
        <v>-7.5000000000002842E-3</v>
      </c>
      <c r="BD10" s="3">
        <v>46070</v>
      </c>
      <c r="BE10" s="2">
        <v>13.69</v>
      </c>
      <c r="BF10" s="2">
        <f t="shared" si="26"/>
        <v>-2.0000000000000018E-2</v>
      </c>
      <c r="BG10" s="40">
        <v>46074</v>
      </c>
      <c r="BH10" s="10">
        <v>14</v>
      </c>
      <c r="BI10" s="10">
        <f t="shared" si="15"/>
        <v>7.7500000000000124E-2</v>
      </c>
      <c r="BJ10" s="3">
        <v>46077</v>
      </c>
      <c r="BK10" s="2">
        <v>15.34</v>
      </c>
      <c r="BL10" s="2">
        <f t="shared" si="16"/>
        <v>0.4466666666666666</v>
      </c>
      <c r="BM10" s="40">
        <v>46080</v>
      </c>
      <c r="BN10" s="10">
        <v>16.11</v>
      </c>
      <c r="BO10" s="10">
        <f t="shared" si="17"/>
        <v>0.25666666666666654</v>
      </c>
      <c r="BP10" s="3">
        <v>46084</v>
      </c>
      <c r="BQ10" s="2">
        <v>16.64</v>
      </c>
      <c r="BR10" s="2">
        <f t="shared" si="18"/>
        <v>0.13250000000000028</v>
      </c>
      <c r="BS10" s="142">
        <v>46088</v>
      </c>
      <c r="BT10" s="141">
        <v>17.64</v>
      </c>
      <c r="BU10" s="141">
        <f t="shared" si="27"/>
        <v>0.25</v>
      </c>
      <c r="BV10" s="3">
        <v>46091</v>
      </c>
      <c r="BW10" s="2">
        <v>16.18</v>
      </c>
      <c r="BX10" s="2">
        <f t="shared" si="23"/>
        <v>-0.48666666666666697</v>
      </c>
      <c r="BY10" s="40">
        <v>46094</v>
      </c>
      <c r="BZ10" s="10">
        <v>17.98</v>
      </c>
      <c r="CA10" s="10">
        <f t="shared" si="19"/>
        <v>0.6000000000000002</v>
      </c>
      <c r="CB10" s="3">
        <v>46098</v>
      </c>
      <c r="CC10" s="2">
        <v>19.11</v>
      </c>
      <c r="CD10" s="2">
        <f t="shared" si="20"/>
        <v>0.28249999999999975</v>
      </c>
      <c r="CE10" s="40">
        <v>46105</v>
      </c>
      <c r="CF10" s="10">
        <v>19.54</v>
      </c>
      <c r="CG10" s="10">
        <f t="shared" si="21"/>
        <v>6.1428571428571388E-2</v>
      </c>
    </row>
    <row r="11" spans="1:94" ht="60" customHeight="1" x14ac:dyDescent="0.35">
      <c r="A11" s="2">
        <v>10</v>
      </c>
      <c r="B11" s="22">
        <v>4125</v>
      </c>
      <c r="C11" s="3">
        <v>46009</v>
      </c>
      <c r="D11" s="56" t="s">
        <v>843</v>
      </c>
      <c r="E11" s="40">
        <v>46018</v>
      </c>
      <c r="F11" s="10">
        <v>6.335</v>
      </c>
      <c r="G11" s="10" t="e">
        <f>(F11-D11)/(E11-C11)</f>
        <v>#VALUE!</v>
      </c>
      <c r="H11" s="43">
        <v>46021</v>
      </c>
      <c r="I11" s="2">
        <v>7.3949999999999996</v>
      </c>
      <c r="J11" s="2">
        <f t="shared" si="1"/>
        <v>0.35333333333333322</v>
      </c>
      <c r="K11" s="40">
        <v>46024</v>
      </c>
      <c r="L11" s="10">
        <v>7.9</v>
      </c>
      <c r="M11" s="10">
        <f t="shared" si="11"/>
        <v>0.16833333333333358</v>
      </c>
      <c r="N11" s="126">
        <v>46027</v>
      </c>
      <c r="O11" s="2">
        <v>9</v>
      </c>
      <c r="P11" s="2">
        <f t="shared" si="2"/>
        <v>0.36666666666666653</v>
      </c>
      <c r="Q11" s="40">
        <v>46031</v>
      </c>
      <c r="R11" s="10">
        <v>10.01</v>
      </c>
      <c r="S11" s="10">
        <f t="shared" si="3"/>
        <v>0.25249999999999995</v>
      </c>
      <c r="T11" s="43">
        <v>46035</v>
      </c>
      <c r="U11" s="2">
        <v>10.68</v>
      </c>
      <c r="V11" s="2">
        <f t="shared" si="4"/>
        <v>0.16749999999999998</v>
      </c>
      <c r="W11" s="40">
        <v>46038</v>
      </c>
      <c r="X11" s="10">
        <v>7.0049999999999999</v>
      </c>
      <c r="Y11" s="10">
        <f t="shared" si="5"/>
        <v>-1.2249999999999999</v>
      </c>
      <c r="Z11" s="43">
        <v>46041</v>
      </c>
      <c r="AA11" s="2">
        <v>10.72</v>
      </c>
      <c r="AB11" s="2">
        <f t="shared" si="6"/>
        <v>1.2383333333333335</v>
      </c>
      <c r="AC11" s="40">
        <v>46045</v>
      </c>
      <c r="AD11" s="10">
        <v>11.63</v>
      </c>
      <c r="AE11" s="10">
        <f t="shared" si="7"/>
        <v>0.22750000000000004</v>
      </c>
      <c r="AF11" s="3">
        <v>46049</v>
      </c>
      <c r="AG11" s="2">
        <v>12.18</v>
      </c>
      <c r="AH11" s="2">
        <f t="shared" si="12"/>
        <v>0.13749999999999973</v>
      </c>
      <c r="AI11" s="40">
        <v>46052</v>
      </c>
      <c r="AJ11" s="10">
        <v>11.04</v>
      </c>
      <c r="AK11" s="10">
        <f t="shared" si="8"/>
        <v>-0.38000000000000017</v>
      </c>
      <c r="AL11" s="3">
        <v>46056</v>
      </c>
      <c r="AM11" s="2">
        <v>13.01</v>
      </c>
      <c r="AN11" s="2">
        <f t="shared" si="9"/>
        <v>0.49250000000000016</v>
      </c>
      <c r="AO11" s="40">
        <v>46059</v>
      </c>
      <c r="AP11" s="10">
        <v>13.26</v>
      </c>
      <c r="AQ11" s="10">
        <f t="shared" si="10"/>
        <v>8.3333333333333329E-2</v>
      </c>
      <c r="AR11" s="3">
        <v>46062</v>
      </c>
      <c r="AS11" s="2">
        <v>12.99</v>
      </c>
      <c r="AT11" s="2">
        <f t="shared" si="13"/>
        <v>-8.9999999999999858E-2</v>
      </c>
      <c r="AU11" s="40">
        <v>46066</v>
      </c>
      <c r="AV11" s="10">
        <v>13.24</v>
      </c>
      <c r="AW11" s="10">
        <f t="shared" si="24"/>
        <v>6.25E-2</v>
      </c>
      <c r="AX11" s="3">
        <v>46070</v>
      </c>
      <c r="AY11" s="2">
        <v>13.32</v>
      </c>
      <c r="AZ11" s="2">
        <f t="shared" si="25"/>
        <v>2.0000000000000018E-2</v>
      </c>
      <c r="BA11" s="40">
        <v>46074</v>
      </c>
      <c r="BB11" s="10">
        <v>14.57</v>
      </c>
      <c r="BC11" s="10">
        <f t="shared" si="14"/>
        <v>0.3125</v>
      </c>
      <c r="BD11" s="3">
        <v>46077</v>
      </c>
      <c r="BE11" s="2">
        <v>15.26</v>
      </c>
      <c r="BF11" s="2">
        <f t="shared" si="26"/>
        <v>0.22999999999999984</v>
      </c>
      <c r="BG11" s="40">
        <v>46080</v>
      </c>
      <c r="BH11" s="10">
        <v>15.49</v>
      </c>
      <c r="BI11" s="10">
        <f t="shared" si="15"/>
        <v>7.6666666666666813E-2</v>
      </c>
      <c r="BJ11" s="3">
        <v>46084</v>
      </c>
      <c r="BK11" s="38">
        <v>16.399999999999999</v>
      </c>
      <c r="BL11" s="2">
        <f t="shared" si="16"/>
        <v>0.22749999999999959</v>
      </c>
      <c r="BM11" s="40">
        <v>46088</v>
      </c>
      <c r="BN11" s="10">
        <v>17.54</v>
      </c>
      <c r="BO11" s="10">
        <f t="shared" si="17"/>
        <v>0.28500000000000014</v>
      </c>
      <c r="BP11" s="3">
        <v>46091</v>
      </c>
      <c r="BQ11" s="2">
        <v>17.510000000000002</v>
      </c>
      <c r="BR11" s="2">
        <f t="shared" si="18"/>
        <v>-9.9999999999991953E-3</v>
      </c>
      <c r="BS11" s="142">
        <v>46094</v>
      </c>
      <c r="BT11" s="10">
        <v>17.55</v>
      </c>
      <c r="BU11" s="141">
        <f t="shared" si="27"/>
        <v>1.333333333333305E-2</v>
      </c>
      <c r="BV11" s="3">
        <v>46098</v>
      </c>
      <c r="BW11" s="38">
        <v>17.739999999999998</v>
      </c>
      <c r="BX11" s="2">
        <f t="shared" si="23"/>
        <v>4.7499999999999432E-2</v>
      </c>
      <c r="BY11" s="40">
        <v>46105</v>
      </c>
      <c r="BZ11" s="10">
        <v>23.57</v>
      </c>
      <c r="CA11" s="10">
        <f t="shared" si="19"/>
        <v>0.83285714285714307</v>
      </c>
    </row>
    <row r="12" spans="1:94" ht="60" customHeight="1" x14ac:dyDescent="0.35">
      <c r="A12" s="2">
        <v>11</v>
      </c>
      <c r="B12" s="132">
        <v>4126</v>
      </c>
      <c r="C12" s="3">
        <v>46024</v>
      </c>
      <c r="D12" s="56"/>
      <c r="E12" s="40">
        <v>46031</v>
      </c>
      <c r="F12" s="10">
        <v>6.15</v>
      </c>
      <c r="G12" s="10">
        <f t="shared" si="0"/>
        <v>0.87857142857142867</v>
      </c>
      <c r="H12" s="43">
        <v>46035</v>
      </c>
      <c r="I12" s="2">
        <v>7</v>
      </c>
      <c r="J12" s="2">
        <f t="shared" si="1"/>
        <v>0.21249999999999991</v>
      </c>
      <c r="K12" s="40">
        <v>46038</v>
      </c>
      <c r="L12" s="10">
        <v>6.5650000000000004</v>
      </c>
      <c r="M12" s="10">
        <f t="shared" si="11"/>
        <v>-0.14499999999999988</v>
      </c>
      <c r="N12" s="43">
        <v>46041</v>
      </c>
      <c r="O12" s="2">
        <v>8.15</v>
      </c>
      <c r="P12" s="2">
        <f t="shared" si="2"/>
        <v>0.52833333333333332</v>
      </c>
      <c r="Q12" s="40">
        <v>46045</v>
      </c>
      <c r="R12" s="10">
        <v>8.6649999999999991</v>
      </c>
      <c r="S12" s="10">
        <f t="shared" si="3"/>
        <v>0.1287499999999997</v>
      </c>
      <c r="T12" s="43">
        <v>46049</v>
      </c>
      <c r="U12" s="2">
        <v>8.8949999999999996</v>
      </c>
      <c r="V12" s="2">
        <f t="shared" si="4"/>
        <v>5.7500000000000107E-2</v>
      </c>
      <c r="W12" s="40">
        <v>46052</v>
      </c>
      <c r="X12" s="10">
        <v>8.9049999999999994</v>
      </c>
      <c r="Y12" s="10">
        <f t="shared" si="5"/>
        <v>3.3333333333332624E-3</v>
      </c>
      <c r="Z12" s="43">
        <v>46056</v>
      </c>
      <c r="AA12" s="2">
        <v>9.43</v>
      </c>
      <c r="AB12" s="2">
        <f t="shared" si="6"/>
        <v>0.13125000000000009</v>
      </c>
      <c r="AC12" s="40">
        <v>46059</v>
      </c>
      <c r="AD12" s="10">
        <v>9.15</v>
      </c>
      <c r="AE12" s="10">
        <f t="shared" si="7"/>
        <v>-9.3333333333333116E-2</v>
      </c>
      <c r="AF12" s="3">
        <v>46062</v>
      </c>
      <c r="AG12" s="2">
        <v>9.6150000000000002</v>
      </c>
      <c r="AH12" s="2">
        <f t="shared" si="12"/>
        <v>0.15499999999999994</v>
      </c>
      <c r="AI12" s="40">
        <v>46066</v>
      </c>
      <c r="AJ12" s="10">
        <v>9.7100000000000009</v>
      </c>
      <c r="AK12" s="10">
        <f t="shared" si="8"/>
        <v>2.375000000000016E-2</v>
      </c>
      <c r="AL12" s="3">
        <v>46070</v>
      </c>
      <c r="AM12" s="2">
        <v>9.99</v>
      </c>
      <c r="AN12" s="2">
        <f t="shared" si="9"/>
        <v>6.999999999999984E-2</v>
      </c>
      <c r="AO12" s="40">
        <v>46074</v>
      </c>
      <c r="AP12" s="10">
        <v>10.57</v>
      </c>
      <c r="AQ12" s="10">
        <f t="shared" si="10"/>
        <v>0.14500000000000002</v>
      </c>
      <c r="AR12" s="3">
        <v>46077</v>
      </c>
      <c r="AS12" s="2">
        <v>10.81</v>
      </c>
      <c r="AT12" s="2">
        <f t="shared" si="13"/>
        <v>8.0000000000000071E-2</v>
      </c>
      <c r="AU12" s="40">
        <v>46080</v>
      </c>
      <c r="AV12" s="10">
        <v>11.37</v>
      </c>
      <c r="AW12" s="10">
        <f t="shared" si="24"/>
        <v>0.18666666666666623</v>
      </c>
      <c r="AX12" s="3">
        <v>46084</v>
      </c>
      <c r="AY12" s="2">
        <v>12.29</v>
      </c>
      <c r="AZ12" s="2">
        <f t="shared" si="25"/>
        <v>0.22999999999999998</v>
      </c>
      <c r="BA12" s="40">
        <v>46088</v>
      </c>
      <c r="BB12" s="10">
        <v>12.42</v>
      </c>
      <c r="BC12" s="10">
        <f t="shared" si="14"/>
        <v>3.2500000000000195E-2</v>
      </c>
      <c r="BD12" s="3">
        <v>46091</v>
      </c>
      <c r="BE12" s="2">
        <v>13.77</v>
      </c>
      <c r="BF12" s="2">
        <f t="shared" si="26"/>
        <v>0.4499999999999999</v>
      </c>
      <c r="BG12" s="40">
        <v>46094</v>
      </c>
      <c r="BH12" s="10">
        <v>13.99</v>
      </c>
      <c r="BI12" s="10">
        <f t="shared" si="15"/>
        <v>7.3333333333333542E-2</v>
      </c>
      <c r="BJ12" s="3">
        <v>46098</v>
      </c>
      <c r="BK12" s="2">
        <v>14.3</v>
      </c>
      <c r="BL12" s="2">
        <f t="shared" si="16"/>
        <v>7.7500000000000124E-2</v>
      </c>
      <c r="BM12" s="40">
        <v>46105</v>
      </c>
      <c r="BN12" s="10">
        <v>18.21</v>
      </c>
      <c r="BO12" s="10">
        <f t="shared" si="17"/>
        <v>0.55857142857142861</v>
      </c>
    </row>
    <row r="13" spans="1:94" ht="60" customHeight="1" x14ac:dyDescent="0.35">
      <c r="A13" s="2">
        <v>12</v>
      </c>
      <c r="B13" s="137">
        <v>4127</v>
      </c>
      <c r="C13" s="43">
        <v>46025</v>
      </c>
      <c r="D13" s="56"/>
      <c r="E13" s="40">
        <v>46035</v>
      </c>
      <c r="F13" s="10">
        <v>6.3550000000000004</v>
      </c>
      <c r="G13" s="10">
        <f t="shared" si="0"/>
        <v>0.63550000000000006</v>
      </c>
      <c r="H13" s="43">
        <v>46038</v>
      </c>
      <c r="I13" s="2">
        <v>6.7</v>
      </c>
      <c r="J13" s="2">
        <f t="shared" si="1"/>
        <v>0.11499999999999992</v>
      </c>
      <c r="K13" s="40">
        <v>46041</v>
      </c>
      <c r="L13" s="10">
        <v>7.7549999999999999</v>
      </c>
      <c r="M13" s="10">
        <f t="shared" si="11"/>
        <v>0.35166666666666657</v>
      </c>
      <c r="N13" s="43">
        <v>46045</v>
      </c>
      <c r="O13" s="2">
        <v>8.69</v>
      </c>
      <c r="P13" s="2">
        <f t="shared" si="2"/>
        <v>0.2337499999999999</v>
      </c>
      <c r="Q13" s="40">
        <v>46049</v>
      </c>
      <c r="R13" s="10">
        <v>9.31</v>
      </c>
      <c r="S13" s="10">
        <f t="shared" si="3"/>
        <v>0.15500000000000025</v>
      </c>
      <c r="T13" s="43">
        <v>46052</v>
      </c>
      <c r="U13" s="2">
        <v>9.89</v>
      </c>
      <c r="V13" s="2">
        <f t="shared" si="4"/>
        <v>0.19333333333333336</v>
      </c>
      <c r="W13" s="40">
        <v>46056</v>
      </c>
      <c r="X13" s="10">
        <v>10.28</v>
      </c>
      <c r="Y13" s="10">
        <f t="shared" si="5"/>
        <v>9.7499999999999698E-2</v>
      </c>
      <c r="Z13" s="43">
        <v>46059</v>
      </c>
      <c r="AA13" s="2">
        <v>10.57</v>
      </c>
      <c r="AB13" s="2">
        <f t="shared" si="6"/>
        <v>9.666666666666697E-2</v>
      </c>
      <c r="AC13" s="40">
        <v>46062</v>
      </c>
      <c r="AD13" s="10">
        <v>10.6</v>
      </c>
      <c r="AE13" s="10">
        <f t="shared" si="7"/>
        <v>9.9999999999997868E-3</v>
      </c>
      <c r="AF13" s="3">
        <v>46066</v>
      </c>
      <c r="AG13" s="2">
        <v>12.01</v>
      </c>
      <c r="AH13" s="2">
        <f t="shared" si="12"/>
        <v>0.35250000000000004</v>
      </c>
      <c r="AI13" s="40">
        <v>46070</v>
      </c>
      <c r="AJ13" s="10">
        <v>12.6</v>
      </c>
      <c r="AK13" s="10">
        <f t="shared" si="8"/>
        <v>0.14749999999999996</v>
      </c>
      <c r="AL13" s="3">
        <v>46074</v>
      </c>
      <c r="AM13" s="2">
        <v>13</v>
      </c>
      <c r="AN13" s="2">
        <f t="shared" si="9"/>
        <v>0.10000000000000009</v>
      </c>
      <c r="AO13" s="40"/>
    </row>
    <row r="14" spans="1:94" ht="60" customHeight="1" x14ac:dyDescent="0.35">
      <c r="A14" s="2">
        <v>13</v>
      </c>
      <c r="B14" s="22">
        <v>4128</v>
      </c>
      <c r="C14" s="43">
        <v>46026</v>
      </c>
      <c r="D14" s="56"/>
      <c r="E14" s="40">
        <v>46035</v>
      </c>
      <c r="F14" s="10">
        <v>5.8550000000000004</v>
      </c>
      <c r="G14" s="10">
        <f t="shared" si="0"/>
        <v>0.65055555555555555</v>
      </c>
      <c r="H14" s="43">
        <v>46038</v>
      </c>
      <c r="I14" s="2">
        <v>5.9950000000000001</v>
      </c>
      <c r="J14" s="2">
        <f t="shared" si="1"/>
        <v>4.6666666666666558E-2</v>
      </c>
      <c r="K14" s="40">
        <v>46041</v>
      </c>
      <c r="L14" s="10">
        <v>6.55</v>
      </c>
      <c r="M14" s="10">
        <f t="shared" si="11"/>
        <v>0.18499999999999991</v>
      </c>
      <c r="N14" s="43">
        <v>46045</v>
      </c>
      <c r="O14" s="2">
        <v>6.69</v>
      </c>
      <c r="P14" s="2">
        <f t="shared" si="2"/>
        <v>3.5000000000000142E-2</v>
      </c>
      <c r="Q14" s="40">
        <v>46049</v>
      </c>
      <c r="R14" s="10">
        <v>7.11</v>
      </c>
      <c r="S14" s="10">
        <f t="shared" si="3"/>
        <v>0.10499999999999998</v>
      </c>
      <c r="T14" s="43">
        <v>46052</v>
      </c>
      <c r="U14" s="2">
        <v>7.61</v>
      </c>
      <c r="V14" s="2">
        <f t="shared" si="4"/>
        <v>0.16666666666666666</v>
      </c>
      <c r="W14" s="40">
        <v>46056</v>
      </c>
      <c r="X14" s="10">
        <v>8.3249999999999993</v>
      </c>
      <c r="Y14" s="10">
        <f t="shared" si="5"/>
        <v>0.17874999999999974</v>
      </c>
      <c r="Z14" s="43">
        <v>46059</v>
      </c>
      <c r="AA14" s="2">
        <v>8.2550000000000008</v>
      </c>
      <c r="AB14" s="2">
        <f t="shared" si="6"/>
        <v>-2.3333333333332835E-2</v>
      </c>
      <c r="AC14" s="40">
        <v>46062</v>
      </c>
      <c r="AD14" s="10">
        <v>8.7449999999999992</v>
      </c>
      <c r="AE14" s="10">
        <f t="shared" si="7"/>
        <v>0.1633333333333328</v>
      </c>
      <c r="AF14" s="3">
        <v>46066</v>
      </c>
      <c r="AG14" s="2">
        <v>8.57</v>
      </c>
      <c r="AH14" s="2">
        <f t="shared" si="12"/>
        <v>-4.3749999999999734E-2</v>
      </c>
      <c r="AI14" s="40">
        <v>46070</v>
      </c>
      <c r="AJ14" s="10">
        <v>9.14</v>
      </c>
      <c r="AK14" s="10">
        <f t="shared" si="8"/>
        <v>0.14250000000000007</v>
      </c>
      <c r="AL14" s="3">
        <v>46074</v>
      </c>
      <c r="AM14" s="2">
        <v>9.5150000000000006</v>
      </c>
      <c r="AN14" s="2">
        <f t="shared" si="9"/>
        <v>9.375E-2</v>
      </c>
      <c r="AO14" s="40">
        <v>46077</v>
      </c>
      <c r="AP14" s="10">
        <v>10.41</v>
      </c>
      <c r="AQ14" s="10">
        <f t="shared" si="10"/>
        <v>0.29833333333333317</v>
      </c>
      <c r="AR14" s="3">
        <v>46080</v>
      </c>
      <c r="AS14" s="2">
        <v>10.73</v>
      </c>
      <c r="AT14" s="2">
        <f>(AS14-AP14)/(AR14-AO14)</f>
        <v>0.10666666666666676</v>
      </c>
      <c r="AU14" s="40">
        <v>46084</v>
      </c>
      <c r="AV14" s="10">
        <v>12</v>
      </c>
      <c r="AW14" s="10">
        <f t="shared" si="24"/>
        <v>0.31749999999999989</v>
      </c>
      <c r="AX14" s="3">
        <v>46088</v>
      </c>
      <c r="AY14" s="2">
        <v>12.42</v>
      </c>
      <c r="AZ14" s="2">
        <f t="shared" si="25"/>
        <v>0.10499999999999998</v>
      </c>
      <c r="BA14" s="40">
        <v>46091</v>
      </c>
      <c r="BB14" s="10">
        <v>12.24</v>
      </c>
      <c r="BC14" s="10">
        <f t="shared" si="14"/>
        <v>-5.9999999999999908E-2</v>
      </c>
      <c r="BD14" s="3">
        <v>46094</v>
      </c>
      <c r="BE14" s="2">
        <v>13.38</v>
      </c>
      <c r="BF14" s="2">
        <f t="shared" si="26"/>
        <v>0.38000000000000017</v>
      </c>
      <c r="BG14" s="40">
        <v>46098</v>
      </c>
      <c r="BH14" s="10">
        <v>14.15</v>
      </c>
      <c r="BI14" s="10">
        <f t="shared" si="15"/>
        <v>0.19249999999999989</v>
      </c>
      <c r="BJ14" s="3">
        <v>46105</v>
      </c>
      <c r="BK14" s="2">
        <v>16.2</v>
      </c>
      <c r="BL14" s="2">
        <f t="shared" si="16"/>
        <v>0.2928571428571427</v>
      </c>
    </row>
    <row r="15" spans="1:94" ht="60" customHeight="1" x14ac:dyDescent="0.35">
      <c r="A15" s="2">
        <v>14</v>
      </c>
      <c r="B15" s="22">
        <v>4129</v>
      </c>
      <c r="C15" s="3">
        <v>46038</v>
      </c>
      <c r="D15" s="85" t="s">
        <v>1112</v>
      </c>
      <c r="E15" s="40">
        <v>46049</v>
      </c>
      <c r="F15" s="10">
        <v>8.0950000000000006</v>
      </c>
      <c r="G15" s="10" t="e">
        <f t="shared" si="0"/>
        <v>#VALUE!</v>
      </c>
      <c r="H15" s="43">
        <v>46052</v>
      </c>
      <c r="I15" s="2">
        <v>8.7949999999999999</v>
      </c>
      <c r="J15" s="2">
        <f t="shared" si="1"/>
        <v>0.23333333333333309</v>
      </c>
      <c r="K15" s="40">
        <v>46056</v>
      </c>
      <c r="L15" s="10">
        <v>10.14</v>
      </c>
      <c r="M15" s="10">
        <f t="shared" si="11"/>
        <v>0.33625000000000016</v>
      </c>
      <c r="N15" s="43">
        <v>46059</v>
      </c>
      <c r="O15" s="2">
        <v>10.85</v>
      </c>
      <c r="P15" s="2">
        <f t="shared" si="2"/>
        <v>0.23666666666666636</v>
      </c>
      <c r="Q15" s="40">
        <v>46062</v>
      </c>
      <c r="R15" s="10">
        <v>12.01</v>
      </c>
      <c r="S15" s="10">
        <f t="shared" si="3"/>
        <v>0.38666666666666671</v>
      </c>
      <c r="T15" s="43">
        <v>46066</v>
      </c>
      <c r="U15" s="2">
        <v>12.83</v>
      </c>
      <c r="V15" s="2">
        <f t="shared" si="4"/>
        <v>0.20500000000000007</v>
      </c>
      <c r="W15" s="40">
        <v>46070</v>
      </c>
      <c r="X15" s="10">
        <v>12.28</v>
      </c>
      <c r="Y15" s="10">
        <f t="shared" si="5"/>
        <v>-0.13750000000000018</v>
      </c>
      <c r="Z15" s="43">
        <v>46074</v>
      </c>
      <c r="AA15" s="2">
        <v>12.76</v>
      </c>
      <c r="AB15" s="2">
        <f t="shared" si="6"/>
        <v>0.12000000000000011</v>
      </c>
      <c r="AC15" s="40">
        <v>46077</v>
      </c>
      <c r="AD15" s="10">
        <v>14.01</v>
      </c>
      <c r="AE15" s="10">
        <f t="shared" si="7"/>
        <v>0.41666666666666669</v>
      </c>
      <c r="AF15" s="3">
        <v>46080</v>
      </c>
      <c r="AG15" s="2">
        <v>14.99</v>
      </c>
      <c r="AH15" s="2">
        <f t="shared" si="12"/>
        <v>0.32666666666666683</v>
      </c>
      <c r="AI15" s="40">
        <v>46084</v>
      </c>
      <c r="AJ15" s="10">
        <v>15.8</v>
      </c>
      <c r="AK15" s="10">
        <f t="shared" si="8"/>
        <v>0.20250000000000012</v>
      </c>
      <c r="AL15" s="3">
        <v>46088</v>
      </c>
      <c r="AM15" s="2">
        <v>16.98</v>
      </c>
      <c r="AN15" s="2">
        <f t="shared" si="9"/>
        <v>0.29499999999999993</v>
      </c>
      <c r="AO15" s="40">
        <v>46091</v>
      </c>
      <c r="AP15" s="10">
        <v>17.57</v>
      </c>
      <c r="AQ15" s="10">
        <f t="shared" si="10"/>
        <v>0.19666666666666663</v>
      </c>
      <c r="AR15" s="3">
        <v>46094</v>
      </c>
      <c r="AS15" s="2">
        <v>18.2</v>
      </c>
      <c r="AT15" s="2">
        <f t="shared" ref="AT15:AT18" si="28">(AS15-AP15)/(AR15-AO15)</f>
        <v>0.20999999999999966</v>
      </c>
      <c r="AU15" s="40">
        <v>46098</v>
      </c>
      <c r="AV15" s="10">
        <v>18.850000000000001</v>
      </c>
      <c r="AW15" s="10">
        <f t="shared" si="24"/>
        <v>0.16250000000000053</v>
      </c>
      <c r="AX15" s="3">
        <v>46105</v>
      </c>
      <c r="AY15" s="2">
        <v>21</v>
      </c>
      <c r="AZ15" s="2">
        <f t="shared" si="25"/>
        <v>0.30714285714285694</v>
      </c>
    </row>
    <row r="16" spans="1:94" ht="60" customHeight="1" x14ac:dyDescent="0.35">
      <c r="A16" s="2">
        <v>15</v>
      </c>
      <c r="B16" s="137">
        <v>4130</v>
      </c>
      <c r="C16" s="3">
        <v>46039</v>
      </c>
      <c r="D16" s="56"/>
      <c r="E16" s="40">
        <v>46049</v>
      </c>
      <c r="F16" s="10">
        <v>7.47</v>
      </c>
      <c r="G16" s="10">
        <f t="shared" si="0"/>
        <v>0.747</v>
      </c>
      <c r="H16" s="43">
        <v>46052</v>
      </c>
      <c r="I16" s="2">
        <v>8.18</v>
      </c>
      <c r="J16" s="2">
        <f t="shared" si="1"/>
        <v>0.23666666666666666</v>
      </c>
      <c r="K16" s="40">
        <v>46056</v>
      </c>
      <c r="L16" s="10">
        <v>8.3550000000000004</v>
      </c>
      <c r="M16" s="10">
        <f t="shared" si="11"/>
        <v>4.3750000000000178E-2</v>
      </c>
      <c r="N16" s="43">
        <v>46059</v>
      </c>
      <c r="O16" s="2">
        <v>8.99</v>
      </c>
      <c r="P16" s="2">
        <f t="shared" si="2"/>
        <v>0.21166666666666659</v>
      </c>
      <c r="Q16" s="40">
        <v>46062</v>
      </c>
      <c r="R16" s="10">
        <v>9.7899999999999991</v>
      </c>
      <c r="S16" s="10">
        <f t="shared" si="3"/>
        <v>0.26666666666666633</v>
      </c>
      <c r="T16" s="43">
        <v>46066</v>
      </c>
      <c r="U16" s="2">
        <v>10.5</v>
      </c>
      <c r="V16" s="2">
        <f t="shared" si="4"/>
        <v>0.17750000000000021</v>
      </c>
      <c r="W16" s="40">
        <v>46070</v>
      </c>
      <c r="X16" s="10">
        <v>10.7</v>
      </c>
      <c r="Y16" s="10">
        <f t="shared" si="5"/>
        <v>4.9999999999999822E-2</v>
      </c>
      <c r="Z16" s="43">
        <v>46074</v>
      </c>
      <c r="AA16" s="2">
        <v>10.79</v>
      </c>
      <c r="AB16" s="2">
        <f t="shared" si="6"/>
        <v>2.2499999999999964E-2</v>
      </c>
    </row>
    <row r="17" spans="1:52" ht="60" customHeight="1" x14ac:dyDescent="0.35">
      <c r="A17" s="2">
        <v>16</v>
      </c>
      <c r="B17" s="22">
        <v>4131</v>
      </c>
      <c r="C17" s="3">
        <v>46041</v>
      </c>
      <c r="D17" s="56"/>
      <c r="E17" s="40">
        <v>46049</v>
      </c>
      <c r="F17" s="10">
        <v>7.665</v>
      </c>
      <c r="G17" s="10">
        <f t="shared" si="0"/>
        <v>0.958125</v>
      </c>
      <c r="H17" s="43">
        <v>46052</v>
      </c>
      <c r="I17" s="2">
        <v>7.2050000000000001</v>
      </c>
      <c r="J17" s="2">
        <f t="shared" si="1"/>
        <v>-0.15333333333333332</v>
      </c>
      <c r="K17" s="40">
        <v>46056</v>
      </c>
      <c r="L17" s="10">
        <v>9.2850000000000001</v>
      </c>
      <c r="M17" s="10">
        <f t="shared" si="11"/>
        <v>0.52</v>
      </c>
      <c r="N17" s="43">
        <v>46059</v>
      </c>
      <c r="O17" s="2">
        <v>9.3350000000000009</v>
      </c>
      <c r="P17" s="2">
        <f t="shared" si="2"/>
        <v>1.6666666666666902E-2</v>
      </c>
      <c r="Q17" s="40">
        <v>46062</v>
      </c>
      <c r="R17" s="10">
        <v>10.210000000000001</v>
      </c>
      <c r="S17" s="10">
        <f t="shared" si="3"/>
        <v>0.29166666666666669</v>
      </c>
      <c r="T17" s="43">
        <v>46066</v>
      </c>
      <c r="U17" s="2">
        <v>11.12</v>
      </c>
      <c r="V17" s="2">
        <f t="shared" si="4"/>
        <v>0.22749999999999959</v>
      </c>
      <c r="W17" s="40">
        <v>46070</v>
      </c>
      <c r="X17" s="10">
        <v>10.73</v>
      </c>
      <c r="Y17" s="10">
        <f t="shared" si="5"/>
        <v>-9.7499999999999698E-2</v>
      </c>
      <c r="Z17" s="43">
        <v>46074</v>
      </c>
      <c r="AA17" s="2">
        <v>11.02</v>
      </c>
      <c r="AB17" s="2">
        <f t="shared" si="6"/>
        <v>7.2499999999999787E-2</v>
      </c>
      <c r="AC17" s="40">
        <v>46077</v>
      </c>
      <c r="AD17" s="10">
        <v>6.2949999999999999</v>
      </c>
      <c r="AE17" s="10">
        <f t="shared" si="7"/>
        <v>-1.575</v>
      </c>
      <c r="AF17" s="3">
        <v>46080</v>
      </c>
      <c r="AG17" s="2">
        <v>12.71</v>
      </c>
      <c r="AH17" s="2">
        <f t="shared" si="12"/>
        <v>2.1383333333333336</v>
      </c>
      <c r="AI17" s="40">
        <v>46084</v>
      </c>
      <c r="AJ17" s="10">
        <v>13.7</v>
      </c>
      <c r="AK17" s="10">
        <f t="shared" si="8"/>
        <v>0.24749999999999961</v>
      </c>
      <c r="AL17" s="3">
        <v>46088</v>
      </c>
      <c r="AM17" s="38">
        <v>14.39</v>
      </c>
      <c r="AN17" s="2">
        <f t="shared" si="9"/>
        <v>0.17250000000000032</v>
      </c>
      <c r="AO17" s="40">
        <v>46091</v>
      </c>
      <c r="AP17" s="10">
        <v>16.010000000000002</v>
      </c>
      <c r="AQ17" s="10">
        <f t="shared" si="10"/>
        <v>0.54000000000000037</v>
      </c>
      <c r="AR17" s="3">
        <v>46094</v>
      </c>
      <c r="AS17" s="2">
        <v>16.71</v>
      </c>
      <c r="AT17" s="2">
        <f t="shared" si="28"/>
        <v>0.23333333333333309</v>
      </c>
      <c r="AU17" s="40">
        <v>46098</v>
      </c>
      <c r="AV17" s="10">
        <v>17.23</v>
      </c>
      <c r="AW17" s="10">
        <f t="shared" si="24"/>
        <v>0.12999999999999989</v>
      </c>
      <c r="AX17" s="3">
        <v>46105</v>
      </c>
      <c r="AY17" s="2">
        <v>21</v>
      </c>
      <c r="AZ17" s="2">
        <f t="shared" si="25"/>
        <v>0.53857142857142848</v>
      </c>
    </row>
    <row r="18" spans="1:52" ht="60" customHeight="1" x14ac:dyDescent="0.35">
      <c r="A18" s="2">
        <v>17</v>
      </c>
      <c r="B18" s="22">
        <v>4132</v>
      </c>
      <c r="C18" s="43">
        <v>46048</v>
      </c>
      <c r="D18" s="56"/>
      <c r="E18" s="40">
        <v>46056</v>
      </c>
      <c r="F18" s="10">
        <v>6.2549999999999999</v>
      </c>
      <c r="G18" s="10">
        <f t="shared" si="0"/>
        <v>0.78187499999999999</v>
      </c>
      <c r="H18" s="43">
        <v>46059</v>
      </c>
      <c r="I18" s="2">
        <v>6.6950000000000003</v>
      </c>
      <c r="J18" s="2">
        <f t="shared" si="1"/>
        <v>0.14666666666666681</v>
      </c>
      <c r="K18" s="40">
        <v>46062</v>
      </c>
      <c r="L18" s="10">
        <v>7.29</v>
      </c>
      <c r="M18" s="10">
        <f t="shared" si="11"/>
        <v>0.19833333333333325</v>
      </c>
      <c r="N18" s="43">
        <v>46066</v>
      </c>
      <c r="O18" s="2">
        <v>7.7069999999999999</v>
      </c>
      <c r="P18" s="2">
        <f t="shared" si="2"/>
        <v>0.10424999999999995</v>
      </c>
      <c r="Q18" s="40">
        <v>46070</v>
      </c>
      <c r="R18" s="10">
        <v>8.3699999999999992</v>
      </c>
      <c r="S18" s="10">
        <f t="shared" si="3"/>
        <v>0.16574999999999984</v>
      </c>
      <c r="T18" s="43">
        <v>46074</v>
      </c>
      <c r="U18" s="2">
        <v>8.57</v>
      </c>
      <c r="V18" s="2">
        <f t="shared" si="4"/>
        <v>5.0000000000000266E-2</v>
      </c>
      <c r="W18" s="40">
        <v>46077</v>
      </c>
      <c r="X18" s="10">
        <v>8.1199999999999992</v>
      </c>
      <c r="Y18" s="10">
        <f t="shared" si="5"/>
        <v>-0.15000000000000036</v>
      </c>
      <c r="Z18" s="43">
        <v>46080</v>
      </c>
      <c r="AA18" s="2">
        <v>8.3249999999999993</v>
      </c>
      <c r="AB18" s="2">
        <f t="shared" si="6"/>
        <v>6.8333333333333357E-2</v>
      </c>
      <c r="AC18" s="40">
        <v>46084</v>
      </c>
      <c r="AD18" s="10">
        <v>9.17</v>
      </c>
      <c r="AE18" s="10">
        <f t="shared" si="7"/>
        <v>0.21125000000000016</v>
      </c>
      <c r="AF18" s="3">
        <v>46088</v>
      </c>
      <c r="AG18" s="2">
        <v>10.01</v>
      </c>
      <c r="AH18" s="2">
        <f t="shared" si="12"/>
        <v>0.20999999999999996</v>
      </c>
      <c r="AI18" s="40">
        <v>46091</v>
      </c>
      <c r="AJ18" s="10">
        <v>10.01</v>
      </c>
      <c r="AK18" s="10">
        <f t="shared" si="8"/>
        <v>0</v>
      </c>
      <c r="AL18" s="3">
        <v>46094</v>
      </c>
      <c r="AM18" s="2">
        <v>10.91</v>
      </c>
      <c r="AN18" s="2">
        <f t="shared" si="9"/>
        <v>0.3000000000000001</v>
      </c>
      <c r="AO18" s="40">
        <v>46098</v>
      </c>
      <c r="AP18" s="10">
        <v>10.84</v>
      </c>
      <c r="AQ18" s="10">
        <f t="shared" si="10"/>
        <v>-1.7500000000000071E-2</v>
      </c>
      <c r="AR18" s="3">
        <v>46105</v>
      </c>
      <c r="AS18" s="2">
        <v>13.86</v>
      </c>
      <c r="AT18" s="2">
        <f t="shared" si="28"/>
        <v>0.43142857142857138</v>
      </c>
    </row>
    <row r="19" spans="1:52" ht="60" customHeight="1" x14ac:dyDescent="0.35">
      <c r="A19" s="2">
        <v>18</v>
      </c>
      <c r="B19" s="22">
        <v>4117</v>
      </c>
      <c r="C19" s="43">
        <v>46065</v>
      </c>
      <c r="D19" s="56"/>
      <c r="E19" s="40">
        <v>46074</v>
      </c>
      <c r="F19" s="10">
        <v>6.6849999999999996</v>
      </c>
      <c r="G19" s="10">
        <f t="shared" si="0"/>
        <v>0.74277777777777776</v>
      </c>
      <c r="H19" s="43">
        <v>46077</v>
      </c>
      <c r="I19" s="2">
        <v>7.5250000000000004</v>
      </c>
      <c r="J19" s="2">
        <f t="shared" si="1"/>
        <v>0.28000000000000025</v>
      </c>
      <c r="K19" s="40">
        <v>46080</v>
      </c>
      <c r="L19" s="10">
        <v>8.3249999999999993</v>
      </c>
      <c r="M19" s="10">
        <f t="shared" si="11"/>
        <v>0.26666666666666633</v>
      </c>
      <c r="N19" s="43">
        <v>46084</v>
      </c>
      <c r="O19" s="2">
        <v>9.1750000000000007</v>
      </c>
      <c r="P19" s="2">
        <f t="shared" si="2"/>
        <v>0.21250000000000036</v>
      </c>
      <c r="Q19" s="40">
        <v>46088</v>
      </c>
      <c r="R19" s="10">
        <v>9.8849999999999998</v>
      </c>
      <c r="S19" s="10">
        <f t="shared" si="3"/>
        <v>0.17749999999999977</v>
      </c>
      <c r="T19" s="43">
        <v>46091</v>
      </c>
      <c r="U19" s="2">
        <v>8.6950000000000003</v>
      </c>
      <c r="V19" s="2">
        <f t="shared" si="4"/>
        <v>-0.3966666666666665</v>
      </c>
      <c r="W19" s="40">
        <v>46094</v>
      </c>
      <c r="X19" s="10">
        <v>9.1999999999999993</v>
      </c>
      <c r="Y19" s="10">
        <f t="shared" si="5"/>
        <v>0.168333333333333</v>
      </c>
      <c r="Z19" s="43">
        <v>46098</v>
      </c>
      <c r="AA19" s="2">
        <v>8.49</v>
      </c>
      <c r="AB19" s="2">
        <f t="shared" si="6"/>
        <v>-0.17749999999999977</v>
      </c>
      <c r="AC19" s="40">
        <v>46101</v>
      </c>
      <c r="AD19" s="10">
        <v>8.5299999999999994</v>
      </c>
      <c r="AE19" s="10">
        <f t="shared" si="7"/>
        <v>1.333333333333305E-2</v>
      </c>
      <c r="AF19" s="3">
        <v>46105</v>
      </c>
      <c r="AG19" s="2">
        <v>10.65</v>
      </c>
      <c r="AH19" s="2">
        <f t="shared" si="12"/>
        <v>0.53000000000000025</v>
      </c>
    </row>
    <row r="20" spans="1:52" ht="60" customHeight="1" x14ac:dyDescent="0.35">
      <c r="A20" s="2">
        <v>19</v>
      </c>
      <c r="B20" s="143">
        <v>4134</v>
      </c>
      <c r="C20" s="43">
        <v>46072</v>
      </c>
      <c r="D20" s="56" t="s">
        <v>1118</v>
      </c>
      <c r="E20" s="40">
        <v>46088</v>
      </c>
      <c r="F20" s="10">
        <v>5.92</v>
      </c>
      <c r="G20" s="10" t="e">
        <f t="shared" si="0"/>
        <v>#VALUE!</v>
      </c>
      <c r="H20" s="43">
        <v>46305</v>
      </c>
      <c r="I20" s="2">
        <v>7.34</v>
      </c>
      <c r="J20" s="2">
        <f t="shared" si="1"/>
        <v>6.5437788018433175E-3</v>
      </c>
      <c r="K20" s="40">
        <v>46094</v>
      </c>
      <c r="L20" s="10">
        <v>6.74</v>
      </c>
      <c r="M20" s="10">
        <f t="shared" si="11"/>
        <v>2.8436018957345953E-3</v>
      </c>
      <c r="N20" s="43" t="s">
        <v>1118</v>
      </c>
    </row>
    <row r="21" spans="1:52" ht="60" customHeight="1" x14ac:dyDescent="0.35"/>
    <row r="22" spans="1:52" ht="60" customHeight="1" x14ac:dyDescent="0.35"/>
    <row r="23" spans="1:52" ht="60" customHeight="1" x14ac:dyDescent="0.35"/>
    <row r="24" spans="1:52" ht="60" customHeight="1" x14ac:dyDescent="0.35"/>
    <row r="25" spans="1:52" ht="60" customHeight="1" x14ac:dyDescent="0.35"/>
    <row r="26" spans="1:52" ht="60" customHeight="1" x14ac:dyDescent="0.35"/>
    <row r="27" spans="1:52" ht="60" customHeight="1" x14ac:dyDescent="0.35"/>
    <row r="28" spans="1:52" ht="60" customHeight="1" x14ac:dyDescent="0.35"/>
    <row r="29" spans="1:52" ht="60" customHeight="1" x14ac:dyDescent="0.35"/>
    <row r="30" spans="1:52" ht="60" customHeight="1" x14ac:dyDescent="0.35"/>
    <row r="31" spans="1:52" ht="60" customHeight="1" x14ac:dyDescent="0.35"/>
    <row r="32" spans="1:52" ht="60" customHeight="1" x14ac:dyDescent="0.35"/>
    <row r="33" ht="60" customHeight="1" x14ac:dyDescent="0.35"/>
    <row r="34" ht="60" customHeight="1" x14ac:dyDescent="0.35"/>
    <row r="35" ht="60" customHeight="1" x14ac:dyDescent="0.35"/>
    <row r="36" ht="60" customHeight="1" x14ac:dyDescent="0.35"/>
    <row r="37" ht="60" customHeight="1" x14ac:dyDescent="0.35"/>
    <row r="38" ht="60" customHeight="1" x14ac:dyDescent="0.35"/>
    <row r="39" ht="60" customHeight="1" x14ac:dyDescent="0.35"/>
    <row r="40" ht="60" customHeight="1" x14ac:dyDescent="0.35"/>
    <row r="41" ht="60" customHeight="1" x14ac:dyDescent="0.35"/>
    <row r="42" ht="60" customHeight="1" x14ac:dyDescent="0.35"/>
    <row r="43" ht="60" customHeight="1" x14ac:dyDescent="0.35"/>
    <row r="44" ht="60" customHeight="1" x14ac:dyDescent="0.35"/>
    <row r="45" ht="60" customHeight="1" x14ac:dyDescent="0.35"/>
    <row r="46" ht="60" customHeight="1" x14ac:dyDescent="0.35"/>
    <row r="47" ht="60" customHeight="1" x14ac:dyDescent="0.35"/>
    <row r="48" ht="60" customHeight="1" x14ac:dyDescent="0.35"/>
    <row r="49" ht="60" customHeight="1" x14ac:dyDescent="0.35"/>
    <row r="50" ht="60" customHeight="1" x14ac:dyDescent="0.35"/>
    <row r="51" ht="60" customHeight="1" x14ac:dyDescent="0.35"/>
    <row r="52" ht="60" customHeight="1" x14ac:dyDescent="0.35"/>
    <row r="53" ht="60" customHeight="1" x14ac:dyDescent="0.35"/>
    <row r="54" ht="60" customHeight="1" x14ac:dyDescent="0.35"/>
    <row r="55" ht="60" customHeight="1" x14ac:dyDescent="0.35"/>
    <row r="56" ht="60" customHeight="1" x14ac:dyDescent="0.35"/>
    <row r="57" ht="60" customHeight="1" x14ac:dyDescent="0.35"/>
    <row r="58" ht="60" customHeight="1" x14ac:dyDescent="0.35"/>
    <row r="59" ht="60" customHeight="1" x14ac:dyDescent="0.35"/>
    <row r="60" ht="60" customHeight="1" x14ac:dyDescent="0.35"/>
    <row r="61" ht="60" customHeight="1" x14ac:dyDescent="0.35"/>
    <row r="62" ht="60" customHeight="1" x14ac:dyDescent="0.35"/>
    <row r="63" ht="60" customHeight="1" x14ac:dyDescent="0.35"/>
    <row r="64" ht="60" customHeight="1" x14ac:dyDescent="0.35"/>
    <row r="65" ht="60" customHeight="1" x14ac:dyDescent="0.35"/>
    <row r="66" ht="60" customHeight="1" x14ac:dyDescent="0.35"/>
    <row r="67" ht="60" customHeight="1" x14ac:dyDescent="0.35"/>
    <row r="68" ht="60" customHeight="1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1121-7558-48DC-BF21-596BB342060F}">
  <dimension ref="A1:AI398"/>
  <sheetViews>
    <sheetView tabSelected="1" zoomScale="71" workbookViewId="0">
      <pane ySplit="2" topLeftCell="A359" activePane="bottomLeft" state="frozen"/>
      <selection pane="bottomLeft" activeCell="Z399" sqref="Z399"/>
    </sheetView>
  </sheetViews>
  <sheetFormatPr defaultColWidth="8.81640625" defaultRowHeight="21" x14ac:dyDescent="0.35"/>
  <cols>
    <col min="1" max="1" width="4.453125" style="93" customWidth="1"/>
    <col min="2" max="2" width="26.6328125" style="95" customWidth="1"/>
    <col min="3" max="3" width="25.6328125" style="97" customWidth="1"/>
    <col min="4" max="5" width="12.6328125" style="97" customWidth="1"/>
    <col min="6" max="9" width="8.81640625" style="10"/>
    <col min="10" max="18" width="8.81640625" style="74"/>
    <col min="19" max="19" width="12.6328125" style="97" customWidth="1"/>
    <col min="20" max="23" width="8.81640625" style="10"/>
    <col min="24" max="32" width="8.81640625" style="74"/>
    <col min="33" max="35" width="10.6328125" style="90" customWidth="1"/>
    <col min="36" max="16384" width="8.81640625" style="104"/>
  </cols>
  <sheetData>
    <row r="1" spans="1:35" x14ac:dyDescent="0.35">
      <c r="A1" s="91" t="s">
        <v>0</v>
      </c>
      <c r="B1" s="92" t="s">
        <v>1</v>
      </c>
      <c r="C1" s="93" t="s">
        <v>39</v>
      </c>
      <c r="D1" s="92"/>
      <c r="F1" s="150" t="s">
        <v>502</v>
      </c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78"/>
      <c r="T1" s="151" t="s">
        <v>503</v>
      </c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79"/>
    </row>
    <row r="2" spans="1:35" ht="43.5" x14ac:dyDescent="0.35">
      <c r="A2" s="76"/>
      <c r="B2" s="77"/>
      <c r="C2" s="134"/>
      <c r="D2" s="81" t="s">
        <v>33</v>
      </c>
      <c r="E2" s="86" t="s">
        <v>28</v>
      </c>
      <c r="F2" s="78" t="s">
        <v>186</v>
      </c>
      <c r="G2" s="78" t="s">
        <v>81</v>
      </c>
      <c r="H2" s="78" t="s">
        <v>511</v>
      </c>
      <c r="I2" s="78" t="s">
        <v>217</v>
      </c>
      <c r="J2" s="87" t="s">
        <v>307</v>
      </c>
      <c r="K2" s="87" t="s">
        <v>253</v>
      </c>
      <c r="L2" s="87" t="s">
        <v>505</v>
      </c>
      <c r="M2" s="87" t="s">
        <v>244</v>
      </c>
      <c r="N2" s="87" t="s">
        <v>506</v>
      </c>
      <c r="O2" s="87" t="s">
        <v>233</v>
      </c>
      <c r="P2" s="87" t="s">
        <v>222</v>
      </c>
      <c r="Q2" s="87" t="s">
        <v>504</v>
      </c>
      <c r="R2" s="87" t="s">
        <v>610</v>
      </c>
      <c r="S2" s="86" t="s">
        <v>29</v>
      </c>
      <c r="T2" s="78" t="s">
        <v>186</v>
      </c>
      <c r="U2" s="78" t="s">
        <v>81</v>
      </c>
      <c r="V2" s="78" t="s">
        <v>511</v>
      </c>
      <c r="W2" s="78" t="s">
        <v>217</v>
      </c>
      <c r="X2" s="87" t="s">
        <v>307</v>
      </c>
      <c r="Y2" s="87" t="s">
        <v>253</v>
      </c>
      <c r="Z2" s="87" t="s">
        <v>505</v>
      </c>
      <c r="AA2" s="87" t="s">
        <v>244</v>
      </c>
      <c r="AB2" s="87" t="s">
        <v>506</v>
      </c>
      <c r="AC2" s="87" t="s">
        <v>233</v>
      </c>
      <c r="AD2" s="87" t="s">
        <v>222</v>
      </c>
      <c r="AE2" s="87" t="s">
        <v>504</v>
      </c>
      <c r="AF2" s="87" t="s">
        <v>546</v>
      </c>
      <c r="AG2" s="82" t="s">
        <v>482</v>
      </c>
      <c r="AH2" s="82" t="s">
        <v>508</v>
      </c>
      <c r="AI2" s="82" t="s">
        <v>507</v>
      </c>
    </row>
    <row r="3" spans="1:35" ht="29" x14ac:dyDescent="0.35">
      <c r="A3" s="93">
        <v>1</v>
      </c>
      <c r="B3" s="137" t="s">
        <v>642</v>
      </c>
      <c r="C3" s="96">
        <v>46000</v>
      </c>
      <c r="D3" s="97">
        <v>17</v>
      </c>
      <c r="E3" s="99" t="s">
        <v>646</v>
      </c>
      <c r="F3" s="10">
        <v>4</v>
      </c>
      <c r="G3" s="10">
        <v>1</v>
      </c>
      <c r="H3" s="10">
        <v>0</v>
      </c>
      <c r="I3" s="10">
        <v>0</v>
      </c>
      <c r="J3" s="74">
        <v>1</v>
      </c>
      <c r="K3" s="74">
        <v>0</v>
      </c>
      <c r="L3" s="74">
        <v>0</v>
      </c>
      <c r="M3" s="74">
        <v>0</v>
      </c>
      <c r="N3" s="74">
        <v>0</v>
      </c>
      <c r="O3" s="74">
        <v>0</v>
      </c>
      <c r="P3" s="74">
        <v>0</v>
      </c>
      <c r="Q3" s="74">
        <v>0</v>
      </c>
      <c r="R3" s="74">
        <v>0</v>
      </c>
      <c r="S3" s="97" t="s">
        <v>101</v>
      </c>
      <c r="T3" s="10">
        <v>8</v>
      </c>
      <c r="U3" s="10">
        <v>0</v>
      </c>
      <c r="V3" s="10">
        <v>0</v>
      </c>
      <c r="W3" s="10">
        <v>0</v>
      </c>
      <c r="X3" s="74">
        <v>0</v>
      </c>
      <c r="Y3" s="74">
        <v>0</v>
      </c>
      <c r="Z3" s="74">
        <v>0</v>
      </c>
      <c r="AA3" s="74">
        <v>0</v>
      </c>
      <c r="AB3" s="74">
        <v>0</v>
      </c>
      <c r="AC3" s="74">
        <v>0</v>
      </c>
      <c r="AD3" s="74">
        <v>0</v>
      </c>
      <c r="AE3" s="74">
        <v>0</v>
      </c>
      <c r="AF3" s="74">
        <v>0</v>
      </c>
      <c r="AG3" s="90">
        <f>F3+G3+H3+I3+J3+K3+L3+M3+N3+O3+P3+Q3+R3+T3+U3+V3+W3+X3+Y3+Z3+AA3+AB3+AC3+AD3+AE3+AF3</f>
        <v>14</v>
      </c>
      <c r="AH3" s="90">
        <f>F3+G3+H3+I3+T3+U3+V3+W3</f>
        <v>13</v>
      </c>
      <c r="AI3" s="90">
        <f>J3+K3+L3+M3+N3+O3+P3+Q3+R3+X3+Y3+Z3+AA3+AB3+AC3+AD3+AE3+AF3</f>
        <v>1</v>
      </c>
    </row>
    <row r="4" spans="1:35" x14ac:dyDescent="0.35">
      <c r="C4" s="96">
        <v>46003</v>
      </c>
      <c r="D4" s="97">
        <v>17</v>
      </c>
      <c r="E4" s="97" t="s">
        <v>653</v>
      </c>
      <c r="F4" s="10">
        <v>3</v>
      </c>
      <c r="G4" s="10">
        <v>1</v>
      </c>
      <c r="H4" s="10">
        <v>0</v>
      </c>
      <c r="I4" s="10">
        <v>0</v>
      </c>
      <c r="J4" s="74">
        <v>1</v>
      </c>
      <c r="K4" s="74">
        <v>0</v>
      </c>
      <c r="L4" s="74">
        <v>0</v>
      </c>
      <c r="M4" s="74">
        <v>0</v>
      </c>
      <c r="N4" s="74">
        <v>0</v>
      </c>
      <c r="O4" s="74">
        <v>0</v>
      </c>
      <c r="P4" s="74">
        <v>0</v>
      </c>
      <c r="Q4" s="74">
        <v>1</v>
      </c>
      <c r="R4" s="74">
        <v>0</v>
      </c>
      <c r="S4" s="97" t="s">
        <v>133</v>
      </c>
      <c r="T4" s="10">
        <v>5</v>
      </c>
      <c r="U4" s="10">
        <v>0</v>
      </c>
      <c r="V4" s="10">
        <v>0</v>
      </c>
      <c r="W4" s="10">
        <v>0</v>
      </c>
      <c r="X4" s="74">
        <v>0</v>
      </c>
      <c r="Y4" s="74">
        <v>0</v>
      </c>
      <c r="Z4" s="74">
        <v>0</v>
      </c>
      <c r="AA4" s="74">
        <v>0</v>
      </c>
      <c r="AB4" s="74">
        <v>0</v>
      </c>
      <c r="AC4" s="74">
        <v>0</v>
      </c>
      <c r="AD4" s="74">
        <v>0</v>
      </c>
      <c r="AE4" s="74">
        <v>0</v>
      </c>
      <c r="AF4" s="74">
        <v>0</v>
      </c>
      <c r="AG4" s="90">
        <f>F4+G4+H4+I4+J4+K4+L4+M4+N4+O4+P4+Q4+R4+T4+U4+V4+W4+X4+Y4+Z4+AA4+AB4+AC4+AD4+AE4+AF4</f>
        <v>11</v>
      </c>
      <c r="AH4" s="90">
        <f>F4+G4+H4+I4+T4+U4+V4+W4</f>
        <v>9</v>
      </c>
      <c r="AI4" s="90">
        <f>J4+K4+L4+M4+N4+O4+P4+Q4+R4+X4+Y4+Z4+AA4+AB4+AC4+AD4+AE4+AF4</f>
        <v>2</v>
      </c>
    </row>
    <row r="5" spans="1:35" ht="43.5" x14ac:dyDescent="0.35">
      <c r="C5" s="96">
        <v>46007</v>
      </c>
      <c r="D5" s="97">
        <v>17</v>
      </c>
      <c r="E5" s="99" t="s">
        <v>660</v>
      </c>
      <c r="F5" s="10">
        <v>0</v>
      </c>
      <c r="G5" s="10">
        <v>2</v>
      </c>
      <c r="H5" s="10">
        <v>0</v>
      </c>
      <c r="I5" s="10">
        <v>1</v>
      </c>
      <c r="J5" s="74">
        <v>0</v>
      </c>
      <c r="K5" s="74">
        <v>0</v>
      </c>
      <c r="L5" s="74">
        <v>0</v>
      </c>
      <c r="M5" s="74">
        <v>0</v>
      </c>
      <c r="N5" s="74">
        <v>0</v>
      </c>
      <c r="O5" s="74">
        <v>0</v>
      </c>
      <c r="P5" s="74">
        <v>0</v>
      </c>
      <c r="Q5" s="74">
        <v>1</v>
      </c>
      <c r="R5" s="74">
        <v>0</v>
      </c>
      <c r="S5" s="97" t="s">
        <v>659</v>
      </c>
      <c r="T5" s="10">
        <v>4</v>
      </c>
      <c r="U5" s="10">
        <v>0</v>
      </c>
      <c r="V5" s="10">
        <v>0</v>
      </c>
      <c r="W5" s="10">
        <v>0</v>
      </c>
      <c r="X5" s="74">
        <v>0</v>
      </c>
      <c r="Y5" s="74">
        <v>1</v>
      </c>
      <c r="Z5" s="74">
        <v>0</v>
      </c>
      <c r="AA5" s="74">
        <v>0</v>
      </c>
      <c r="AB5" s="74">
        <v>0</v>
      </c>
      <c r="AC5" s="74">
        <v>0</v>
      </c>
      <c r="AD5" s="74">
        <v>0</v>
      </c>
      <c r="AE5" s="74">
        <v>0</v>
      </c>
      <c r="AF5" s="74">
        <v>0</v>
      </c>
      <c r="AG5" s="90">
        <f t="shared" ref="AG5:AG7" si="0">F5+G5+H5+I5+J5+K5+L5+M5+N5+O5+P5+Q5+R5+T5+U5+V5+W5+X5+Y5+Z5+AA5+AB5+AC5+AD5+AE5+AF5</f>
        <v>9</v>
      </c>
      <c r="AH5" s="90">
        <f>F5+G5+H5+I5+T5+U5+V5+W5</f>
        <v>7</v>
      </c>
      <c r="AI5" s="90">
        <f>J5+K5+L5+M5+N5+O5+P5+Q5+R5+X5+Y5+Z5+AA5+AB5+AC5+AD5+AE5+AF5</f>
        <v>2</v>
      </c>
    </row>
    <row r="6" spans="1:35" x14ac:dyDescent="0.35">
      <c r="C6" s="96">
        <v>46010</v>
      </c>
      <c r="D6" s="97">
        <v>17</v>
      </c>
      <c r="E6" s="97" t="s">
        <v>666</v>
      </c>
      <c r="F6" s="10">
        <v>3</v>
      </c>
      <c r="G6" s="10">
        <v>1</v>
      </c>
      <c r="H6" s="10">
        <v>0</v>
      </c>
      <c r="I6" s="10">
        <v>0</v>
      </c>
      <c r="J6" s="74">
        <v>0</v>
      </c>
      <c r="K6" s="74">
        <v>0</v>
      </c>
      <c r="L6" s="74">
        <v>0</v>
      </c>
      <c r="M6" s="74">
        <v>0</v>
      </c>
      <c r="N6" s="74">
        <v>0</v>
      </c>
      <c r="O6" s="74">
        <v>0</v>
      </c>
      <c r="P6" s="74">
        <v>0</v>
      </c>
      <c r="Q6" s="74">
        <v>0</v>
      </c>
      <c r="R6" s="74">
        <v>0</v>
      </c>
      <c r="S6" s="97" t="s">
        <v>665</v>
      </c>
      <c r="T6" s="10">
        <v>6</v>
      </c>
      <c r="U6" s="10">
        <v>0</v>
      </c>
      <c r="V6" s="10">
        <v>0</v>
      </c>
      <c r="W6" s="10">
        <v>0</v>
      </c>
      <c r="X6" s="74">
        <v>0</v>
      </c>
      <c r="Y6" s="74">
        <v>0</v>
      </c>
      <c r="Z6" s="74">
        <v>0</v>
      </c>
      <c r="AA6" s="74">
        <v>0</v>
      </c>
      <c r="AB6" s="74">
        <v>0</v>
      </c>
      <c r="AC6" s="74">
        <v>1</v>
      </c>
      <c r="AD6" s="74">
        <v>0</v>
      </c>
      <c r="AE6" s="74">
        <v>0</v>
      </c>
      <c r="AF6" s="74">
        <v>0</v>
      </c>
      <c r="AG6" s="90">
        <f t="shared" si="0"/>
        <v>11</v>
      </c>
      <c r="AH6" s="90">
        <f>F6+G6+H6+I6+T6+U6+V6+W6</f>
        <v>10</v>
      </c>
      <c r="AI6" s="90">
        <f>J6+K6+L6+M6+N6+O6+P6+Q6+R6+X6+Y6+Z6+AA6+AB6+AC6+AD6+AE6+AF6</f>
        <v>1</v>
      </c>
    </row>
    <row r="7" spans="1:35" x14ac:dyDescent="0.35">
      <c r="C7" s="96">
        <v>46013</v>
      </c>
      <c r="D7" s="97">
        <v>17</v>
      </c>
      <c r="E7" s="97" t="s">
        <v>675</v>
      </c>
      <c r="F7" s="10">
        <v>2</v>
      </c>
      <c r="G7" s="10">
        <v>1</v>
      </c>
      <c r="H7" s="10">
        <v>0</v>
      </c>
      <c r="I7" s="10">
        <v>1</v>
      </c>
      <c r="J7" s="74">
        <v>0</v>
      </c>
      <c r="K7" s="74">
        <v>0</v>
      </c>
      <c r="L7" s="74">
        <v>0</v>
      </c>
      <c r="M7" s="74">
        <v>0</v>
      </c>
      <c r="N7" s="74">
        <v>0</v>
      </c>
      <c r="O7" s="74">
        <v>0</v>
      </c>
      <c r="P7" s="74">
        <v>0</v>
      </c>
      <c r="Q7" s="74">
        <v>0</v>
      </c>
      <c r="R7" s="74">
        <v>0</v>
      </c>
      <c r="S7" s="97" t="s">
        <v>683</v>
      </c>
      <c r="T7" s="10">
        <v>5</v>
      </c>
      <c r="U7" s="10">
        <v>4</v>
      </c>
      <c r="V7" s="10">
        <v>0</v>
      </c>
      <c r="W7" s="10">
        <v>1</v>
      </c>
      <c r="X7" s="74">
        <v>0</v>
      </c>
      <c r="Y7" s="74">
        <v>0</v>
      </c>
      <c r="Z7" s="74">
        <v>0</v>
      </c>
      <c r="AA7" s="74">
        <v>0</v>
      </c>
      <c r="AB7" s="74">
        <v>0</v>
      </c>
      <c r="AC7" s="74">
        <v>2</v>
      </c>
      <c r="AD7" s="74">
        <v>0</v>
      </c>
      <c r="AE7" s="74">
        <v>0</v>
      </c>
      <c r="AF7" s="74">
        <v>0</v>
      </c>
      <c r="AG7" s="90">
        <f t="shared" si="0"/>
        <v>16</v>
      </c>
      <c r="AH7" s="90">
        <f>F7+G7+H7+I7+T7+U7+V7+W7</f>
        <v>14</v>
      </c>
      <c r="AI7" s="90">
        <f>J7+K7+L7+M7+N7+O7+P7+Q7+R7+X7+Y7+Z7+AA7+AB7+AC7+AD7+AE7+AF7</f>
        <v>2</v>
      </c>
    </row>
    <row r="8" spans="1:35" x14ac:dyDescent="0.35">
      <c r="C8" s="96"/>
    </row>
    <row r="9" spans="1:35" x14ac:dyDescent="0.35">
      <c r="A9" s="93">
        <v>2</v>
      </c>
      <c r="B9" s="137" t="s">
        <v>643</v>
      </c>
      <c r="C9" s="96">
        <v>46003</v>
      </c>
      <c r="D9" s="97">
        <v>14</v>
      </c>
      <c r="E9" s="97" t="s">
        <v>648</v>
      </c>
      <c r="F9" s="10">
        <v>3</v>
      </c>
      <c r="G9" s="10">
        <v>1</v>
      </c>
      <c r="H9" s="10">
        <v>0</v>
      </c>
      <c r="I9" s="10">
        <v>0</v>
      </c>
      <c r="J9" s="74">
        <v>0</v>
      </c>
      <c r="K9" s="74">
        <v>1</v>
      </c>
      <c r="L9" s="74">
        <v>0</v>
      </c>
      <c r="M9" s="74">
        <v>0</v>
      </c>
      <c r="N9" s="74">
        <v>0</v>
      </c>
      <c r="O9" s="74">
        <v>0</v>
      </c>
      <c r="P9" s="74">
        <v>0</v>
      </c>
      <c r="Q9" s="74">
        <v>0</v>
      </c>
      <c r="R9" s="74">
        <v>0</v>
      </c>
      <c r="S9" s="97" t="s">
        <v>55</v>
      </c>
      <c r="T9" s="10">
        <v>0</v>
      </c>
      <c r="U9" s="10">
        <v>0</v>
      </c>
      <c r="V9" s="10">
        <v>0</v>
      </c>
      <c r="W9" s="10">
        <v>0</v>
      </c>
      <c r="X9" s="74">
        <v>0</v>
      </c>
      <c r="Y9" s="74">
        <v>0</v>
      </c>
      <c r="Z9" s="74">
        <v>0</v>
      </c>
      <c r="AA9" s="74">
        <v>0</v>
      </c>
      <c r="AB9" s="74">
        <v>0</v>
      </c>
      <c r="AC9" s="74">
        <v>0</v>
      </c>
      <c r="AD9" s="74">
        <v>0</v>
      </c>
      <c r="AE9" s="74">
        <v>0</v>
      </c>
      <c r="AF9" s="74">
        <v>0</v>
      </c>
      <c r="AG9" s="90">
        <f t="shared" ref="AG9:AG16" si="1">F9+G9+H9+I9+J9+K9+L9+M9+N9+O9+P9+Q9+R9+T9+U9+V9+W9+X9+Y9+Z9+AA9+AB9+AC9+AD9+AE9+AF9</f>
        <v>5</v>
      </c>
      <c r="AH9" s="90">
        <f t="shared" ref="AH9:AH16" si="2">F9+G9+H9+I9+T9+U9+V9+W9</f>
        <v>4</v>
      </c>
      <c r="AI9" s="90">
        <f t="shared" ref="AI9:AI16" si="3">J9+K9+L9+M9+N9+O9+P9+Q9+R9+X9+Y9+Z9+AA9+AB9+AC9+AD9+AE9+AF9</f>
        <v>1</v>
      </c>
    </row>
    <row r="10" spans="1:35" x14ac:dyDescent="0.35">
      <c r="C10" s="96">
        <v>46007</v>
      </c>
      <c r="D10" s="97">
        <v>14</v>
      </c>
      <c r="E10" s="97" t="s">
        <v>657</v>
      </c>
      <c r="F10" s="10">
        <v>4</v>
      </c>
      <c r="G10" s="10">
        <v>1</v>
      </c>
      <c r="H10" s="10">
        <v>0</v>
      </c>
      <c r="I10" s="10">
        <v>0</v>
      </c>
      <c r="J10" s="74">
        <v>0</v>
      </c>
      <c r="K10" s="74">
        <v>0</v>
      </c>
      <c r="L10" s="74">
        <v>0</v>
      </c>
      <c r="M10" s="74">
        <v>1</v>
      </c>
      <c r="N10" s="74">
        <v>0</v>
      </c>
      <c r="O10" s="74">
        <v>0</v>
      </c>
      <c r="P10" s="74">
        <v>0</v>
      </c>
      <c r="Q10" s="74">
        <v>0</v>
      </c>
      <c r="R10" s="74">
        <v>0</v>
      </c>
      <c r="S10" s="97" t="s">
        <v>658</v>
      </c>
      <c r="T10" s="10">
        <v>3</v>
      </c>
      <c r="U10" s="10">
        <v>3</v>
      </c>
      <c r="V10" s="10">
        <v>0</v>
      </c>
      <c r="W10" s="10">
        <v>0</v>
      </c>
      <c r="X10" s="74">
        <v>0</v>
      </c>
      <c r="Y10" s="74">
        <v>0</v>
      </c>
      <c r="Z10" s="74">
        <v>0</v>
      </c>
      <c r="AA10" s="74">
        <v>2</v>
      </c>
      <c r="AB10" s="74">
        <v>0</v>
      </c>
      <c r="AC10" s="74">
        <v>0</v>
      </c>
      <c r="AD10" s="74">
        <v>0</v>
      </c>
      <c r="AE10" s="74">
        <v>0</v>
      </c>
      <c r="AF10" s="74">
        <v>0</v>
      </c>
      <c r="AG10" s="90">
        <f t="shared" si="1"/>
        <v>14</v>
      </c>
      <c r="AH10" s="90">
        <f t="shared" si="2"/>
        <v>11</v>
      </c>
      <c r="AI10" s="90">
        <f t="shared" si="3"/>
        <v>3</v>
      </c>
    </row>
    <row r="11" spans="1:35" x14ac:dyDescent="0.35">
      <c r="C11" s="96">
        <v>46010</v>
      </c>
      <c r="D11" s="97">
        <v>14</v>
      </c>
      <c r="E11" s="97" t="s">
        <v>672</v>
      </c>
      <c r="F11" s="10">
        <v>0</v>
      </c>
      <c r="G11" s="10">
        <v>3</v>
      </c>
      <c r="H11" s="10">
        <v>0</v>
      </c>
      <c r="I11" s="10">
        <v>0</v>
      </c>
      <c r="J11" s="74">
        <v>0</v>
      </c>
      <c r="K11" s="74">
        <v>0</v>
      </c>
      <c r="L11" s="74">
        <v>0</v>
      </c>
      <c r="M11" s="74">
        <v>1</v>
      </c>
      <c r="N11" s="74">
        <v>0</v>
      </c>
      <c r="O11" s="74">
        <v>0</v>
      </c>
      <c r="P11" s="74">
        <v>0</v>
      </c>
      <c r="Q11" s="74">
        <v>0</v>
      </c>
      <c r="R11" s="74">
        <v>0</v>
      </c>
      <c r="S11" s="97" t="s">
        <v>233</v>
      </c>
      <c r="T11" s="10">
        <v>0</v>
      </c>
      <c r="U11" s="10">
        <v>0</v>
      </c>
      <c r="V11" s="10">
        <v>0</v>
      </c>
      <c r="W11" s="10">
        <v>0</v>
      </c>
      <c r="X11" s="74">
        <v>0</v>
      </c>
      <c r="Y11" s="74">
        <v>0</v>
      </c>
      <c r="Z11" s="74">
        <v>0</v>
      </c>
      <c r="AA11" s="74">
        <v>0</v>
      </c>
      <c r="AB11" s="74">
        <v>0</v>
      </c>
      <c r="AC11" s="74">
        <v>1</v>
      </c>
      <c r="AD11" s="74">
        <v>0</v>
      </c>
      <c r="AE11" s="74">
        <v>0</v>
      </c>
      <c r="AF11" s="74">
        <v>0</v>
      </c>
      <c r="AG11" s="90">
        <f t="shared" si="1"/>
        <v>5</v>
      </c>
      <c r="AH11" s="90">
        <f t="shared" si="2"/>
        <v>3</v>
      </c>
      <c r="AI11" s="90">
        <f t="shared" si="3"/>
        <v>2</v>
      </c>
    </row>
    <row r="12" spans="1:35" x14ac:dyDescent="0.35">
      <c r="C12" s="96">
        <v>46013</v>
      </c>
      <c r="D12" s="97">
        <v>14</v>
      </c>
      <c r="E12" s="97" t="s">
        <v>684</v>
      </c>
      <c r="F12" s="10">
        <v>6</v>
      </c>
      <c r="G12" s="10">
        <v>0</v>
      </c>
      <c r="H12" s="10">
        <v>0</v>
      </c>
      <c r="I12" s="10">
        <v>0</v>
      </c>
      <c r="J12" s="74">
        <v>0</v>
      </c>
      <c r="K12" s="74">
        <v>2</v>
      </c>
      <c r="L12" s="74">
        <v>0</v>
      </c>
      <c r="M12" s="74">
        <v>0</v>
      </c>
      <c r="N12" s="74">
        <v>0</v>
      </c>
      <c r="O12" s="74">
        <v>0</v>
      </c>
      <c r="P12" s="74">
        <v>0</v>
      </c>
      <c r="Q12" s="74">
        <v>0</v>
      </c>
      <c r="R12" s="74">
        <v>0</v>
      </c>
      <c r="S12" s="97" t="s">
        <v>55</v>
      </c>
      <c r="T12" s="10">
        <v>0</v>
      </c>
      <c r="U12" s="10">
        <v>0</v>
      </c>
      <c r="V12" s="10">
        <v>0</v>
      </c>
      <c r="W12" s="10">
        <v>0</v>
      </c>
      <c r="X12" s="74">
        <v>0</v>
      </c>
      <c r="Y12" s="74">
        <v>0</v>
      </c>
      <c r="Z12" s="74">
        <v>0</v>
      </c>
      <c r="AA12" s="74">
        <v>0</v>
      </c>
      <c r="AB12" s="74">
        <v>0</v>
      </c>
      <c r="AC12" s="74">
        <v>0</v>
      </c>
      <c r="AD12" s="74">
        <v>0</v>
      </c>
      <c r="AE12" s="74">
        <v>0</v>
      </c>
      <c r="AF12" s="74">
        <v>0</v>
      </c>
      <c r="AG12" s="90">
        <f t="shared" si="1"/>
        <v>8</v>
      </c>
      <c r="AH12" s="90">
        <f t="shared" si="2"/>
        <v>6</v>
      </c>
      <c r="AI12" s="90">
        <f t="shared" si="3"/>
        <v>2</v>
      </c>
    </row>
    <row r="13" spans="1:35" x14ac:dyDescent="0.35">
      <c r="C13" s="96">
        <v>46018</v>
      </c>
      <c r="D13" s="97">
        <v>14</v>
      </c>
      <c r="E13" s="97" t="s">
        <v>88</v>
      </c>
      <c r="F13" s="10">
        <v>4</v>
      </c>
      <c r="G13" s="10">
        <v>2</v>
      </c>
      <c r="H13" s="10">
        <v>0</v>
      </c>
      <c r="I13" s="10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97" t="s">
        <v>690</v>
      </c>
      <c r="T13" s="10">
        <v>2</v>
      </c>
      <c r="U13" s="10">
        <v>0</v>
      </c>
      <c r="V13" s="10">
        <v>0</v>
      </c>
      <c r="W13" s="10">
        <v>1</v>
      </c>
      <c r="X13" s="74">
        <v>0</v>
      </c>
      <c r="Y13" s="74">
        <v>0</v>
      </c>
      <c r="Z13" s="74">
        <v>0</v>
      </c>
      <c r="AA13" s="74">
        <v>0</v>
      </c>
      <c r="AB13" s="74">
        <v>0</v>
      </c>
      <c r="AC13" s="74">
        <v>0</v>
      </c>
      <c r="AD13" s="74">
        <v>0</v>
      </c>
      <c r="AE13" s="74">
        <v>0</v>
      </c>
      <c r="AF13" s="74">
        <v>0</v>
      </c>
      <c r="AG13" s="90">
        <f t="shared" si="1"/>
        <v>9</v>
      </c>
      <c r="AH13" s="90">
        <f t="shared" si="2"/>
        <v>9</v>
      </c>
      <c r="AI13" s="90">
        <f t="shared" si="3"/>
        <v>0</v>
      </c>
    </row>
    <row r="14" spans="1:35" x14ac:dyDescent="0.35">
      <c r="C14" s="96">
        <v>46021</v>
      </c>
      <c r="D14" s="97">
        <v>14</v>
      </c>
      <c r="E14" s="97" t="s">
        <v>124</v>
      </c>
      <c r="F14" s="10">
        <v>4</v>
      </c>
      <c r="G14" s="10">
        <v>1</v>
      </c>
      <c r="H14" s="10">
        <v>0</v>
      </c>
      <c r="I14" s="10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97" t="s">
        <v>706</v>
      </c>
      <c r="T14" s="10">
        <v>5</v>
      </c>
      <c r="U14" s="10">
        <v>2</v>
      </c>
      <c r="V14" s="10">
        <v>0</v>
      </c>
      <c r="W14" s="10">
        <v>0</v>
      </c>
      <c r="X14" s="74">
        <v>0</v>
      </c>
      <c r="Y14" s="74">
        <v>0</v>
      </c>
      <c r="Z14" s="74">
        <v>0</v>
      </c>
      <c r="AA14" s="74">
        <v>0</v>
      </c>
      <c r="AB14" s="74">
        <v>0</v>
      </c>
      <c r="AC14" s="74">
        <v>0</v>
      </c>
      <c r="AD14" s="74">
        <v>0</v>
      </c>
      <c r="AE14" s="74">
        <v>0</v>
      </c>
      <c r="AF14" s="74">
        <v>0</v>
      </c>
      <c r="AG14" s="90">
        <f t="shared" si="1"/>
        <v>12</v>
      </c>
      <c r="AH14" s="90">
        <f t="shared" si="2"/>
        <v>12</v>
      </c>
      <c r="AI14" s="90">
        <f t="shared" si="3"/>
        <v>0</v>
      </c>
    </row>
    <row r="15" spans="1:35" x14ac:dyDescent="0.35">
      <c r="C15" s="96">
        <v>46024</v>
      </c>
      <c r="D15" s="97">
        <v>14</v>
      </c>
      <c r="E15" s="97" t="s">
        <v>712</v>
      </c>
      <c r="F15" s="10">
        <v>5</v>
      </c>
      <c r="G15" s="10">
        <v>2</v>
      </c>
      <c r="H15" s="10">
        <v>0</v>
      </c>
      <c r="I15" s="10">
        <v>0</v>
      </c>
      <c r="J15" s="74">
        <v>0</v>
      </c>
      <c r="K15" s="74">
        <v>0</v>
      </c>
      <c r="L15" s="74">
        <v>0</v>
      </c>
      <c r="M15" s="74">
        <v>1</v>
      </c>
      <c r="N15" s="74">
        <v>0</v>
      </c>
      <c r="O15" s="74">
        <v>0</v>
      </c>
      <c r="P15" s="74">
        <v>0</v>
      </c>
      <c r="Q15" s="74">
        <v>0</v>
      </c>
      <c r="R15" s="74">
        <v>0</v>
      </c>
      <c r="S15" s="97" t="s">
        <v>722</v>
      </c>
      <c r="T15" s="10">
        <v>0</v>
      </c>
      <c r="U15" s="10">
        <v>1</v>
      </c>
      <c r="V15" s="10">
        <v>0</v>
      </c>
      <c r="W15" s="10">
        <v>0</v>
      </c>
      <c r="X15" s="74">
        <v>0</v>
      </c>
      <c r="Y15" s="74">
        <v>0</v>
      </c>
      <c r="Z15" s="74">
        <v>0</v>
      </c>
      <c r="AA15" s="74">
        <v>1</v>
      </c>
      <c r="AB15" s="74">
        <v>0</v>
      </c>
      <c r="AC15" s="74">
        <v>0</v>
      </c>
      <c r="AD15" s="74">
        <v>0</v>
      </c>
      <c r="AE15" s="74">
        <v>0</v>
      </c>
      <c r="AF15" s="74">
        <v>0</v>
      </c>
      <c r="AG15" s="90">
        <f t="shared" si="1"/>
        <v>10</v>
      </c>
      <c r="AH15" s="90">
        <f t="shared" si="2"/>
        <v>8</v>
      </c>
      <c r="AI15" s="90">
        <f t="shared" si="3"/>
        <v>2</v>
      </c>
    </row>
    <row r="16" spans="1:35" s="131" customFormat="1" x14ac:dyDescent="0.35">
      <c r="A16" s="127"/>
      <c r="B16" s="128"/>
      <c r="C16" s="129">
        <v>46027</v>
      </c>
      <c r="D16" s="130">
        <v>14</v>
      </c>
      <c r="E16" s="130" t="s">
        <v>55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0">
        <v>0</v>
      </c>
      <c r="Q16" s="130">
        <v>0</v>
      </c>
      <c r="R16" s="130">
        <v>0</v>
      </c>
      <c r="S16" s="130" t="s">
        <v>736</v>
      </c>
      <c r="T16" s="130">
        <v>0</v>
      </c>
      <c r="U16" s="130">
        <v>0</v>
      </c>
      <c r="V16" s="130">
        <v>0</v>
      </c>
      <c r="W16" s="130">
        <v>0</v>
      </c>
      <c r="X16" s="130">
        <v>0</v>
      </c>
      <c r="Y16" s="130">
        <v>0</v>
      </c>
      <c r="Z16" s="130">
        <v>0</v>
      </c>
      <c r="AA16" s="130">
        <v>0</v>
      </c>
      <c r="AB16" s="130">
        <v>0</v>
      </c>
      <c r="AC16" s="130">
        <v>0</v>
      </c>
      <c r="AD16" s="130">
        <v>0</v>
      </c>
      <c r="AE16" s="130">
        <v>0</v>
      </c>
      <c r="AF16" s="130">
        <v>0</v>
      </c>
      <c r="AG16" s="130">
        <f t="shared" si="1"/>
        <v>0</v>
      </c>
      <c r="AH16" s="130">
        <f t="shared" si="2"/>
        <v>0</v>
      </c>
      <c r="AI16" s="130">
        <f t="shared" si="3"/>
        <v>0</v>
      </c>
    </row>
    <row r="18" spans="1:35" x14ac:dyDescent="0.35">
      <c r="A18" s="93">
        <v>3</v>
      </c>
      <c r="B18" s="95" t="s">
        <v>644</v>
      </c>
      <c r="C18" s="96">
        <v>46000</v>
      </c>
      <c r="D18" s="97">
        <v>17</v>
      </c>
      <c r="E18" s="97" t="s">
        <v>635</v>
      </c>
      <c r="F18" s="10">
        <v>7</v>
      </c>
      <c r="G18" s="10">
        <v>16</v>
      </c>
      <c r="H18" s="10">
        <v>0</v>
      </c>
      <c r="I18" s="10">
        <v>3</v>
      </c>
      <c r="J18" s="74">
        <v>0</v>
      </c>
      <c r="K18" s="74">
        <v>0</v>
      </c>
      <c r="L18" s="74">
        <v>0</v>
      </c>
      <c r="M18" s="74">
        <v>0</v>
      </c>
      <c r="N18" s="74">
        <v>0</v>
      </c>
      <c r="O18" s="74">
        <v>0</v>
      </c>
      <c r="P18" s="74">
        <v>0</v>
      </c>
      <c r="Q18" s="74">
        <v>0</v>
      </c>
      <c r="R18" s="74">
        <v>0</v>
      </c>
      <c r="S18" s="97" t="s">
        <v>636</v>
      </c>
      <c r="T18" s="10">
        <v>6</v>
      </c>
      <c r="U18" s="10">
        <v>0</v>
      </c>
      <c r="V18" s="10">
        <v>0</v>
      </c>
      <c r="W18" s="10">
        <v>1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0</v>
      </c>
      <c r="AD18" s="74">
        <v>0</v>
      </c>
      <c r="AE18" s="74">
        <v>0</v>
      </c>
      <c r="AF18" s="74">
        <v>0</v>
      </c>
      <c r="AG18" s="90">
        <f t="shared" ref="AG18:AG161" si="4">F18+G18+H18+I18+J18+K18+L18+M18+N18+O18+P18+Q18+R18+T18+U18+V18+W18+X18+Y18+Z18+AA18+AB18+AC18+AD18+AE18+AF18</f>
        <v>33</v>
      </c>
      <c r="AH18" s="90">
        <f t="shared" ref="AH18:AH161" si="5">F18+G18+H18+I18+T18+U18+V18+W18</f>
        <v>33</v>
      </c>
      <c r="AI18" s="90">
        <f t="shared" ref="AI18:AI161" si="6">J18+K18+L18+M18+N18+O18+P18+Q18+R18+X18+Y18+Z18+AA18+AB18+AC18+AD18+AE18+AF18</f>
        <v>0</v>
      </c>
    </row>
    <row r="19" spans="1:35" x14ac:dyDescent="0.35">
      <c r="C19" s="96">
        <v>46003</v>
      </c>
      <c r="D19" s="97">
        <v>17</v>
      </c>
      <c r="E19" s="97" t="s">
        <v>651</v>
      </c>
      <c r="F19" s="10">
        <v>3</v>
      </c>
      <c r="G19" s="10">
        <v>15</v>
      </c>
      <c r="H19" s="10">
        <v>0</v>
      </c>
      <c r="I19" s="10">
        <v>0</v>
      </c>
      <c r="J19" s="74">
        <v>0</v>
      </c>
      <c r="K19" s="74">
        <v>0</v>
      </c>
      <c r="L19" s="74">
        <v>0</v>
      </c>
      <c r="M19" s="74">
        <v>0</v>
      </c>
      <c r="N19" s="74">
        <v>0</v>
      </c>
      <c r="O19" s="74">
        <v>0</v>
      </c>
      <c r="P19" s="74">
        <v>0</v>
      </c>
      <c r="Q19" s="74">
        <v>0</v>
      </c>
      <c r="R19" s="74">
        <v>0</v>
      </c>
      <c r="S19" s="97" t="s">
        <v>652</v>
      </c>
      <c r="T19" s="10">
        <v>5</v>
      </c>
      <c r="U19" s="10">
        <v>8</v>
      </c>
      <c r="V19" s="10">
        <v>0</v>
      </c>
      <c r="W19" s="10">
        <v>0</v>
      </c>
      <c r="X19" s="74">
        <v>2</v>
      </c>
      <c r="Y19" s="74">
        <v>0</v>
      </c>
      <c r="Z19" s="74">
        <v>0</v>
      </c>
      <c r="AA19" s="74">
        <v>0</v>
      </c>
      <c r="AB19" s="74">
        <v>0</v>
      </c>
      <c r="AC19" s="74">
        <v>0</v>
      </c>
      <c r="AD19" s="74">
        <v>0</v>
      </c>
      <c r="AE19" s="74">
        <v>0</v>
      </c>
      <c r="AF19" s="74">
        <v>0</v>
      </c>
      <c r="AG19" s="90">
        <f t="shared" si="4"/>
        <v>33</v>
      </c>
      <c r="AH19" s="90">
        <f t="shared" si="5"/>
        <v>31</v>
      </c>
      <c r="AI19" s="90">
        <f t="shared" si="6"/>
        <v>2</v>
      </c>
    </row>
    <row r="20" spans="1:35" x14ac:dyDescent="0.35">
      <c r="C20" s="96">
        <v>46007</v>
      </c>
      <c r="D20" s="97">
        <v>17</v>
      </c>
      <c r="E20" s="97" t="s">
        <v>663</v>
      </c>
      <c r="F20" s="10">
        <v>12</v>
      </c>
      <c r="G20" s="10">
        <v>4</v>
      </c>
      <c r="H20" s="10">
        <v>0</v>
      </c>
      <c r="I20" s="10">
        <v>0</v>
      </c>
      <c r="J20" s="74">
        <v>0</v>
      </c>
      <c r="K20" s="74">
        <v>1</v>
      </c>
      <c r="L20" s="74">
        <v>0</v>
      </c>
      <c r="M20" s="74">
        <v>0</v>
      </c>
      <c r="N20" s="74">
        <v>0</v>
      </c>
      <c r="O20" s="74">
        <v>0</v>
      </c>
      <c r="P20" s="74">
        <v>0</v>
      </c>
      <c r="Q20" s="74">
        <v>0</v>
      </c>
      <c r="R20" s="74">
        <v>0</v>
      </c>
      <c r="S20" s="97" t="s">
        <v>662</v>
      </c>
      <c r="T20" s="10">
        <v>10</v>
      </c>
      <c r="U20" s="10">
        <v>3</v>
      </c>
      <c r="V20" s="10">
        <v>0</v>
      </c>
      <c r="W20" s="10">
        <v>0</v>
      </c>
      <c r="X20" s="74">
        <v>0</v>
      </c>
      <c r="Y20" s="74">
        <v>1</v>
      </c>
      <c r="Z20" s="74">
        <v>0</v>
      </c>
      <c r="AA20" s="74">
        <v>0</v>
      </c>
      <c r="AB20" s="74">
        <v>0</v>
      </c>
      <c r="AC20" s="74">
        <v>0</v>
      </c>
      <c r="AD20" s="74">
        <v>0</v>
      </c>
      <c r="AE20" s="74">
        <v>0</v>
      </c>
      <c r="AF20" s="74">
        <v>0</v>
      </c>
      <c r="AG20" s="90">
        <f t="shared" si="4"/>
        <v>31</v>
      </c>
      <c r="AH20" s="90">
        <f t="shared" si="5"/>
        <v>29</v>
      </c>
      <c r="AI20" s="90">
        <f t="shared" si="6"/>
        <v>2</v>
      </c>
    </row>
    <row r="21" spans="1:35" x14ac:dyDescent="0.35">
      <c r="C21" s="96">
        <v>46010</v>
      </c>
      <c r="D21" s="97">
        <v>17</v>
      </c>
      <c r="E21" s="97" t="s">
        <v>669</v>
      </c>
      <c r="F21" s="10">
        <v>12</v>
      </c>
      <c r="G21" s="10">
        <v>3</v>
      </c>
      <c r="H21" s="10">
        <v>3</v>
      </c>
      <c r="I21" s="10">
        <v>0</v>
      </c>
      <c r="J21" s="74">
        <v>0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  <c r="P21" s="74">
        <v>0</v>
      </c>
      <c r="Q21" s="74">
        <v>0</v>
      </c>
      <c r="R21" s="74">
        <v>0</v>
      </c>
      <c r="S21" s="97" t="s">
        <v>670</v>
      </c>
      <c r="T21" s="10">
        <v>10</v>
      </c>
      <c r="U21" s="10">
        <v>6</v>
      </c>
      <c r="V21" s="10">
        <v>0</v>
      </c>
      <c r="W21" s="10">
        <v>0</v>
      </c>
      <c r="X21" s="74">
        <v>0</v>
      </c>
      <c r="Y21" s="74">
        <v>0</v>
      </c>
      <c r="Z21" s="74">
        <v>0</v>
      </c>
      <c r="AA21" s="74">
        <v>0</v>
      </c>
      <c r="AB21" s="74">
        <v>0</v>
      </c>
      <c r="AC21" s="74">
        <v>0</v>
      </c>
      <c r="AD21" s="74">
        <v>0</v>
      </c>
      <c r="AE21" s="74">
        <v>0</v>
      </c>
      <c r="AF21" s="74">
        <v>0</v>
      </c>
      <c r="AG21" s="90">
        <f t="shared" si="4"/>
        <v>34</v>
      </c>
      <c r="AH21" s="90">
        <f t="shared" si="5"/>
        <v>34</v>
      </c>
      <c r="AI21" s="90">
        <f t="shared" si="6"/>
        <v>0</v>
      </c>
    </row>
    <row r="22" spans="1:35" x14ac:dyDescent="0.35">
      <c r="C22" s="96">
        <v>46013</v>
      </c>
      <c r="D22" s="97">
        <v>17</v>
      </c>
      <c r="E22" s="97" t="s">
        <v>676</v>
      </c>
      <c r="F22" s="10">
        <v>6</v>
      </c>
      <c r="G22" s="10">
        <v>10</v>
      </c>
      <c r="H22" s="10">
        <v>0</v>
      </c>
      <c r="I22" s="10">
        <v>0</v>
      </c>
      <c r="J22" s="74">
        <v>0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  <c r="P22" s="74">
        <v>0</v>
      </c>
      <c r="Q22" s="74">
        <v>0</v>
      </c>
      <c r="R22" s="74">
        <v>0</v>
      </c>
      <c r="S22" s="97" t="s">
        <v>685</v>
      </c>
      <c r="T22" s="10">
        <v>15</v>
      </c>
      <c r="U22" s="10">
        <v>4</v>
      </c>
      <c r="V22" s="10">
        <v>0</v>
      </c>
      <c r="W22" s="10">
        <v>0</v>
      </c>
      <c r="X22" s="74">
        <v>0</v>
      </c>
      <c r="Y22" s="74">
        <v>0</v>
      </c>
      <c r="Z22" s="74">
        <v>0</v>
      </c>
      <c r="AA22" s="74">
        <v>2</v>
      </c>
      <c r="AB22" s="74">
        <v>0</v>
      </c>
      <c r="AC22" s="74">
        <v>0</v>
      </c>
      <c r="AD22" s="74">
        <v>0</v>
      </c>
      <c r="AE22" s="74">
        <v>0</v>
      </c>
      <c r="AF22" s="74">
        <v>0</v>
      </c>
      <c r="AG22" s="90">
        <f t="shared" si="4"/>
        <v>37</v>
      </c>
      <c r="AH22" s="90">
        <f t="shared" si="5"/>
        <v>35</v>
      </c>
      <c r="AI22" s="90">
        <f t="shared" si="6"/>
        <v>2</v>
      </c>
    </row>
    <row r="23" spans="1:35" x14ac:dyDescent="0.35">
      <c r="C23" s="96">
        <v>46018</v>
      </c>
      <c r="D23" s="97">
        <v>17</v>
      </c>
      <c r="E23" s="97" t="s">
        <v>694</v>
      </c>
      <c r="F23" s="10">
        <v>6</v>
      </c>
      <c r="G23" s="10">
        <v>4</v>
      </c>
      <c r="H23" s="10">
        <v>0</v>
      </c>
      <c r="I23" s="10">
        <v>0</v>
      </c>
      <c r="J23" s="74">
        <v>0</v>
      </c>
      <c r="K23" s="74">
        <v>2</v>
      </c>
      <c r="L23" s="74">
        <v>0</v>
      </c>
      <c r="M23" s="74">
        <v>0</v>
      </c>
      <c r="N23" s="74">
        <v>0</v>
      </c>
      <c r="O23" s="74">
        <v>0</v>
      </c>
      <c r="P23" s="74">
        <v>0</v>
      </c>
      <c r="Q23" s="74">
        <v>0</v>
      </c>
      <c r="R23" s="74">
        <v>0</v>
      </c>
      <c r="S23" s="97" t="s">
        <v>693</v>
      </c>
      <c r="T23" s="10">
        <v>10</v>
      </c>
      <c r="U23" s="10">
        <v>3</v>
      </c>
      <c r="V23" s="10">
        <v>0</v>
      </c>
      <c r="W23" s="10">
        <v>0</v>
      </c>
      <c r="X23" s="74">
        <v>0</v>
      </c>
      <c r="Y23" s="74">
        <v>0</v>
      </c>
      <c r="Z23" s="74">
        <v>0</v>
      </c>
      <c r="AA23" s="74">
        <v>1</v>
      </c>
      <c r="AB23" s="74">
        <v>0</v>
      </c>
      <c r="AC23" s="74">
        <v>0</v>
      </c>
      <c r="AD23" s="74">
        <v>0</v>
      </c>
      <c r="AE23" s="74">
        <v>0</v>
      </c>
      <c r="AF23" s="74">
        <v>0</v>
      </c>
      <c r="AG23" s="90">
        <f t="shared" si="4"/>
        <v>26</v>
      </c>
      <c r="AH23" s="90">
        <f t="shared" si="5"/>
        <v>23</v>
      </c>
      <c r="AI23" s="90">
        <f t="shared" si="6"/>
        <v>3</v>
      </c>
    </row>
    <row r="24" spans="1:35" x14ac:dyDescent="0.35">
      <c r="C24" s="96">
        <v>46021</v>
      </c>
      <c r="D24" s="97">
        <v>17</v>
      </c>
      <c r="E24" s="97" t="s">
        <v>699</v>
      </c>
      <c r="F24" s="10">
        <v>8</v>
      </c>
      <c r="G24" s="10">
        <v>3</v>
      </c>
      <c r="H24" s="10">
        <v>0</v>
      </c>
      <c r="I24" s="10">
        <v>0</v>
      </c>
      <c r="J24" s="74">
        <v>0</v>
      </c>
      <c r="K24" s="74">
        <v>1</v>
      </c>
      <c r="L24" s="74">
        <v>0</v>
      </c>
      <c r="M24" s="74">
        <v>0</v>
      </c>
      <c r="N24" s="74">
        <v>0</v>
      </c>
      <c r="O24" s="74">
        <v>0</v>
      </c>
      <c r="P24" s="74">
        <v>0</v>
      </c>
      <c r="Q24" s="74">
        <v>0</v>
      </c>
      <c r="R24" s="74">
        <v>0</v>
      </c>
      <c r="S24" s="97" t="s">
        <v>698</v>
      </c>
      <c r="T24" s="10">
        <v>5</v>
      </c>
      <c r="U24" s="10">
        <v>2</v>
      </c>
      <c r="V24" s="10">
        <v>0</v>
      </c>
      <c r="W24" s="10">
        <v>0</v>
      </c>
      <c r="X24" s="74">
        <v>0</v>
      </c>
      <c r="Y24" s="74">
        <v>0</v>
      </c>
      <c r="Z24" s="74">
        <v>1</v>
      </c>
      <c r="AA24" s="74">
        <v>0</v>
      </c>
      <c r="AB24" s="74">
        <v>0</v>
      </c>
      <c r="AC24" s="74">
        <v>0</v>
      </c>
      <c r="AD24" s="74">
        <v>0</v>
      </c>
      <c r="AE24" s="74">
        <v>0</v>
      </c>
      <c r="AF24" s="74">
        <v>0</v>
      </c>
      <c r="AG24" s="90">
        <f t="shared" si="4"/>
        <v>20</v>
      </c>
      <c r="AH24" s="90">
        <f t="shared" si="5"/>
        <v>18</v>
      </c>
      <c r="AI24" s="90">
        <f t="shared" si="6"/>
        <v>2</v>
      </c>
    </row>
    <row r="25" spans="1:35" x14ac:dyDescent="0.35">
      <c r="C25" s="96">
        <v>46024</v>
      </c>
      <c r="D25" s="97">
        <v>17</v>
      </c>
      <c r="E25" s="97" t="s">
        <v>717</v>
      </c>
      <c r="F25" s="10">
        <v>5</v>
      </c>
      <c r="G25" s="10">
        <v>2</v>
      </c>
      <c r="H25" s="10">
        <v>0</v>
      </c>
      <c r="I25" s="10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1</v>
      </c>
      <c r="P25" s="74">
        <v>0</v>
      </c>
      <c r="Q25" s="74">
        <v>0</v>
      </c>
      <c r="R25" s="74">
        <v>0</v>
      </c>
      <c r="S25" s="97" t="s">
        <v>718</v>
      </c>
      <c r="T25" s="10">
        <v>8</v>
      </c>
      <c r="U25" s="10">
        <v>4</v>
      </c>
      <c r="V25" s="10">
        <v>0</v>
      </c>
      <c r="W25" s="10">
        <v>0</v>
      </c>
      <c r="X25" s="74">
        <v>0</v>
      </c>
      <c r="Y25" s="74">
        <v>0</v>
      </c>
      <c r="Z25" s="74">
        <v>0</v>
      </c>
      <c r="AA25" s="74">
        <v>1</v>
      </c>
      <c r="AB25" s="74">
        <v>0</v>
      </c>
      <c r="AC25" s="74">
        <v>0</v>
      </c>
      <c r="AD25" s="74">
        <v>0</v>
      </c>
      <c r="AE25" s="74">
        <v>0</v>
      </c>
      <c r="AF25" s="74">
        <v>0</v>
      </c>
      <c r="AG25" s="90">
        <f t="shared" si="4"/>
        <v>21</v>
      </c>
      <c r="AH25" s="90">
        <f t="shared" si="5"/>
        <v>19</v>
      </c>
      <c r="AI25" s="90">
        <f t="shared" si="6"/>
        <v>2</v>
      </c>
    </row>
    <row r="26" spans="1:35" ht="29" x14ac:dyDescent="0.35">
      <c r="C26" s="96">
        <v>46027</v>
      </c>
      <c r="D26" s="97">
        <v>17</v>
      </c>
      <c r="E26" s="99" t="s">
        <v>724</v>
      </c>
      <c r="F26" s="10">
        <v>5</v>
      </c>
      <c r="G26" s="10">
        <v>2</v>
      </c>
      <c r="H26" s="10">
        <v>0</v>
      </c>
      <c r="I26" s="10">
        <v>3</v>
      </c>
      <c r="J26" s="74">
        <v>0</v>
      </c>
      <c r="K26" s="74">
        <v>0</v>
      </c>
      <c r="L26" s="74">
        <v>0</v>
      </c>
      <c r="M26" s="74">
        <v>0</v>
      </c>
      <c r="N26" s="74">
        <v>0</v>
      </c>
      <c r="O26" s="74">
        <v>2</v>
      </c>
      <c r="P26" s="74">
        <v>0</v>
      </c>
      <c r="Q26" s="74">
        <v>0</v>
      </c>
      <c r="R26" s="74">
        <v>0</v>
      </c>
      <c r="S26" s="97" t="s">
        <v>725</v>
      </c>
      <c r="T26" s="10">
        <v>6</v>
      </c>
      <c r="U26" s="10">
        <v>4</v>
      </c>
      <c r="V26" s="10">
        <v>0</v>
      </c>
      <c r="W26" s="10">
        <v>0</v>
      </c>
      <c r="X26" s="74">
        <v>2</v>
      </c>
      <c r="Y26" s="74">
        <v>0</v>
      </c>
      <c r="Z26" s="74">
        <v>0</v>
      </c>
      <c r="AA26" s="74">
        <v>0</v>
      </c>
      <c r="AB26" s="74">
        <v>0</v>
      </c>
      <c r="AC26" s="74">
        <v>0</v>
      </c>
      <c r="AD26" s="74">
        <v>0</v>
      </c>
      <c r="AE26" s="74">
        <v>0</v>
      </c>
      <c r="AF26" s="74">
        <v>0</v>
      </c>
      <c r="AG26" s="90">
        <f t="shared" si="4"/>
        <v>24</v>
      </c>
      <c r="AH26" s="90">
        <f t="shared" si="5"/>
        <v>20</v>
      </c>
      <c r="AI26" s="90">
        <f t="shared" si="6"/>
        <v>4</v>
      </c>
    </row>
    <row r="27" spans="1:35" x14ac:dyDescent="0.35">
      <c r="C27" s="96">
        <v>46031</v>
      </c>
      <c r="D27" s="97">
        <v>17</v>
      </c>
      <c r="E27" s="97" t="s">
        <v>355</v>
      </c>
      <c r="F27" s="10">
        <v>5</v>
      </c>
      <c r="G27" s="10">
        <v>1</v>
      </c>
      <c r="H27" s="10">
        <v>0</v>
      </c>
      <c r="I27" s="10">
        <v>0</v>
      </c>
      <c r="J27" s="74">
        <v>0</v>
      </c>
      <c r="K27" s="74">
        <v>0</v>
      </c>
      <c r="L27" s="74">
        <v>0</v>
      </c>
      <c r="M27" s="74">
        <v>0</v>
      </c>
      <c r="N27" s="74">
        <v>0</v>
      </c>
      <c r="O27" s="74">
        <v>0</v>
      </c>
      <c r="P27" s="74">
        <v>0</v>
      </c>
      <c r="Q27" s="74">
        <v>0</v>
      </c>
      <c r="R27" s="74">
        <v>0</v>
      </c>
      <c r="S27" s="97" t="s">
        <v>743</v>
      </c>
      <c r="T27" s="10">
        <v>5</v>
      </c>
      <c r="U27" s="10">
        <v>1</v>
      </c>
      <c r="V27" s="10">
        <v>1</v>
      </c>
      <c r="W27" s="10">
        <v>0</v>
      </c>
      <c r="X27" s="74">
        <v>0</v>
      </c>
      <c r="Y27" s="74">
        <v>0</v>
      </c>
      <c r="Z27" s="74">
        <v>0</v>
      </c>
      <c r="AA27" s="74">
        <v>0</v>
      </c>
      <c r="AB27" s="74">
        <v>0</v>
      </c>
      <c r="AC27" s="74">
        <v>1</v>
      </c>
      <c r="AD27" s="74">
        <v>0</v>
      </c>
      <c r="AE27" s="74">
        <v>0</v>
      </c>
      <c r="AF27" s="74">
        <v>0</v>
      </c>
      <c r="AG27" s="90">
        <f t="shared" si="4"/>
        <v>14</v>
      </c>
      <c r="AH27" s="90">
        <f t="shared" si="5"/>
        <v>13</v>
      </c>
      <c r="AI27" s="90">
        <f t="shared" si="6"/>
        <v>1</v>
      </c>
    </row>
    <row r="28" spans="1:35" ht="29" x14ac:dyDescent="0.35">
      <c r="C28" s="96">
        <v>46035</v>
      </c>
      <c r="D28" s="97">
        <v>17</v>
      </c>
      <c r="E28" s="97" t="s">
        <v>755</v>
      </c>
      <c r="F28" s="10">
        <v>5</v>
      </c>
      <c r="G28" s="10">
        <v>3</v>
      </c>
      <c r="H28" s="10">
        <v>0</v>
      </c>
      <c r="I28" s="10">
        <v>0</v>
      </c>
      <c r="J28" s="74">
        <v>1</v>
      </c>
      <c r="K28" s="74">
        <v>0</v>
      </c>
      <c r="L28" s="74">
        <v>0</v>
      </c>
      <c r="M28" s="74">
        <v>0</v>
      </c>
      <c r="N28" s="74">
        <v>0</v>
      </c>
      <c r="O28" s="74">
        <v>0</v>
      </c>
      <c r="P28" s="74">
        <v>0</v>
      </c>
      <c r="Q28" s="74">
        <v>0</v>
      </c>
      <c r="R28" s="74">
        <v>0</v>
      </c>
      <c r="S28" s="99" t="s">
        <v>754</v>
      </c>
      <c r="T28" s="10">
        <v>3</v>
      </c>
      <c r="U28" s="10">
        <v>0</v>
      </c>
      <c r="V28" s="10">
        <v>0</v>
      </c>
      <c r="W28" s="10">
        <v>2</v>
      </c>
      <c r="X28" s="74">
        <v>0</v>
      </c>
      <c r="Y28" s="74">
        <v>0</v>
      </c>
      <c r="Z28" s="74">
        <v>0</v>
      </c>
      <c r="AA28" s="74">
        <v>0</v>
      </c>
      <c r="AB28" s="74">
        <v>0</v>
      </c>
      <c r="AC28" s="74">
        <v>0</v>
      </c>
      <c r="AD28" s="74">
        <v>1</v>
      </c>
      <c r="AE28" s="74">
        <v>0</v>
      </c>
      <c r="AF28" s="74">
        <v>0</v>
      </c>
      <c r="AG28" s="90">
        <f t="shared" si="4"/>
        <v>15</v>
      </c>
      <c r="AH28" s="90">
        <f t="shared" si="5"/>
        <v>13</v>
      </c>
      <c r="AI28" s="90">
        <f t="shared" si="6"/>
        <v>2</v>
      </c>
    </row>
    <row r="29" spans="1:35" x14ac:dyDescent="0.35">
      <c r="C29" s="96">
        <v>46038</v>
      </c>
      <c r="D29" s="97">
        <v>17</v>
      </c>
      <c r="E29" s="97" t="s">
        <v>765</v>
      </c>
      <c r="F29" s="10">
        <v>1</v>
      </c>
      <c r="G29" s="10">
        <v>2</v>
      </c>
      <c r="H29" s="10">
        <v>0</v>
      </c>
      <c r="I29" s="10">
        <v>0</v>
      </c>
      <c r="J29" s="74">
        <v>0</v>
      </c>
      <c r="K29" s="74">
        <v>0</v>
      </c>
      <c r="L29" s="74">
        <v>0</v>
      </c>
      <c r="M29" s="74">
        <v>1</v>
      </c>
      <c r="N29" s="74">
        <v>0</v>
      </c>
      <c r="O29" s="74">
        <v>0</v>
      </c>
      <c r="P29" s="74">
        <v>0</v>
      </c>
      <c r="Q29" s="74">
        <v>0</v>
      </c>
      <c r="R29" s="74">
        <v>0</v>
      </c>
      <c r="S29" s="97" t="s">
        <v>775</v>
      </c>
      <c r="T29" s="10">
        <v>3</v>
      </c>
      <c r="U29" s="10">
        <v>1</v>
      </c>
      <c r="V29" s="10">
        <v>0</v>
      </c>
      <c r="W29" s="10">
        <v>0</v>
      </c>
      <c r="X29" s="74">
        <v>0</v>
      </c>
      <c r="Y29" s="74">
        <v>0</v>
      </c>
      <c r="Z29" s="74">
        <v>0</v>
      </c>
      <c r="AA29" s="74">
        <v>0</v>
      </c>
      <c r="AB29" s="74">
        <v>0</v>
      </c>
      <c r="AC29" s="74">
        <v>0</v>
      </c>
      <c r="AD29" s="74">
        <v>0</v>
      </c>
      <c r="AE29" s="74">
        <v>0</v>
      </c>
      <c r="AF29" s="74">
        <v>0</v>
      </c>
      <c r="AG29" s="90">
        <f t="shared" si="4"/>
        <v>8</v>
      </c>
      <c r="AH29" s="90">
        <f t="shared" si="5"/>
        <v>7</v>
      </c>
      <c r="AI29" s="90">
        <f t="shared" si="6"/>
        <v>1</v>
      </c>
    </row>
    <row r="30" spans="1:35" x14ac:dyDescent="0.35">
      <c r="C30" s="96">
        <v>46041</v>
      </c>
      <c r="D30" s="97">
        <v>17</v>
      </c>
      <c r="E30" s="97" t="s">
        <v>790</v>
      </c>
      <c r="F30" s="10">
        <v>0</v>
      </c>
      <c r="G30" s="10">
        <v>2</v>
      </c>
      <c r="H30" s="10">
        <v>0</v>
      </c>
      <c r="I30" s="10">
        <v>0</v>
      </c>
      <c r="J30" s="74">
        <v>0</v>
      </c>
      <c r="K30" s="74">
        <v>0</v>
      </c>
      <c r="L30" s="74">
        <v>0</v>
      </c>
      <c r="M30" s="74">
        <v>1</v>
      </c>
      <c r="N30" s="74">
        <v>0</v>
      </c>
      <c r="O30" s="74">
        <v>1</v>
      </c>
      <c r="P30" s="74">
        <v>0</v>
      </c>
      <c r="Q30" s="74">
        <v>0</v>
      </c>
      <c r="R30" s="74">
        <v>0</v>
      </c>
      <c r="S30" s="97" t="s">
        <v>789</v>
      </c>
      <c r="T30" s="10">
        <v>2</v>
      </c>
      <c r="U30" s="10">
        <v>0</v>
      </c>
      <c r="V30" s="10">
        <v>0</v>
      </c>
      <c r="W30" s="10">
        <v>0</v>
      </c>
      <c r="X30" s="74">
        <v>1</v>
      </c>
      <c r="Y30" s="74">
        <v>0</v>
      </c>
      <c r="Z30" s="74">
        <v>0</v>
      </c>
      <c r="AA30" s="74">
        <v>0</v>
      </c>
      <c r="AB30" s="74">
        <v>0</v>
      </c>
      <c r="AC30" s="74">
        <v>0</v>
      </c>
      <c r="AD30" s="74">
        <v>0</v>
      </c>
      <c r="AE30" s="74">
        <v>0</v>
      </c>
      <c r="AF30" s="74">
        <v>0</v>
      </c>
      <c r="AG30" s="90">
        <f t="shared" si="4"/>
        <v>7</v>
      </c>
      <c r="AH30" s="90">
        <f t="shared" si="5"/>
        <v>4</v>
      </c>
      <c r="AI30" s="90">
        <f t="shared" si="6"/>
        <v>3</v>
      </c>
    </row>
    <row r="31" spans="1:35" x14ac:dyDescent="0.35">
      <c r="C31" s="96">
        <v>46045</v>
      </c>
      <c r="D31" s="97">
        <v>17</v>
      </c>
      <c r="E31" s="97" t="s">
        <v>300</v>
      </c>
      <c r="F31" s="10">
        <v>5</v>
      </c>
      <c r="G31" s="10">
        <v>1</v>
      </c>
      <c r="H31" s="10">
        <v>0</v>
      </c>
      <c r="I31" s="10">
        <v>0</v>
      </c>
      <c r="J31" s="74">
        <v>0</v>
      </c>
      <c r="K31" s="74">
        <v>1</v>
      </c>
      <c r="L31" s="74">
        <v>0</v>
      </c>
      <c r="M31" s="74">
        <v>0</v>
      </c>
      <c r="N31" s="74">
        <v>0</v>
      </c>
      <c r="O31" s="74">
        <v>0</v>
      </c>
      <c r="P31" s="74">
        <v>0</v>
      </c>
      <c r="Q31" s="74">
        <v>0</v>
      </c>
      <c r="R31" s="74">
        <v>0</v>
      </c>
      <c r="S31" s="97" t="s">
        <v>794</v>
      </c>
      <c r="T31" s="10">
        <v>7</v>
      </c>
      <c r="U31" s="10">
        <v>1</v>
      </c>
      <c r="V31" s="10">
        <v>0</v>
      </c>
      <c r="W31" s="10">
        <v>0</v>
      </c>
      <c r="X31" s="74">
        <v>1</v>
      </c>
      <c r="Y31" s="74">
        <v>0</v>
      </c>
      <c r="Z31" s="74">
        <v>0</v>
      </c>
      <c r="AA31" s="74">
        <v>0</v>
      </c>
      <c r="AB31" s="74">
        <v>0</v>
      </c>
      <c r="AC31" s="74">
        <v>0</v>
      </c>
      <c r="AD31" s="74">
        <v>0</v>
      </c>
      <c r="AE31" s="74">
        <v>0</v>
      </c>
      <c r="AF31" s="74">
        <v>0</v>
      </c>
      <c r="AG31" s="90">
        <f t="shared" si="4"/>
        <v>16</v>
      </c>
      <c r="AH31" s="90">
        <f t="shared" si="5"/>
        <v>14</v>
      </c>
      <c r="AI31" s="90">
        <f t="shared" si="6"/>
        <v>2</v>
      </c>
    </row>
    <row r="32" spans="1:35" x14ac:dyDescent="0.35">
      <c r="C32" s="96">
        <v>46049</v>
      </c>
      <c r="D32" s="97">
        <v>17</v>
      </c>
      <c r="E32" s="97" t="s">
        <v>808</v>
      </c>
      <c r="F32" s="10">
        <v>5</v>
      </c>
      <c r="G32" s="10">
        <v>1</v>
      </c>
      <c r="H32" s="10">
        <v>2</v>
      </c>
      <c r="I32" s="10">
        <v>0</v>
      </c>
      <c r="J32" s="74">
        <v>0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  <c r="P32" s="74">
        <v>0</v>
      </c>
      <c r="Q32" s="74">
        <v>0</v>
      </c>
      <c r="R32" s="74">
        <v>0</v>
      </c>
      <c r="S32" s="97" t="s">
        <v>83</v>
      </c>
      <c r="T32" s="10">
        <v>5</v>
      </c>
      <c r="U32" s="10">
        <v>3</v>
      </c>
      <c r="V32" s="10">
        <v>0</v>
      </c>
      <c r="W32" s="10">
        <v>0</v>
      </c>
      <c r="X32" s="74">
        <v>0</v>
      </c>
      <c r="Y32" s="74">
        <v>0</v>
      </c>
      <c r="Z32" s="74">
        <v>0</v>
      </c>
      <c r="AA32" s="74">
        <v>0</v>
      </c>
      <c r="AB32" s="74">
        <v>0</v>
      </c>
      <c r="AC32" s="74">
        <v>0</v>
      </c>
      <c r="AD32" s="74">
        <v>0</v>
      </c>
      <c r="AE32" s="74">
        <v>0</v>
      </c>
      <c r="AF32" s="74">
        <v>0</v>
      </c>
      <c r="AG32" s="90">
        <f t="shared" si="4"/>
        <v>16</v>
      </c>
      <c r="AH32" s="90">
        <f t="shared" si="5"/>
        <v>16</v>
      </c>
      <c r="AI32" s="90">
        <f t="shared" si="6"/>
        <v>0</v>
      </c>
    </row>
    <row r="33" spans="3:35" x14ac:dyDescent="0.35">
      <c r="C33" s="96">
        <v>46052</v>
      </c>
      <c r="D33" s="97">
        <v>17</v>
      </c>
      <c r="E33" s="97" t="s">
        <v>98</v>
      </c>
      <c r="F33" s="10">
        <v>4</v>
      </c>
      <c r="G33" s="10">
        <v>0</v>
      </c>
      <c r="H33" s="10">
        <v>0</v>
      </c>
      <c r="I33" s="10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97" t="s">
        <v>134</v>
      </c>
      <c r="T33" s="10">
        <v>3</v>
      </c>
      <c r="U33" s="10">
        <v>0</v>
      </c>
      <c r="V33" s="10">
        <v>0</v>
      </c>
      <c r="W33" s="10">
        <v>0</v>
      </c>
      <c r="X33" s="74">
        <v>0</v>
      </c>
      <c r="Y33" s="74">
        <v>0</v>
      </c>
      <c r="Z33" s="74">
        <v>0</v>
      </c>
      <c r="AA33" s="74">
        <v>0</v>
      </c>
      <c r="AB33" s="74">
        <v>0</v>
      </c>
      <c r="AC33" s="74">
        <v>0</v>
      </c>
      <c r="AD33" s="74">
        <v>0</v>
      </c>
      <c r="AE33" s="74">
        <v>0</v>
      </c>
      <c r="AF33" s="74">
        <v>0</v>
      </c>
      <c r="AG33" s="90">
        <f t="shared" si="4"/>
        <v>7</v>
      </c>
      <c r="AH33" s="90">
        <f t="shared" si="5"/>
        <v>7</v>
      </c>
      <c r="AI33" s="90">
        <f t="shared" si="6"/>
        <v>0</v>
      </c>
    </row>
    <row r="34" spans="3:35" x14ac:dyDescent="0.35">
      <c r="C34" s="96">
        <v>46056</v>
      </c>
      <c r="D34" s="97">
        <v>17</v>
      </c>
      <c r="E34" s="97" t="s">
        <v>317</v>
      </c>
      <c r="F34" s="10">
        <v>4</v>
      </c>
      <c r="G34" s="10">
        <v>0</v>
      </c>
      <c r="H34" s="10">
        <v>0</v>
      </c>
      <c r="I34" s="10">
        <v>1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97" t="s">
        <v>731</v>
      </c>
      <c r="T34" s="10">
        <v>5</v>
      </c>
      <c r="U34" s="10">
        <v>1</v>
      </c>
      <c r="V34" s="10">
        <v>0</v>
      </c>
      <c r="W34" s="10">
        <v>0</v>
      </c>
      <c r="X34" s="74">
        <v>0</v>
      </c>
      <c r="Y34" s="74">
        <v>0</v>
      </c>
      <c r="Z34" s="74">
        <v>0</v>
      </c>
      <c r="AA34" s="74">
        <v>0</v>
      </c>
      <c r="AB34" s="74">
        <v>0</v>
      </c>
      <c r="AC34" s="74">
        <v>0</v>
      </c>
      <c r="AD34" s="74">
        <v>0</v>
      </c>
      <c r="AE34" s="74">
        <v>0</v>
      </c>
      <c r="AF34" s="74">
        <v>0</v>
      </c>
      <c r="AG34" s="90">
        <f t="shared" si="4"/>
        <v>11</v>
      </c>
      <c r="AH34" s="90">
        <f t="shared" si="5"/>
        <v>11</v>
      </c>
      <c r="AI34" s="90">
        <f t="shared" si="6"/>
        <v>0</v>
      </c>
    </row>
    <row r="35" spans="3:35" x14ac:dyDescent="0.35">
      <c r="C35" s="96">
        <v>46059</v>
      </c>
      <c r="D35" s="97">
        <v>17</v>
      </c>
      <c r="E35" s="97" t="s">
        <v>133</v>
      </c>
      <c r="F35" s="10">
        <v>5</v>
      </c>
      <c r="G35" s="10">
        <v>0</v>
      </c>
      <c r="H35" s="10">
        <v>0</v>
      </c>
      <c r="I35" s="10">
        <v>0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</v>
      </c>
      <c r="P35" s="74">
        <v>0</v>
      </c>
      <c r="Q35" s="74">
        <v>0</v>
      </c>
      <c r="R35" s="74">
        <v>0</v>
      </c>
      <c r="S35" s="97" t="s">
        <v>101</v>
      </c>
      <c r="T35" s="10">
        <v>8</v>
      </c>
      <c r="U35" s="10">
        <v>0</v>
      </c>
      <c r="V35" s="10">
        <v>0</v>
      </c>
      <c r="W35" s="10">
        <v>0</v>
      </c>
      <c r="X35" s="74">
        <v>0</v>
      </c>
      <c r="Y35" s="74">
        <v>0</v>
      </c>
      <c r="Z35" s="74">
        <v>0</v>
      </c>
      <c r="AA35" s="74">
        <v>0</v>
      </c>
      <c r="AB35" s="74">
        <v>0</v>
      </c>
      <c r="AC35" s="74">
        <v>0</v>
      </c>
      <c r="AD35" s="74">
        <v>0</v>
      </c>
      <c r="AE35" s="74">
        <v>0</v>
      </c>
      <c r="AF35" s="74">
        <v>0</v>
      </c>
      <c r="AG35" s="90">
        <f t="shared" si="4"/>
        <v>13</v>
      </c>
      <c r="AH35" s="90">
        <f t="shared" si="5"/>
        <v>13</v>
      </c>
      <c r="AI35" s="90">
        <f t="shared" si="6"/>
        <v>0</v>
      </c>
    </row>
    <row r="36" spans="3:35" x14ac:dyDescent="0.35">
      <c r="C36" s="96">
        <v>46062</v>
      </c>
      <c r="D36" s="97">
        <v>17</v>
      </c>
      <c r="E36" s="97" t="s">
        <v>98</v>
      </c>
      <c r="F36" s="10">
        <v>4</v>
      </c>
      <c r="G36" s="10">
        <v>0</v>
      </c>
      <c r="H36" s="10">
        <v>0</v>
      </c>
      <c r="I36" s="10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74">
        <v>0</v>
      </c>
      <c r="Q36" s="74">
        <v>0</v>
      </c>
      <c r="R36" s="74">
        <v>0</v>
      </c>
      <c r="S36" s="97" t="s">
        <v>356</v>
      </c>
      <c r="T36" s="10">
        <v>10</v>
      </c>
      <c r="U36" s="10">
        <v>0</v>
      </c>
      <c r="V36" s="10">
        <v>0</v>
      </c>
      <c r="W36" s="10">
        <v>0</v>
      </c>
      <c r="X36" s="74">
        <v>0</v>
      </c>
      <c r="Y36" s="74">
        <v>0</v>
      </c>
      <c r="Z36" s="74">
        <v>0</v>
      </c>
      <c r="AA36" s="74">
        <v>0</v>
      </c>
      <c r="AB36" s="74">
        <v>0</v>
      </c>
      <c r="AC36" s="74">
        <v>0</v>
      </c>
      <c r="AD36" s="74">
        <v>0</v>
      </c>
      <c r="AE36" s="74">
        <v>0</v>
      </c>
      <c r="AF36" s="74">
        <v>0</v>
      </c>
      <c r="AG36" s="90">
        <f t="shared" si="4"/>
        <v>14</v>
      </c>
      <c r="AH36" s="90">
        <f t="shared" si="5"/>
        <v>14</v>
      </c>
      <c r="AI36" s="90">
        <f t="shared" si="6"/>
        <v>0</v>
      </c>
    </row>
    <row r="37" spans="3:35" x14ac:dyDescent="0.35">
      <c r="C37" s="96">
        <v>46066</v>
      </c>
      <c r="D37" s="97">
        <v>17</v>
      </c>
      <c r="E37" s="97" t="s">
        <v>407</v>
      </c>
      <c r="F37" s="10">
        <v>2</v>
      </c>
      <c r="G37" s="10">
        <v>0</v>
      </c>
      <c r="H37" s="10">
        <v>0</v>
      </c>
      <c r="I37" s="10">
        <v>0</v>
      </c>
      <c r="J37" s="74">
        <v>0</v>
      </c>
      <c r="K37" s="74">
        <v>0</v>
      </c>
      <c r="L37" s="74">
        <v>0</v>
      </c>
      <c r="M37" s="74">
        <v>0</v>
      </c>
      <c r="N37" s="74">
        <v>0</v>
      </c>
      <c r="O37" s="74">
        <v>0</v>
      </c>
      <c r="P37" s="74">
        <v>0</v>
      </c>
      <c r="Q37" s="74">
        <v>0</v>
      </c>
      <c r="R37" s="74">
        <v>0</v>
      </c>
      <c r="S37" s="97" t="s">
        <v>93</v>
      </c>
      <c r="T37" s="10">
        <v>3</v>
      </c>
      <c r="U37" s="10">
        <v>2</v>
      </c>
      <c r="V37" s="10">
        <v>0</v>
      </c>
      <c r="W37" s="10">
        <v>1</v>
      </c>
      <c r="X37" s="74">
        <v>0</v>
      </c>
      <c r="Y37" s="74">
        <v>0</v>
      </c>
      <c r="Z37" s="74">
        <v>0</v>
      </c>
      <c r="AA37" s="74">
        <v>0</v>
      </c>
      <c r="AB37" s="74">
        <v>0</v>
      </c>
      <c r="AC37" s="74">
        <v>0</v>
      </c>
      <c r="AD37" s="74">
        <v>0</v>
      </c>
      <c r="AE37" s="74">
        <v>0</v>
      </c>
      <c r="AF37" s="74">
        <v>0</v>
      </c>
      <c r="AG37" s="90">
        <f t="shared" si="4"/>
        <v>8</v>
      </c>
      <c r="AH37" s="90">
        <f t="shared" si="5"/>
        <v>8</v>
      </c>
      <c r="AI37" s="90">
        <f t="shared" si="6"/>
        <v>0</v>
      </c>
    </row>
    <row r="38" spans="3:35" x14ac:dyDescent="0.35">
      <c r="C38" s="96">
        <v>46070</v>
      </c>
      <c r="D38" s="97">
        <v>17</v>
      </c>
      <c r="E38" s="97" t="s">
        <v>901</v>
      </c>
      <c r="F38" s="10">
        <v>7</v>
      </c>
      <c r="G38" s="10">
        <v>0</v>
      </c>
      <c r="H38" s="10">
        <v>0</v>
      </c>
      <c r="I38" s="10">
        <v>0</v>
      </c>
      <c r="J38" s="74">
        <v>0</v>
      </c>
      <c r="K38" s="74">
        <v>0</v>
      </c>
      <c r="L38" s="74">
        <v>0</v>
      </c>
      <c r="M38" s="74">
        <v>0</v>
      </c>
      <c r="N38" s="74">
        <v>0</v>
      </c>
      <c r="O38" s="74">
        <v>0</v>
      </c>
      <c r="P38" s="74">
        <v>0</v>
      </c>
      <c r="Q38" s="74">
        <v>0</v>
      </c>
      <c r="R38" s="74">
        <v>0</v>
      </c>
      <c r="S38" s="97" t="s">
        <v>184</v>
      </c>
      <c r="T38" s="10">
        <v>3</v>
      </c>
      <c r="U38" s="10">
        <v>2</v>
      </c>
      <c r="V38" s="10">
        <v>0</v>
      </c>
      <c r="W38" s="10">
        <v>0</v>
      </c>
      <c r="X38" s="74">
        <v>0</v>
      </c>
      <c r="Y38" s="74">
        <v>0</v>
      </c>
      <c r="Z38" s="74">
        <v>0</v>
      </c>
      <c r="AA38" s="74">
        <v>0</v>
      </c>
      <c r="AB38" s="74">
        <v>0</v>
      </c>
      <c r="AC38" s="74">
        <v>0</v>
      </c>
      <c r="AD38" s="74">
        <v>0</v>
      </c>
      <c r="AE38" s="74">
        <v>0</v>
      </c>
      <c r="AF38" s="74">
        <v>0</v>
      </c>
      <c r="AG38" s="90">
        <f t="shared" si="4"/>
        <v>12</v>
      </c>
      <c r="AH38" s="90">
        <f t="shared" si="5"/>
        <v>12</v>
      </c>
      <c r="AI38" s="90">
        <f t="shared" si="6"/>
        <v>0</v>
      </c>
    </row>
    <row r="39" spans="3:35" x14ac:dyDescent="0.35">
      <c r="C39" s="96">
        <v>46074</v>
      </c>
      <c r="D39" s="97">
        <v>17</v>
      </c>
      <c r="E39" s="97" t="s">
        <v>470</v>
      </c>
      <c r="F39" s="10">
        <v>6</v>
      </c>
      <c r="G39" s="10">
        <v>2</v>
      </c>
      <c r="H39" s="10">
        <v>0</v>
      </c>
      <c r="I39" s="10">
        <v>0</v>
      </c>
      <c r="J39" s="74">
        <v>0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74">
        <v>0</v>
      </c>
      <c r="Q39" s="74">
        <v>0</v>
      </c>
      <c r="R39" s="74">
        <v>0</v>
      </c>
      <c r="S39" s="97" t="s">
        <v>929</v>
      </c>
      <c r="T39" s="10">
        <v>3</v>
      </c>
      <c r="U39" s="10">
        <v>2</v>
      </c>
      <c r="V39" s="10">
        <v>0</v>
      </c>
      <c r="W39" s="10">
        <v>1</v>
      </c>
      <c r="X39" s="74">
        <v>1</v>
      </c>
      <c r="Y39" s="74">
        <v>0</v>
      </c>
      <c r="Z39" s="74">
        <v>0</v>
      </c>
      <c r="AA39" s="74">
        <v>0</v>
      </c>
      <c r="AB39" s="74">
        <v>0</v>
      </c>
      <c r="AC39" s="74">
        <v>0</v>
      </c>
      <c r="AD39" s="74">
        <v>0</v>
      </c>
      <c r="AE39" s="74">
        <v>0</v>
      </c>
      <c r="AF39" s="74">
        <v>0</v>
      </c>
      <c r="AG39" s="90">
        <f t="shared" si="4"/>
        <v>15</v>
      </c>
      <c r="AH39" s="90">
        <f t="shared" si="5"/>
        <v>14</v>
      </c>
      <c r="AI39" s="90">
        <f t="shared" si="6"/>
        <v>1</v>
      </c>
    </row>
    <row r="40" spans="3:35" x14ac:dyDescent="0.35">
      <c r="C40" s="96">
        <v>46077</v>
      </c>
      <c r="D40" s="97">
        <v>17</v>
      </c>
      <c r="E40" s="97" t="s">
        <v>948</v>
      </c>
      <c r="F40" s="10">
        <v>10</v>
      </c>
      <c r="G40" s="10">
        <v>4</v>
      </c>
      <c r="H40" s="10">
        <v>0</v>
      </c>
      <c r="I40" s="10">
        <v>1</v>
      </c>
      <c r="J40" s="74">
        <v>0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74">
        <v>0</v>
      </c>
      <c r="Q40" s="74">
        <v>0</v>
      </c>
      <c r="R40" s="74">
        <v>0</v>
      </c>
      <c r="S40" s="97" t="s">
        <v>949</v>
      </c>
      <c r="T40" s="10">
        <v>12</v>
      </c>
      <c r="U40" s="10">
        <v>5</v>
      </c>
      <c r="V40" s="10">
        <v>0</v>
      </c>
      <c r="W40" s="10">
        <v>0</v>
      </c>
      <c r="X40" s="74">
        <v>0</v>
      </c>
      <c r="Y40" s="74">
        <v>0</v>
      </c>
      <c r="Z40" s="74">
        <v>0</v>
      </c>
      <c r="AA40" s="74">
        <v>0</v>
      </c>
      <c r="AB40" s="74">
        <v>0</v>
      </c>
      <c r="AC40" s="74">
        <v>0</v>
      </c>
      <c r="AD40" s="74">
        <v>0</v>
      </c>
      <c r="AE40" s="74">
        <v>0</v>
      </c>
      <c r="AF40" s="74">
        <v>0</v>
      </c>
      <c r="AG40" s="90">
        <f t="shared" si="4"/>
        <v>32</v>
      </c>
      <c r="AH40" s="90">
        <f t="shared" si="5"/>
        <v>32</v>
      </c>
      <c r="AI40" s="90">
        <f t="shared" si="6"/>
        <v>0</v>
      </c>
    </row>
    <row r="41" spans="3:35" x14ac:dyDescent="0.35">
      <c r="C41" s="96">
        <v>46080</v>
      </c>
      <c r="D41" s="97">
        <v>17</v>
      </c>
      <c r="E41" s="97" t="s">
        <v>963</v>
      </c>
      <c r="F41" s="10">
        <v>3</v>
      </c>
      <c r="G41" s="10">
        <v>1</v>
      </c>
      <c r="H41" s="10">
        <v>0</v>
      </c>
      <c r="I41" s="10">
        <v>3</v>
      </c>
      <c r="J41" s="74">
        <v>0</v>
      </c>
      <c r="K41" s="74">
        <v>0</v>
      </c>
      <c r="L41" s="74">
        <v>0</v>
      </c>
      <c r="M41" s="74">
        <v>0</v>
      </c>
      <c r="N41" s="74">
        <v>0</v>
      </c>
      <c r="O41" s="74">
        <v>0</v>
      </c>
      <c r="P41" s="74">
        <v>0</v>
      </c>
      <c r="Q41" s="74">
        <v>0</v>
      </c>
      <c r="R41" s="74">
        <v>0</v>
      </c>
      <c r="S41" s="97" t="s">
        <v>250</v>
      </c>
      <c r="T41" s="10">
        <v>1</v>
      </c>
      <c r="U41" s="10">
        <v>2</v>
      </c>
      <c r="V41" s="10">
        <v>0</v>
      </c>
      <c r="W41" s="10">
        <v>0</v>
      </c>
      <c r="X41" s="74">
        <v>0</v>
      </c>
      <c r="Y41" s="74">
        <v>0</v>
      </c>
      <c r="Z41" s="74">
        <v>0</v>
      </c>
      <c r="AA41" s="74">
        <v>0</v>
      </c>
      <c r="AB41" s="74">
        <v>0</v>
      </c>
      <c r="AC41" s="74">
        <v>0</v>
      </c>
      <c r="AD41" s="74">
        <v>0</v>
      </c>
      <c r="AE41" s="74">
        <v>0</v>
      </c>
      <c r="AF41" s="74">
        <v>0</v>
      </c>
      <c r="AG41" s="90">
        <f t="shared" si="4"/>
        <v>10</v>
      </c>
      <c r="AH41" s="90">
        <f t="shared" si="5"/>
        <v>10</v>
      </c>
      <c r="AI41" s="90">
        <f t="shared" si="6"/>
        <v>0</v>
      </c>
    </row>
    <row r="42" spans="3:35" ht="29" x14ac:dyDescent="0.35">
      <c r="C42" s="96">
        <v>46084</v>
      </c>
      <c r="D42" s="97">
        <v>17</v>
      </c>
      <c r="E42" s="99" t="s">
        <v>998</v>
      </c>
      <c r="F42" s="10">
        <v>8</v>
      </c>
      <c r="G42" s="10">
        <v>1</v>
      </c>
      <c r="H42" s="10">
        <v>3</v>
      </c>
      <c r="I42" s="10">
        <v>1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97" t="s">
        <v>997</v>
      </c>
      <c r="T42" s="10">
        <v>6</v>
      </c>
      <c r="U42" s="10">
        <v>1</v>
      </c>
      <c r="V42" s="10">
        <v>0</v>
      </c>
      <c r="W42" s="10">
        <v>0</v>
      </c>
      <c r="X42" s="74">
        <v>0</v>
      </c>
      <c r="Y42" s="74">
        <v>1</v>
      </c>
      <c r="Z42" s="74">
        <v>0</v>
      </c>
      <c r="AA42" s="74">
        <v>0</v>
      </c>
      <c r="AB42" s="74">
        <v>0</v>
      </c>
      <c r="AC42" s="74">
        <v>0</v>
      </c>
      <c r="AD42" s="74">
        <v>0</v>
      </c>
      <c r="AE42" s="74">
        <v>0</v>
      </c>
      <c r="AF42" s="74">
        <v>0</v>
      </c>
      <c r="AG42" s="90">
        <f t="shared" si="4"/>
        <v>21</v>
      </c>
      <c r="AH42" s="90">
        <f t="shared" si="5"/>
        <v>20</v>
      </c>
      <c r="AI42" s="90">
        <f t="shared" si="6"/>
        <v>1</v>
      </c>
    </row>
    <row r="43" spans="3:35" x14ac:dyDescent="0.35">
      <c r="C43" s="96">
        <v>46088</v>
      </c>
      <c r="D43" s="97">
        <v>17</v>
      </c>
      <c r="E43" s="97" t="s">
        <v>85</v>
      </c>
      <c r="F43" s="10">
        <v>5</v>
      </c>
      <c r="G43" s="10">
        <v>2</v>
      </c>
      <c r="H43" s="10">
        <v>0</v>
      </c>
      <c r="I43" s="10">
        <v>0</v>
      </c>
      <c r="J43" s="74">
        <v>0</v>
      </c>
      <c r="K43" s="74">
        <v>0</v>
      </c>
      <c r="L43" s="74">
        <v>0</v>
      </c>
      <c r="M43" s="74">
        <v>0</v>
      </c>
      <c r="N43" s="74">
        <v>0</v>
      </c>
      <c r="O43" s="74">
        <v>0</v>
      </c>
      <c r="P43" s="74">
        <v>0</v>
      </c>
      <c r="Q43" s="74">
        <v>0</v>
      </c>
      <c r="R43" s="74">
        <v>0</v>
      </c>
      <c r="S43" s="97" t="s">
        <v>1013</v>
      </c>
      <c r="T43" s="10">
        <v>7</v>
      </c>
      <c r="U43" s="10">
        <v>1</v>
      </c>
      <c r="V43" s="10">
        <v>0</v>
      </c>
      <c r="W43" s="10">
        <v>0</v>
      </c>
      <c r="X43" s="74">
        <v>0</v>
      </c>
      <c r="Y43" s="74">
        <v>0</v>
      </c>
      <c r="Z43" s="74">
        <v>0</v>
      </c>
      <c r="AA43" s="74">
        <v>0</v>
      </c>
      <c r="AB43" s="74">
        <v>0</v>
      </c>
      <c r="AC43" s="74">
        <v>0</v>
      </c>
      <c r="AD43" s="74">
        <v>0</v>
      </c>
      <c r="AE43" s="74">
        <v>0</v>
      </c>
      <c r="AF43" s="74">
        <v>0</v>
      </c>
      <c r="AG43" s="90">
        <f t="shared" si="4"/>
        <v>15</v>
      </c>
      <c r="AH43" s="90">
        <f t="shared" si="5"/>
        <v>15</v>
      </c>
      <c r="AI43" s="90">
        <f t="shared" si="6"/>
        <v>0</v>
      </c>
    </row>
    <row r="44" spans="3:35" x14ac:dyDescent="0.35">
      <c r="C44" s="96">
        <v>46091</v>
      </c>
      <c r="D44" s="97">
        <v>17</v>
      </c>
      <c r="E44" s="97" t="s">
        <v>1054</v>
      </c>
      <c r="F44" s="10">
        <v>6</v>
      </c>
      <c r="G44" s="10">
        <v>4</v>
      </c>
      <c r="H44" s="10">
        <v>1</v>
      </c>
      <c r="I44" s="10">
        <v>0</v>
      </c>
      <c r="J44" s="74">
        <v>0</v>
      </c>
      <c r="K44" s="74">
        <v>0</v>
      </c>
      <c r="L44" s="74">
        <v>0</v>
      </c>
      <c r="M44" s="74">
        <v>0</v>
      </c>
      <c r="N44" s="74">
        <v>0</v>
      </c>
      <c r="O44" s="74">
        <v>0</v>
      </c>
      <c r="P44" s="74">
        <v>0</v>
      </c>
      <c r="Q44" s="74">
        <v>0</v>
      </c>
      <c r="R44" s="74">
        <v>0</v>
      </c>
      <c r="S44" s="97" t="s">
        <v>135</v>
      </c>
      <c r="T44" s="10">
        <v>0</v>
      </c>
      <c r="U44" s="10">
        <v>4</v>
      </c>
      <c r="V44" s="10">
        <v>0</v>
      </c>
      <c r="W44" s="10">
        <v>0</v>
      </c>
      <c r="X44" s="74">
        <v>0</v>
      </c>
      <c r="Y44" s="74">
        <v>0</v>
      </c>
      <c r="Z44" s="74">
        <v>0</v>
      </c>
      <c r="AA44" s="74">
        <v>0</v>
      </c>
      <c r="AB44" s="74">
        <v>0</v>
      </c>
      <c r="AC44" s="74">
        <v>0</v>
      </c>
      <c r="AD44" s="74">
        <v>0</v>
      </c>
      <c r="AE44" s="74">
        <v>0</v>
      </c>
      <c r="AF44" s="74">
        <v>0</v>
      </c>
      <c r="AG44" s="90">
        <f t="shared" si="4"/>
        <v>15</v>
      </c>
      <c r="AH44" s="90">
        <f t="shared" si="5"/>
        <v>15</v>
      </c>
      <c r="AI44" s="90">
        <f t="shared" si="6"/>
        <v>0</v>
      </c>
    </row>
    <row r="45" spans="3:35" x14ac:dyDescent="0.35">
      <c r="C45" s="96">
        <v>46098</v>
      </c>
      <c r="D45" s="97">
        <v>17</v>
      </c>
      <c r="E45" s="97" t="s">
        <v>1110</v>
      </c>
      <c r="F45" s="10">
        <v>8</v>
      </c>
      <c r="G45" s="10">
        <v>5</v>
      </c>
      <c r="H45" s="10">
        <v>0</v>
      </c>
      <c r="I45" s="10">
        <v>0</v>
      </c>
      <c r="J45" s="74">
        <v>0</v>
      </c>
      <c r="K45" s="74">
        <v>0</v>
      </c>
      <c r="L45" s="74">
        <v>0</v>
      </c>
      <c r="M45" s="74">
        <v>0</v>
      </c>
      <c r="N45" s="74">
        <v>0</v>
      </c>
      <c r="O45" s="74">
        <v>1</v>
      </c>
      <c r="P45" s="74">
        <v>0</v>
      </c>
      <c r="Q45" s="74">
        <v>0</v>
      </c>
      <c r="R45" s="74">
        <v>0</v>
      </c>
      <c r="S45" s="97" t="s">
        <v>1111</v>
      </c>
      <c r="T45" s="10">
        <v>10</v>
      </c>
      <c r="U45" s="10">
        <v>3</v>
      </c>
      <c r="V45" s="10">
        <v>0</v>
      </c>
      <c r="W45" s="10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0</v>
      </c>
      <c r="AD45" s="74">
        <v>0</v>
      </c>
      <c r="AE45" s="74">
        <v>0</v>
      </c>
      <c r="AF45" s="74">
        <v>0</v>
      </c>
      <c r="AG45" s="90">
        <f t="shared" si="4"/>
        <v>27</v>
      </c>
      <c r="AH45" s="90">
        <f t="shared" si="5"/>
        <v>26</v>
      </c>
      <c r="AI45" s="90">
        <f t="shared" si="6"/>
        <v>1</v>
      </c>
    </row>
    <row r="46" spans="3:35" ht="29" x14ac:dyDescent="0.35">
      <c r="C46" s="96">
        <v>46105</v>
      </c>
      <c r="D46" s="97">
        <v>17</v>
      </c>
      <c r="E46" s="99" t="s">
        <v>1138</v>
      </c>
      <c r="F46" s="10">
        <v>3</v>
      </c>
      <c r="G46" s="10">
        <v>6</v>
      </c>
      <c r="H46" s="10">
        <v>2</v>
      </c>
      <c r="I46" s="10">
        <v>0</v>
      </c>
      <c r="J46" s="74">
        <v>0</v>
      </c>
      <c r="K46" s="74">
        <v>0</v>
      </c>
      <c r="L46" s="74">
        <v>0</v>
      </c>
      <c r="M46" s="74">
        <v>0</v>
      </c>
      <c r="N46" s="74">
        <v>0</v>
      </c>
      <c r="O46" s="74">
        <v>1</v>
      </c>
      <c r="P46" s="74">
        <v>0</v>
      </c>
      <c r="Q46" s="74">
        <v>0</v>
      </c>
      <c r="R46" s="74">
        <v>0</v>
      </c>
      <c r="S46" s="97" t="s">
        <v>1139</v>
      </c>
      <c r="T46" s="10">
        <v>2</v>
      </c>
      <c r="U46" s="10">
        <v>10</v>
      </c>
      <c r="V46" s="10">
        <v>0</v>
      </c>
      <c r="W46" s="10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0</v>
      </c>
      <c r="AD46" s="74">
        <v>0</v>
      </c>
      <c r="AE46" s="74">
        <v>0</v>
      </c>
      <c r="AF46" s="74">
        <v>0</v>
      </c>
      <c r="AG46" s="90">
        <f t="shared" si="4"/>
        <v>24</v>
      </c>
      <c r="AH46" s="90">
        <f t="shared" si="5"/>
        <v>23</v>
      </c>
      <c r="AI46" s="90">
        <f t="shared" si="6"/>
        <v>1</v>
      </c>
    </row>
    <row r="47" spans="3:35" x14ac:dyDescent="0.35">
      <c r="C47" s="96">
        <v>46112</v>
      </c>
      <c r="D47" s="97">
        <v>17</v>
      </c>
      <c r="E47" s="97" t="s">
        <v>1170</v>
      </c>
      <c r="F47" s="10">
        <v>4</v>
      </c>
      <c r="G47" s="10">
        <v>1</v>
      </c>
      <c r="H47" s="10">
        <v>0</v>
      </c>
      <c r="I47" s="10">
        <v>0</v>
      </c>
      <c r="J47" s="74">
        <v>0</v>
      </c>
      <c r="K47" s="74">
        <v>0</v>
      </c>
      <c r="L47" s="74">
        <v>0</v>
      </c>
      <c r="M47" s="74">
        <v>1</v>
      </c>
      <c r="N47" s="74">
        <v>0</v>
      </c>
      <c r="O47" s="74">
        <v>0</v>
      </c>
      <c r="P47" s="74">
        <v>0</v>
      </c>
      <c r="Q47" s="74">
        <v>0</v>
      </c>
      <c r="R47" s="74">
        <v>0</v>
      </c>
      <c r="S47" s="97" t="s">
        <v>1189</v>
      </c>
      <c r="T47" s="10">
        <v>10</v>
      </c>
      <c r="U47" s="10">
        <v>6</v>
      </c>
      <c r="V47" s="10">
        <v>0</v>
      </c>
      <c r="W47" s="10">
        <v>0</v>
      </c>
      <c r="X47" s="74">
        <v>0</v>
      </c>
      <c r="Y47" s="74">
        <v>0</v>
      </c>
      <c r="Z47" s="74">
        <v>0</v>
      </c>
      <c r="AA47" s="74">
        <v>0</v>
      </c>
      <c r="AB47" s="74">
        <v>0</v>
      </c>
      <c r="AC47" s="74">
        <v>0</v>
      </c>
      <c r="AD47" s="74">
        <v>0</v>
      </c>
      <c r="AE47" s="74">
        <v>0</v>
      </c>
      <c r="AF47" s="74">
        <v>0</v>
      </c>
      <c r="AG47" s="90">
        <f t="shared" si="4"/>
        <v>22</v>
      </c>
      <c r="AH47" s="90">
        <f t="shared" si="5"/>
        <v>21</v>
      </c>
      <c r="AI47" s="90">
        <f t="shared" si="6"/>
        <v>1</v>
      </c>
    </row>
    <row r="49" spans="1:35" x14ac:dyDescent="0.35">
      <c r="A49" s="93">
        <v>4</v>
      </c>
      <c r="B49" s="95" t="s">
        <v>654</v>
      </c>
      <c r="C49" s="96">
        <v>46003</v>
      </c>
      <c r="D49" s="97">
        <v>7</v>
      </c>
      <c r="E49" s="97" t="s">
        <v>647</v>
      </c>
      <c r="F49" s="10">
        <v>0</v>
      </c>
      <c r="G49" s="10">
        <v>0</v>
      </c>
      <c r="H49" s="10">
        <v>0</v>
      </c>
      <c r="I49" s="10">
        <v>0</v>
      </c>
      <c r="J49" s="74">
        <v>0</v>
      </c>
      <c r="K49" s="74">
        <v>0</v>
      </c>
      <c r="L49" s="74">
        <v>0</v>
      </c>
      <c r="M49" s="74">
        <v>0</v>
      </c>
      <c r="N49" s="74">
        <v>0</v>
      </c>
      <c r="O49" s="74">
        <v>0</v>
      </c>
      <c r="P49" s="74">
        <v>0</v>
      </c>
      <c r="Q49" s="74">
        <v>0</v>
      </c>
      <c r="R49" s="74">
        <v>0</v>
      </c>
      <c r="S49" s="97" t="s">
        <v>131</v>
      </c>
      <c r="T49" s="10">
        <v>3</v>
      </c>
      <c r="U49" s="10">
        <v>1</v>
      </c>
      <c r="V49" s="10">
        <v>0</v>
      </c>
      <c r="W49" s="10">
        <v>0</v>
      </c>
      <c r="X49" s="74">
        <v>0</v>
      </c>
      <c r="Y49" s="74">
        <v>0</v>
      </c>
      <c r="Z49" s="74">
        <v>0</v>
      </c>
      <c r="AA49" s="74">
        <v>0</v>
      </c>
      <c r="AB49" s="74">
        <v>0</v>
      </c>
      <c r="AC49" s="74">
        <v>0</v>
      </c>
      <c r="AD49" s="74">
        <v>0</v>
      </c>
      <c r="AE49" s="74">
        <v>0</v>
      </c>
      <c r="AF49" s="74">
        <v>0</v>
      </c>
      <c r="AG49" s="90">
        <f t="shared" si="4"/>
        <v>4</v>
      </c>
      <c r="AH49" s="90">
        <f t="shared" si="5"/>
        <v>4</v>
      </c>
      <c r="AI49" s="90">
        <f t="shared" si="6"/>
        <v>0</v>
      </c>
    </row>
    <row r="50" spans="1:35" x14ac:dyDescent="0.35">
      <c r="C50" s="96">
        <v>46007</v>
      </c>
      <c r="D50" s="97">
        <v>7</v>
      </c>
      <c r="E50" s="97" t="s">
        <v>98</v>
      </c>
      <c r="F50" s="10">
        <v>4</v>
      </c>
      <c r="G50" s="10">
        <v>0</v>
      </c>
      <c r="H50" s="10">
        <v>0</v>
      </c>
      <c r="I50" s="10">
        <v>0</v>
      </c>
      <c r="J50" s="74">
        <v>0</v>
      </c>
      <c r="K50" s="74">
        <v>0</v>
      </c>
      <c r="L50" s="74">
        <v>0</v>
      </c>
      <c r="M50" s="74">
        <v>0</v>
      </c>
      <c r="N50" s="74">
        <v>0</v>
      </c>
      <c r="O50" s="74">
        <v>0</v>
      </c>
      <c r="P50" s="74">
        <v>0</v>
      </c>
      <c r="Q50" s="74">
        <v>0</v>
      </c>
      <c r="R50" s="74">
        <v>0</v>
      </c>
      <c r="S50" s="97" t="s">
        <v>661</v>
      </c>
      <c r="T50" s="10">
        <v>1</v>
      </c>
      <c r="U50" s="10">
        <v>0</v>
      </c>
      <c r="V50" s="10">
        <v>0</v>
      </c>
      <c r="W50" s="10">
        <v>2</v>
      </c>
      <c r="X50" s="74">
        <v>0</v>
      </c>
      <c r="Y50" s="74">
        <v>0</v>
      </c>
      <c r="Z50" s="74">
        <v>0</v>
      </c>
      <c r="AA50" s="74">
        <v>0</v>
      </c>
      <c r="AB50" s="74">
        <v>0</v>
      </c>
      <c r="AC50" s="74">
        <v>0</v>
      </c>
      <c r="AD50" s="74">
        <v>0</v>
      </c>
      <c r="AE50" s="74">
        <v>0</v>
      </c>
      <c r="AF50" s="74">
        <v>0</v>
      </c>
      <c r="AG50" s="90">
        <f t="shared" si="4"/>
        <v>7</v>
      </c>
      <c r="AH50" s="90">
        <f t="shared" si="5"/>
        <v>7</v>
      </c>
      <c r="AI50" s="90">
        <f t="shared" si="6"/>
        <v>0</v>
      </c>
    </row>
    <row r="51" spans="1:35" x14ac:dyDescent="0.35">
      <c r="C51" s="96">
        <v>46010</v>
      </c>
      <c r="D51" s="97">
        <v>7</v>
      </c>
      <c r="E51" s="97" t="s">
        <v>492</v>
      </c>
      <c r="F51" s="10">
        <v>1</v>
      </c>
      <c r="G51" s="10">
        <v>2</v>
      </c>
      <c r="H51" s="10">
        <v>0</v>
      </c>
      <c r="I51" s="10">
        <v>1</v>
      </c>
      <c r="J51" s="74">
        <v>0</v>
      </c>
      <c r="K51" s="74">
        <v>0</v>
      </c>
      <c r="L51" s="74">
        <v>0</v>
      </c>
      <c r="M51" s="74">
        <v>0</v>
      </c>
      <c r="N51" s="74">
        <v>0</v>
      </c>
      <c r="O51" s="74">
        <v>0</v>
      </c>
      <c r="P51" s="74">
        <v>0</v>
      </c>
      <c r="Q51" s="74">
        <v>0</v>
      </c>
      <c r="R51" s="74">
        <v>0</v>
      </c>
      <c r="S51" s="97" t="s">
        <v>667</v>
      </c>
      <c r="T51" s="10">
        <v>3</v>
      </c>
      <c r="U51" s="10">
        <v>0</v>
      </c>
      <c r="V51" s="10">
        <v>0</v>
      </c>
      <c r="W51" s="10">
        <v>0</v>
      </c>
      <c r="X51" s="74">
        <v>0</v>
      </c>
      <c r="Y51" s="74">
        <v>0</v>
      </c>
      <c r="Z51" s="74">
        <v>0</v>
      </c>
      <c r="AA51" s="74">
        <v>0</v>
      </c>
      <c r="AB51" s="74">
        <v>0</v>
      </c>
      <c r="AC51" s="74">
        <v>0</v>
      </c>
      <c r="AD51" s="74">
        <v>0</v>
      </c>
      <c r="AE51" s="74">
        <v>0</v>
      </c>
      <c r="AF51" s="74">
        <v>0</v>
      </c>
      <c r="AG51" s="90">
        <f t="shared" si="4"/>
        <v>7</v>
      </c>
      <c r="AH51" s="90">
        <f t="shared" si="5"/>
        <v>7</v>
      </c>
      <c r="AI51" s="90">
        <f t="shared" si="6"/>
        <v>0</v>
      </c>
    </row>
    <row r="52" spans="1:35" x14ac:dyDescent="0.35">
      <c r="C52" s="96">
        <v>46013</v>
      </c>
      <c r="D52" s="97">
        <v>7</v>
      </c>
      <c r="E52" s="97" t="s">
        <v>276</v>
      </c>
      <c r="F52" s="10">
        <v>1</v>
      </c>
      <c r="G52" s="10">
        <v>0</v>
      </c>
      <c r="H52" s="10">
        <v>0</v>
      </c>
      <c r="I52" s="10">
        <v>1</v>
      </c>
      <c r="J52" s="74">
        <v>0</v>
      </c>
      <c r="K52" s="74">
        <v>0</v>
      </c>
      <c r="L52" s="74">
        <v>0</v>
      </c>
      <c r="M52" s="74">
        <v>0</v>
      </c>
      <c r="N52" s="74">
        <v>0</v>
      </c>
      <c r="O52" s="74">
        <v>0</v>
      </c>
      <c r="P52" s="74">
        <v>0</v>
      </c>
      <c r="Q52" s="74">
        <v>0</v>
      </c>
      <c r="R52" s="74">
        <v>0</v>
      </c>
      <c r="S52" s="97" t="s">
        <v>686</v>
      </c>
      <c r="T52" s="10">
        <v>2</v>
      </c>
      <c r="U52" s="10">
        <v>2</v>
      </c>
      <c r="V52" s="10">
        <v>0</v>
      </c>
      <c r="W52" s="10">
        <v>0</v>
      </c>
      <c r="X52" s="74">
        <v>0</v>
      </c>
      <c r="Y52" s="74">
        <v>0</v>
      </c>
      <c r="Z52" s="74">
        <v>0</v>
      </c>
      <c r="AA52" s="74">
        <v>0</v>
      </c>
      <c r="AB52" s="74">
        <v>0</v>
      </c>
      <c r="AC52" s="74">
        <v>0</v>
      </c>
      <c r="AD52" s="74">
        <v>0</v>
      </c>
      <c r="AE52" s="74">
        <v>0</v>
      </c>
      <c r="AF52" s="74">
        <v>0</v>
      </c>
      <c r="AG52" s="90">
        <f t="shared" si="4"/>
        <v>6</v>
      </c>
      <c r="AH52" s="90">
        <f t="shared" si="5"/>
        <v>6</v>
      </c>
      <c r="AI52" s="90">
        <f t="shared" si="6"/>
        <v>0</v>
      </c>
    </row>
    <row r="53" spans="1:35" x14ac:dyDescent="0.35">
      <c r="C53" s="96">
        <v>46018</v>
      </c>
      <c r="D53" s="97">
        <v>7</v>
      </c>
      <c r="E53" s="97" t="s">
        <v>691</v>
      </c>
      <c r="F53" s="10">
        <v>2</v>
      </c>
      <c r="G53" s="10">
        <v>2</v>
      </c>
      <c r="H53" s="10">
        <v>0</v>
      </c>
      <c r="I53" s="10">
        <v>0</v>
      </c>
      <c r="J53" s="74">
        <v>0</v>
      </c>
      <c r="K53" s="74">
        <v>0</v>
      </c>
      <c r="L53" s="74">
        <v>0</v>
      </c>
      <c r="M53" s="74">
        <v>0</v>
      </c>
      <c r="N53" s="74">
        <v>0</v>
      </c>
      <c r="O53" s="74">
        <v>0</v>
      </c>
      <c r="P53" s="74">
        <v>0</v>
      </c>
      <c r="Q53" s="74">
        <v>0</v>
      </c>
      <c r="R53" s="74">
        <v>0</v>
      </c>
      <c r="S53" s="97" t="s">
        <v>134</v>
      </c>
      <c r="T53" s="10">
        <v>3</v>
      </c>
      <c r="U53" s="10">
        <v>0</v>
      </c>
      <c r="V53" s="10">
        <v>0</v>
      </c>
      <c r="W53" s="10">
        <v>0</v>
      </c>
      <c r="X53" s="74">
        <v>0</v>
      </c>
      <c r="Y53" s="74">
        <v>0</v>
      </c>
      <c r="Z53" s="74">
        <v>0</v>
      </c>
      <c r="AA53" s="74">
        <v>0</v>
      </c>
      <c r="AB53" s="74">
        <v>0</v>
      </c>
      <c r="AC53" s="74">
        <v>0</v>
      </c>
      <c r="AD53" s="74">
        <v>0</v>
      </c>
      <c r="AE53" s="74">
        <v>0</v>
      </c>
      <c r="AF53" s="74">
        <v>0</v>
      </c>
      <c r="AG53" s="90">
        <f t="shared" si="4"/>
        <v>7</v>
      </c>
      <c r="AH53" s="90">
        <f t="shared" si="5"/>
        <v>7</v>
      </c>
      <c r="AI53" s="90">
        <f t="shared" si="6"/>
        <v>0</v>
      </c>
    </row>
    <row r="54" spans="1:35" x14ac:dyDescent="0.35">
      <c r="C54" s="96">
        <v>46021</v>
      </c>
      <c r="D54" s="97">
        <v>7</v>
      </c>
      <c r="E54" s="97" t="s">
        <v>705</v>
      </c>
      <c r="F54" s="10">
        <v>3</v>
      </c>
      <c r="G54" s="10">
        <v>0</v>
      </c>
      <c r="H54" s="10">
        <v>0</v>
      </c>
      <c r="I54" s="10">
        <v>2</v>
      </c>
      <c r="J54" s="74">
        <v>0</v>
      </c>
      <c r="K54" s="74">
        <v>1</v>
      </c>
      <c r="L54" s="74">
        <v>0</v>
      </c>
      <c r="M54" s="74">
        <v>0</v>
      </c>
      <c r="N54" s="74">
        <v>0</v>
      </c>
      <c r="O54" s="74">
        <v>0</v>
      </c>
      <c r="P54" s="74">
        <v>0</v>
      </c>
      <c r="Q54" s="74">
        <v>0</v>
      </c>
      <c r="R54" s="74">
        <v>0</v>
      </c>
      <c r="S54" s="97" t="s">
        <v>124</v>
      </c>
      <c r="T54" s="10">
        <v>4</v>
      </c>
      <c r="U54" s="10">
        <v>1</v>
      </c>
      <c r="V54" s="10">
        <v>0</v>
      </c>
      <c r="W54" s="10">
        <v>0</v>
      </c>
      <c r="X54" s="74">
        <v>0</v>
      </c>
      <c r="Y54" s="74">
        <v>0</v>
      </c>
      <c r="Z54" s="74">
        <v>0</v>
      </c>
      <c r="AA54" s="74">
        <v>0</v>
      </c>
      <c r="AB54" s="74">
        <v>0</v>
      </c>
      <c r="AC54" s="74">
        <v>0</v>
      </c>
      <c r="AD54" s="74">
        <v>0</v>
      </c>
      <c r="AE54" s="74">
        <v>0</v>
      </c>
      <c r="AF54" s="74">
        <v>0</v>
      </c>
      <c r="AG54" s="90">
        <f t="shared" si="4"/>
        <v>11</v>
      </c>
      <c r="AH54" s="90">
        <f t="shared" si="5"/>
        <v>10</v>
      </c>
      <c r="AI54" s="90">
        <f t="shared" si="6"/>
        <v>1</v>
      </c>
    </row>
    <row r="55" spans="1:35" x14ac:dyDescent="0.35">
      <c r="C55" s="96">
        <v>46024</v>
      </c>
      <c r="D55" s="97">
        <v>7</v>
      </c>
      <c r="E55" s="97" t="s">
        <v>723</v>
      </c>
      <c r="F55" s="10">
        <v>4</v>
      </c>
      <c r="G55" s="10">
        <v>3</v>
      </c>
      <c r="H55" s="10">
        <v>0</v>
      </c>
      <c r="I55" s="10">
        <v>0</v>
      </c>
      <c r="J55" s="74">
        <v>0</v>
      </c>
      <c r="K55" s="74">
        <v>0</v>
      </c>
      <c r="L55" s="74">
        <v>0</v>
      </c>
      <c r="M55" s="74">
        <v>1</v>
      </c>
      <c r="N55" s="74">
        <v>0</v>
      </c>
      <c r="O55" s="74">
        <v>0</v>
      </c>
      <c r="P55" s="74">
        <v>0</v>
      </c>
      <c r="Q55" s="74">
        <v>0</v>
      </c>
      <c r="R55" s="74">
        <v>0</v>
      </c>
      <c r="S55" s="97" t="s">
        <v>134</v>
      </c>
      <c r="T55" s="10">
        <v>3</v>
      </c>
      <c r="U55" s="10">
        <v>0</v>
      </c>
      <c r="V55" s="10">
        <v>0</v>
      </c>
      <c r="W55" s="10">
        <v>0</v>
      </c>
      <c r="X55" s="74">
        <v>0</v>
      </c>
      <c r="Y55" s="74">
        <v>0</v>
      </c>
      <c r="Z55" s="74">
        <v>0</v>
      </c>
      <c r="AA55" s="74">
        <v>0</v>
      </c>
      <c r="AB55" s="74">
        <v>0</v>
      </c>
      <c r="AC55" s="74">
        <v>0</v>
      </c>
      <c r="AD55" s="74">
        <v>0</v>
      </c>
      <c r="AE55" s="74">
        <v>0</v>
      </c>
      <c r="AF55" s="74">
        <v>0</v>
      </c>
      <c r="AG55" s="90">
        <f t="shared" si="4"/>
        <v>11</v>
      </c>
      <c r="AH55" s="90">
        <f t="shared" si="5"/>
        <v>10</v>
      </c>
      <c r="AI55" s="90">
        <f t="shared" si="6"/>
        <v>1</v>
      </c>
    </row>
    <row r="56" spans="1:35" ht="29" x14ac:dyDescent="0.35">
      <c r="C56" s="96">
        <v>46027</v>
      </c>
      <c r="D56" s="97">
        <v>7</v>
      </c>
      <c r="E56" s="99" t="s">
        <v>732</v>
      </c>
      <c r="F56" s="10">
        <v>0</v>
      </c>
      <c r="G56" s="10">
        <v>1</v>
      </c>
      <c r="H56" s="10">
        <v>0</v>
      </c>
      <c r="I56" s="10">
        <v>1</v>
      </c>
      <c r="J56" s="74">
        <v>1</v>
      </c>
      <c r="K56" s="74">
        <v>0</v>
      </c>
      <c r="L56" s="74">
        <v>0</v>
      </c>
      <c r="M56" s="74">
        <v>0</v>
      </c>
      <c r="N56" s="74">
        <v>1</v>
      </c>
      <c r="O56" s="74">
        <v>0</v>
      </c>
      <c r="P56" s="74">
        <v>0</v>
      </c>
      <c r="Q56" s="74">
        <v>0</v>
      </c>
      <c r="R56" s="74">
        <v>0</v>
      </c>
      <c r="S56" s="97" t="s">
        <v>250</v>
      </c>
      <c r="T56" s="10">
        <v>1</v>
      </c>
      <c r="U56" s="10">
        <v>2</v>
      </c>
      <c r="V56" s="10">
        <v>0</v>
      </c>
      <c r="W56" s="10">
        <v>0</v>
      </c>
      <c r="X56" s="74">
        <v>0</v>
      </c>
      <c r="Y56" s="74">
        <v>0</v>
      </c>
      <c r="Z56" s="74">
        <v>0</v>
      </c>
      <c r="AA56" s="74">
        <v>0</v>
      </c>
      <c r="AB56" s="74">
        <v>0</v>
      </c>
      <c r="AC56" s="74">
        <v>0</v>
      </c>
      <c r="AD56" s="74">
        <v>0</v>
      </c>
      <c r="AE56" s="74">
        <v>0</v>
      </c>
      <c r="AF56" s="74">
        <v>0</v>
      </c>
      <c r="AG56" s="90">
        <f t="shared" si="4"/>
        <v>7</v>
      </c>
      <c r="AH56" s="90">
        <f t="shared" si="5"/>
        <v>5</v>
      </c>
      <c r="AI56" s="90">
        <f t="shared" si="6"/>
        <v>2</v>
      </c>
    </row>
    <row r="57" spans="1:35" x14ac:dyDescent="0.35">
      <c r="C57" s="96">
        <v>46031</v>
      </c>
      <c r="D57" s="97">
        <v>7</v>
      </c>
      <c r="E57" s="97" t="s">
        <v>744</v>
      </c>
      <c r="F57" s="10">
        <v>0</v>
      </c>
      <c r="G57" s="10">
        <v>1</v>
      </c>
      <c r="H57" s="10">
        <v>0</v>
      </c>
      <c r="I57" s="10">
        <v>1</v>
      </c>
      <c r="J57" s="74">
        <v>0</v>
      </c>
      <c r="K57" s="74">
        <v>2</v>
      </c>
      <c r="L57" s="74">
        <v>0</v>
      </c>
      <c r="M57" s="74">
        <v>1</v>
      </c>
      <c r="N57" s="74">
        <v>0</v>
      </c>
      <c r="O57" s="74">
        <v>0</v>
      </c>
      <c r="P57" s="74">
        <v>0</v>
      </c>
      <c r="Q57" s="74">
        <v>0</v>
      </c>
      <c r="R57" s="74">
        <v>0</v>
      </c>
      <c r="S57" s="97" t="s">
        <v>131</v>
      </c>
      <c r="T57" s="10">
        <v>3</v>
      </c>
      <c r="U57" s="10">
        <v>1</v>
      </c>
      <c r="V57" s="10">
        <v>0</v>
      </c>
      <c r="W57" s="10">
        <v>0</v>
      </c>
      <c r="X57" s="74">
        <v>0</v>
      </c>
      <c r="Y57" s="74">
        <v>0</v>
      </c>
      <c r="Z57" s="74">
        <v>0</v>
      </c>
      <c r="AA57" s="74">
        <v>0</v>
      </c>
      <c r="AB57" s="74">
        <v>0</v>
      </c>
      <c r="AC57" s="74">
        <v>0</v>
      </c>
      <c r="AD57" s="74">
        <v>0</v>
      </c>
      <c r="AE57" s="74">
        <v>0</v>
      </c>
      <c r="AF57" s="74">
        <v>0</v>
      </c>
      <c r="AG57" s="90">
        <f t="shared" si="4"/>
        <v>9</v>
      </c>
      <c r="AH57" s="90">
        <f t="shared" si="5"/>
        <v>6</v>
      </c>
      <c r="AI57" s="90">
        <f t="shared" si="6"/>
        <v>3</v>
      </c>
    </row>
    <row r="58" spans="1:35" x14ac:dyDescent="0.35">
      <c r="C58" s="96">
        <v>46035</v>
      </c>
      <c r="D58" s="97">
        <v>7</v>
      </c>
      <c r="E58" s="97" t="s">
        <v>279</v>
      </c>
      <c r="F58" s="10">
        <v>3</v>
      </c>
      <c r="G58" s="10">
        <v>2</v>
      </c>
      <c r="H58" s="10">
        <v>0</v>
      </c>
      <c r="I58" s="10">
        <v>1</v>
      </c>
      <c r="J58" s="74">
        <v>0</v>
      </c>
      <c r="K58" s="74">
        <v>1</v>
      </c>
      <c r="L58" s="74">
        <v>0</v>
      </c>
      <c r="M58" s="74">
        <v>0</v>
      </c>
      <c r="N58" s="74">
        <v>0</v>
      </c>
      <c r="O58" s="74">
        <v>0</v>
      </c>
      <c r="P58" s="74">
        <v>0</v>
      </c>
      <c r="Q58" s="74">
        <v>0</v>
      </c>
      <c r="R58" s="74">
        <v>0</v>
      </c>
      <c r="S58" s="97" t="s">
        <v>752</v>
      </c>
      <c r="T58" s="10">
        <v>1</v>
      </c>
      <c r="U58" s="10">
        <v>3</v>
      </c>
      <c r="V58" s="10">
        <v>0</v>
      </c>
      <c r="W58" s="10">
        <v>1</v>
      </c>
      <c r="X58" s="74">
        <v>0</v>
      </c>
      <c r="Y58" s="74">
        <v>0</v>
      </c>
      <c r="Z58" s="74">
        <v>0</v>
      </c>
      <c r="AA58" s="74">
        <v>0</v>
      </c>
      <c r="AB58" s="74">
        <v>0</v>
      </c>
      <c r="AC58" s="74">
        <v>0</v>
      </c>
      <c r="AD58" s="74">
        <v>0</v>
      </c>
      <c r="AE58" s="74">
        <v>0</v>
      </c>
      <c r="AF58" s="74">
        <v>0</v>
      </c>
      <c r="AG58" s="90">
        <f t="shared" si="4"/>
        <v>12</v>
      </c>
      <c r="AH58" s="90">
        <f t="shared" si="5"/>
        <v>11</v>
      </c>
      <c r="AI58" s="90">
        <f t="shared" si="6"/>
        <v>1</v>
      </c>
    </row>
    <row r="59" spans="1:35" x14ac:dyDescent="0.35">
      <c r="C59" s="96">
        <v>46038</v>
      </c>
      <c r="D59" s="97">
        <v>7</v>
      </c>
      <c r="E59" s="97" t="s">
        <v>691</v>
      </c>
      <c r="F59" s="10">
        <v>2</v>
      </c>
      <c r="G59" s="10">
        <v>2</v>
      </c>
      <c r="H59" s="10">
        <v>0</v>
      </c>
      <c r="I59" s="10">
        <v>0</v>
      </c>
      <c r="J59" s="74">
        <v>0</v>
      </c>
      <c r="K59" s="74">
        <v>0</v>
      </c>
      <c r="L59" s="74">
        <v>0</v>
      </c>
      <c r="M59" s="74">
        <v>0</v>
      </c>
      <c r="N59" s="74">
        <v>0</v>
      </c>
      <c r="O59" s="74">
        <v>0</v>
      </c>
      <c r="P59" s="74">
        <v>0</v>
      </c>
      <c r="Q59" s="74">
        <v>0</v>
      </c>
      <c r="R59" s="74">
        <v>0</v>
      </c>
      <c r="S59" s="97" t="s">
        <v>767</v>
      </c>
      <c r="T59" s="10">
        <v>2</v>
      </c>
      <c r="U59" s="10">
        <v>1</v>
      </c>
      <c r="V59" s="10">
        <v>0</v>
      </c>
      <c r="W59" s="10">
        <v>0</v>
      </c>
      <c r="X59" s="74">
        <v>0</v>
      </c>
      <c r="Y59" s="74">
        <v>0</v>
      </c>
      <c r="Z59" s="74">
        <v>0</v>
      </c>
      <c r="AA59" s="74">
        <v>0</v>
      </c>
      <c r="AB59" s="74">
        <v>0</v>
      </c>
      <c r="AC59" s="74">
        <v>1</v>
      </c>
      <c r="AD59" s="74">
        <v>0</v>
      </c>
      <c r="AE59" s="74">
        <v>0</v>
      </c>
      <c r="AF59" s="74">
        <v>0</v>
      </c>
      <c r="AG59" s="90">
        <f t="shared" si="4"/>
        <v>8</v>
      </c>
      <c r="AH59" s="90">
        <f t="shared" si="5"/>
        <v>7</v>
      </c>
      <c r="AI59" s="90">
        <f t="shared" si="6"/>
        <v>1</v>
      </c>
    </row>
    <row r="60" spans="1:35" x14ac:dyDescent="0.35">
      <c r="C60" s="96">
        <v>46041</v>
      </c>
      <c r="D60" s="97">
        <v>7</v>
      </c>
      <c r="E60" s="97" t="s">
        <v>131</v>
      </c>
      <c r="F60" s="10">
        <v>3</v>
      </c>
      <c r="G60" s="10">
        <v>1</v>
      </c>
      <c r="H60" s="10">
        <v>0</v>
      </c>
      <c r="I60" s="10">
        <v>0</v>
      </c>
      <c r="J60" s="74">
        <v>0</v>
      </c>
      <c r="K60" s="74">
        <v>0</v>
      </c>
      <c r="L60" s="74">
        <v>0</v>
      </c>
      <c r="M60" s="74">
        <v>0</v>
      </c>
      <c r="N60" s="74">
        <v>0</v>
      </c>
      <c r="O60" s="74">
        <v>0</v>
      </c>
      <c r="P60" s="74">
        <v>0</v>
      </c>
      <c r="Q60" s="74">
        <v>0</v>
      </c>
      <c r="R60" s="74">
        <v>0</v>
      </c>
      <c r="S60" s="97" t="s">
        <v>244</v>
      </c>
      <c r="T60" s="10">
        <v>0</v>
      </c>
      <c r="U60" s="10">
        <v>0</v>
      </c>
      <c r="V60" s="10">
        <v>0</v>
      </c>
      <c r="W60" s="10">
        <v>0</v>
      </c>
      <c r="X60" s="74">
        <v>0</v>
      </c>
      <c r="Y60" s="74">
        <v>0</v>
      </c>
      <c r="Z60" s="74">
        <v>0</v>
      </c>
      <c r="AA60" s="74">
        <v>1</v>
      </c>
      <c r="AB60" s="74">
        <v>0</v>
      </c>
      <c r="AC60" s="74">
        <v>0</v>
      </c>
      <c r="AD60" s="74">
        <v>0</v>
      </c>
      <c r="AE60" s="74">
        <v>0</v>
      </c>
      <c r="AF60" s="74">
        <v>0</v>
      </c>
      <c r="AG60" s="90">
        <f t="shared" si="4"/>
        <v>5</v>
      </c>
      <c r="AH60" s="90">
        <f t="shared" si="5"/>
        <v>4</v>
      </c>
      <c r="AI60" s="90">
        <f t="shared" si="6"/>
        <v>1</v>
      </c>
    </row>
    <row r="61" spans="1:35" x14ac:dyDescent="0.35">
      <c r="C61" s="96">
        <v>46045</v>
      </c>
      <c r="D61" s="97">
        <v>7</v>
      </c>
      <c r="E61" s="97" t="s">
        <v>242</v>
      </c>
      <c r="F61" s="10">
        <v>2</v>
      </c>
      <c r="G61" s="10">
        <v>1</v>
      </c>
      <c r="H61" s="10">
        <v>0</v>
      </c>
      <c r="I61" s="10">
        <v>0</v>
      </c>
      <c r="J61" s="74">
        <v>0</v>
      </c>
      <c r="K61" s="74">
        <v>0</v>
      </c>
      <c r="L61" s="74">
        <v>0</v>
      </c>
      <c r="M61" s="74">
        <v>0</v>
      </c>
      <c r="N61" s="74">
        <v>0</v>
      </c>
      <c r="O61" s="74">
        <v>0</v>
      </c>
      <c r="P61" s="74">
        <v>0</v>
      </c>
      <c r="Q61" s="74">
        <v>0</v>
      </c>
      <c r="R61" s="74">
        <v>0</v>
      </c>
      <c r="S61" s="97" t="s">
        <v>131</v>
      </c>
      <c r="T61" s="10">
        <v>3</v>
      </c>
      <c r="U61" s="10">
        <v>1</v>
      </c>
      <c r="V61" s="10">
        <v>0</v>
      </c>
      <c r="W61" s="10">
        <v>0</v>
      </c>
      <c r="X61" s="74">
        <v>0</v>
      </c>
      <c r="Y61" s="74">
        <v>0</v>
      </c>
      <c r="Z61" s="74">
        <v>0</v>
      </c>
      <c r="AA61" s="74">
        <v>0</v>
      </c>
      <c r="AB61" s="74">
        <v>0</v>
      </c>
      <c r="AC61" s="74">
        <v>0</v>
      </c>
      <c r="AD61" s="74">
        <v>0</v>
      </c>
      <c r="AE61" s="74">
        <v>0</v>
      </c>
      <c r="AF61" s="74">
        <v>0</v>
      </c>
      <c r="AG61" s="90">
        <f t="shared" si="4"/>
        <v>7</v>
      </c>
      <c r="AH61" s="90">
        <f t="shared" si="5"/>
        <v>7</v>
      </c>
      <c r="AI61" s="90">
        <f t="shared" si="6"/>
        <v>0</v>
      </c>
    </row>
    <row r="62" spans="1:35" x14ac:dyDescent="0.35">
      <c r="C62" s="96">
        <v>46049</v>
      </c>
      <c r="D62" s="97">
        <v>7</v>
      </c>
      <c r="E62" s="97" t="s">
        <v>407</v>
      </c>
      <c r="F62" s="10">
        <v>2</v>
      </c>
      <c r="G62" s="10">
        <v>0</v>
      </c>
      <c r="H62" s="10">
        <v>0</v>
      </c>
      <c r="I62" s="10">
        <v>0</v>
      </c>
      <c r="J62" s="74">
        <v>0</v>
      </c>
      <c r="K62" s="74">
        <v>0</v>
      </c>
      <c r="L62" s="74">
        <v>0</v>
      </c>
      <c r="M62" s="74">
        <v>0</v>
      </c>
      <c r="N62" s="74">
        <v>0</v>
      </c>
      <c r="O62" s="74">
        <v>0</v>
      </c>
      <c r="P62" s="74">
        <v>0</v>
      </c>
      <c r="Q62" s="74">
        <v>0</v>
      </c>
      <c r="R62" s="74">
        <v>0</v>
      </c>
      <c r="S62" s="97" t="s">
        <v>131</v>
      </c>
      <c r="T62" s="10">
        <v>3</v>
      </c>
      <c r="U62" s="10">
        <v>1</v>
      </c>
      <c r="V62" s="10">
        <v>0</v>
      </c>
      <c r="W62" s="10">
        <v>0</v>
      </c>
      <c r="X62" s="74">
        <v>0</v>
      </c>
      <c r="Y62" s="74">
        <v>0</v>
      </c>
      <c r="Z62" s="74">
        <v>0</v>
      </c>
      <c r="AA62" s="74">
        <v>0</v>
      </c>
      <c r="AB62" s="74">
        <v>0</v>
      </c>
      <c r="AC62" s="74">
        <v>0</v>
      </c>
      <c r="AD62" s="74">
        <v>0</v>
      </c>
      <c r="AE62" s="74">
        <v>0</v>
      </c>
      <c r="AF62" s="74">
        <v>0</v>
      </c>
      <c r="AG62" s="90">
        <f t="shared" si="4"/>
        <v>6</v>
      </c>
      <c r="AH62" s="90">
        <f t="shared" si="5"/>
        <v>6</v>
      </c>
      <c r="AI62" s="90">
        <f t="shared" si="6"/>
        <v>0</v>
      </c>
    </row>
    <row r="63" spans="1:35" x14ac:dyDescent="0.35">
      <c r="C63" s="96">
        <v>46052</v>
      </c>
      <c r="D63" s="97">
        <v>7</v>
      </c>
      <c r="E63" s="97" t="s">
        <v>134</v>
      </c>
      <c r="F63" s="10">
        <v>3</v>
      </c>
      <c r="G63" s="10">
        <v>0</v>
      </c>
      <c r="H63" s="10">
        <v>0</v>
      </c>
      <c r="I63" s="10">
        <v>0</v>
      </c>
      <c r="J63" s="74">
        <v>0</v>
      </c>
      <c r="K63" s="74">
        <v>0</v>
      </c>
      <c r="L63" s="74">
        <v>0</v>
      </c>
      <c r="M63" s="74">
        <v>0</v>
      </c>
      <c r="N63" s="74">
        <v>0</v>
      </c>
      <c r="O63" s="74">
        <v>0</v>
      </c>
      <c r="P63" s="74">
        <v>0</v>
      </c>
      <c r="Q63" s="74">
        <v>0</v>
      </c>
      <c r="R63" s="74">
        <v>0</v>
      </c>
      <c r="S63" s="97" t="s">
        <v>825</v>
      </c>
      <c r="T63" s="10">
        <v>2</v>
      </c>
      <c r="U63" s="10">
        <v>0</v>
      </c>
      <c r="V63" s="10">
        <v>0</v>
      </c>
      <c r="W63" s="10">
        <v>2</v>
      </c>
      <c r="X63" s="74">
        <v>0</v>
      </c>
      <c r="Y63" s="74">
        <v>0</v>
      </c>
      <c r="Z63" s="74">
        <v>0</v>
      </c>
      <c r="AA63" s="74">
        <v>0</v>
      </c>
      <c r="AB63" s="74">
        <v>0</v>
      </c>
      <c r="AC63" s="74">
        <v>0</v>
      </c>
      <c r="AD63" s="74">
        <v>0</v>
      </c>
      <c r="AE63" s="74">
        <v>0</v>
      </c>
      <c r="AF63" s="74">
        <v>0</v>
      </c>
      <c r="AG63" s="90">
        <f t="shared" si="4"/>
        <v>7</v>
      </c>
      <c r="AH63" s="90">
        <f t="shared" si="5"/>
        <v>7</v>
      </c>
      <c r="AI63" s="90">
        <f t="shared" si="6"/>
        <v>0</v>
      </c>
    </row>
    <row r="64" spans="1:35" x14ac:dyDescent="0.35">
      <c r="C64" s="96">
        <v>46056</v>
      </c>
      <c r="D64" s="97">
        <v>7</v>
      </c>
      <c r="E64" s="97" t="s">
        <v>124</v>
      </c>
      <c r="F64" s="10">
        <v>4</v>
      </c>
      <c r="G64" s="10">
        <v>1</v>
      </c>
      <c r="H64" s="10">
        <v>0</v>
      </c>
      <c r="I64" s="10">
        <v>0</v>
      </c>
      <c r="J64" s="74">
        <v>0</v>
      </c>
      <c r="K64" s="74">
        <v>0</v>
      </c>
      <c r="L64" s="74">
        <v>0</v>
      </c>
      <c r="M64" s="74">
        <v>0</v>
      </c>
      <c r="N64" s="74">
        <v>0</v>
      </c>
      <c r="O64" s="74">
        <v>0</v>
      </c>
      <c r="P64" s="74">
        <v>0</v>
      </c>
      <c r="Q64" s="74">
        <v>0</v>
      </c>
      <c r="R64" s="74">
        <v>0</v>
      </c>
      <c r="S64" s="97" t="s">
        <v>111</v>
      </c>
      <c r="T64" s="10">
        <v>2</v>
      </c>
      <c r="U64" s="10">
        <v>0</v>
      </c>
      <c r="V64" s="10">
        <v>0</v>
      </c>
      <c r="W64" s="10">
        <v>1</v>
      </c>
      <c r="X64" s="74">
        <v>0</v>
      </c>
      <c r="Y64" s="74">
        <v>0</v>
      </c>
      <c r="Z64" s="74">
        <v>0</v>
      </c>
      <c r="AA64" s="74">
        <v>0</v>
      </c>
      <c r="AB64" s="74">
        <v>0</v>
      </c>
      <c r="AC64" s="74">
        <v>0</v>
      </c>
      <c r="AD64" s="74">
        <v>0</v>
      </c>
      <c r="AE64" s="74">
        <v>0</v>
      </c>
      <c r="AF64" s="74">
        <v>0</v>
      </c>
      <c r="AG64" s="90">
        <f t="shared" si="4"/>
        <v>8</v>
      </c>
      <c r="AH64" s="90">
        <f t="shared" si="5"/>
        <v>8</v>
      </c>
      <c r="AI64" s="90">
        <f t="shared" si="6"/>
        <v>0</v>
      </c>
    </row>
    <row r="65" spans="1:35" x14ac:dyDescent="0.35">
      <c r="C65" s="96">
        <v>46059</v>
      </c>
      <c r="D65" s="97">
        <v>7</v>
      </c>
      <c r="E65" s="97" t="s">
        <v>407</v>
      </c>
      <c r="F65" s="10">
        <v>2</v>
      </c>
      <c r="G65" s="10">
        <v>0</v>
      </c>
      <c r="H65" s="10">
        <v>0</v>
      </c>
      <c r="I65" s="10">
        <v>0</v>
      </c>
      <c r="J65" s="74">
        <v>0</v>
      </c>
      <c r="K65" s="74">
        <v>0</v>
      </c>
      <c r="L65" s="74">
        <v>0</v>
      </c>
      <c r="M65" s="74">
        <v>0</v>
      </c>
      <c r="N65" s="74">
        <v>0</v>
      </c>
      <c r="O65" s="74">
        <v>0</v>
      </c>
      <c r="P65" s="74">
        <v>0</v>
      </c>
      <c r="Q65" s="74">
        <v>0</v>
      </c>
      <c r="R65" s="74">
        <v>0</v>
      </c>
      <c r="S65" s="97" t="s">
        <v>487</v>
      </c>
      <c r="T65" s="10">
        <v>1</v>
      </c>
      <c r="U65" s="10">
        <v>0</v>
      </c>
      <c r="V65" s="10">
        <v>0</v>
      </c>
      <c r="W65" s="10">
        <v>0</v>
      </c>
      <c r="X65" s="74">
        <v>1</v>
      </c>
      <c r="Y65" s="74">
        <v>0</v>
      </c>
      <c r="Z65" s="74">
        <v>0</v>
      </c>
      <c r="AA65" s="74">
        <v>0</v>
      </c>
      <c r="AB65" s="74">
        <v>0</v>
      </c>
      <c r="AC65" s="74">
        <v>0</v>
      </c>
      <c r="AD65" s="74">
        <v>0</v>
      </c>
      <c r="AE65" s="74">
        <v>0</v>
      </c>
      <c r="AF65" s="74">
        <v>0</v>
      </c>
      <c r="AG65" s="90">
        <f t="shared" si="4"/>
        <v>4</v>
      </c>
      <c r="AH65" s="90">
        <f t="shared" si="5"/>
        <v>3</v>
      </c>
      <c r="AI65" s="90">
        <f t="shared" si="6"/>
        <v>1</v>
      </c>
    </row>
    <row r="66" spans="1:35" x14ac:dyDescent="0.35">
      <c r="C66" s="96">
        <v>46062</v>
      </c>
      <c r="D66" s="97">
        <v>7</v>
      </c>
      <c r="E66" s="97" t="s">
        <v>876</v>
      </c>
      <c r="F66" s="10">
        <v>2</v>
      </c>
      <c r="G66" s="10">
        <v>0</v>
      </c>
      <c r="H66" s="10">
        <v>0</v>
      </c>
      <c r="I66" s="10">
        <v>1</v>
      </c>
      <c r="J66" s="74">
        <v>1</v>
      </c>
      <c r="K66" s="74">
        <v>0</v>
      </c>
      <c r="L66" s="74">
        <v>0</v>
      </c>
      <c r="M66" s="74">
        <v>0</v>
      </c>
      <c r="N66" s="74">
        <v>0</v>
      </c>
      <c r="O66" s="74">
        <v>0</v>
      </c>
      <c r="P66" s="74">
        <v>0</v>
      </c>
      <c r="Q66" s="74">
        <v>0</v>
      </c>
      <c r="R66" s="74">
        <v>0</v>
      </c>
      <c r="S66" s="97" t="s">
        <v>186</v>
      </c>
      <c r="T66" s="10">
        <v>1</v>
      </c>
      <c r="U66" s="10">
        <v>0</v>
      </c>
      <c r="V66" s="10">
        <v>0</v>
      </c>
      <c r="W66" s="10">
        <v>0</v>
      </c>
      <c r="X66" s="74">
        <v>0</v>
      </c>
      <c r="Y66" s="74">
        <v>0</v>
      </c>
      <c r="Z66" s="74">
        <v>0</v>
      </c>
      <c r="AA66" s="74">
        <v>0</v>
      </c>
      <c r="AB66" s="74">
        <v>0</v>
      </c>
      <c r="AC66" s="74">
        <v>0</v>
      </c>
      <c r="AD66" s="74">
        <v>0</v>
      </c>
      <c r="AE66" s="74">
        <v>0</v>
      </c>
      <c r="AF66" s="74">
        <v>0</v>
      </c>
      <c r="AG66" s="90">
        <f t="shared" si="4"/>
        <v>5</v>
      </c>
      <c r="AH66" s="90">
        <f t="shared" si="5"/>
        <v>4</v>
      </c>
      <c r="AI66" s="90">
        <f t="shared" si="6"/>
        <v>1</v>
      </c>
    </row>
    <row r="67" spans="1:35" x14ac:dyDescent="0.35">
      <c r="C67" s="96">
        <v>46066</v>
      </c>
      <c r="D67" s="97">
        <v>7</v>
      </c>
      <c r="E67" s="97" t="s">
        <v>218</v>
      </c>
      <c r="F67" s="10">
        <v>2</v>
      </c>
      <c r="G67" s="10">
        <v>0</v>
      </c>
      <c r="H67" s="10">
        <v>0</v>
      </c>
      <c r="I67" s="10">
        <v>0</v>
      </c>
      <c r="J67" s="74">
        <v>0</v>
      </c>
      <c r="K67" s="74">
        <v>1</v>
      </c>
      <c r="L67" s="74">
        <v>0</v>
      </c>
      <c r="M67" s="74">
        <v>0</v>
      </c>
      <c r="N67" s="74">
        <v>0</v>
      </c>
      <c r="O67" s="74">
        <v>0</v>
      </c>
      <c r="P67" s="74">
        <v>0</v>
      </c>
      <c r="Q67" s="74">
        <v>0</v>
      </c>
      <c r="R67" s="74">
        <v>0</v>
      </c>
      <c r="S67" s="97" t="s">
        <v>407</v>
      </c>
      <c r="T67" s="10">
        <v>2</v>
      </c>
      <c r="U67" s="10">
        <v>0</v>
      </c>
      <c r="V67" s="10">
        <v>0</v>
      </c>
      <c r="W67" s="10">
        <v>0</v>
      </c>
      <c r="X67" s="74">
        <v>0</v>
      </c>
      <c r="Y67" s="74">
        <v>0</v>
      </c>
      <c r="Z67" s="74">
        <v>0</v>
      </c>
      <c r="AA67" s="74">
        <v>0</v>
      </c>
      <c r="AB67" s="74">
        <v>0</v>
      </c>
      <c r="AC67" s="74">
        <v>0</v>
      </c>
      <c r="AD67" s="74">
        <v>0</v>
      </c>
      <c r="AE67" s="74">
        <v>0</v>
      </c>
      <c r="AF67" s="74">
        <v>0</v>
      </c>
      <c r="AG67" s="90">
        <f t="shared" si="4"/>
        <v>5</v>
      </c>
      <c r="AH67" s="90">
        <f t="shared" si="5"/>
        <v>4</v>
      </c>
      <c r="AI67" s="90">
        <f t="shared" si="6"/>
        <v>1</v>
      </c>
    </row>
    <row r="68" spans="1:35" x14ac:dyDescent="0.35">
      <c r="C68" s="96">
        <v>46070</v>
      </c>
      <c r="D68" s="97">
        <v>7</v>
      </c>
      <c r="E68" s="97" t="s">
        <v>903</v>
      </c>
      <c r="F68" s="10">
        <v>0</v>
      </c>
      <c r="G68" s="10">
        <v>0</v>
      </c>
      <c r="H68" s="10">
        <v>0</v>
      </c>
      <c r="I68" s="10">
        <v>1</v>
      </c>
      <c r="J68" s="74">
        <v>0</v>
      </c>
      <c r="K68" s="74">
        <v>1</v>
      </c>
      <c r="L68" s="74">
        <v>0</v>
      </c>
      <c r="M68" s="74">
        <v>0</v>
      </c>
      <c r="N68" s="74">
        <v>0</v>
      </c>
      <c r="O68" s="74">
        <v>0</v>
      </c>
      <c r="P68" s="74">
        <v>0</v>
      </c>
      <c r="Q68" s="74">
        <v>0</v>
      </c>
      <c r="R68" s="74">
        <v>0</v>
      </c>
      <c r="S68" s="97" t="s">
        <v>407</v>
      </c>
      <c r="T68" s="10">
        <v>2</v>
      </c>
      <c r="U68" s="10">
        <v>0</v>
      </c>
      <c r="V68" s="10">
        <v>0</v>
      </c>
      <c r="W68" s="10">
        <v>0</v>
      </c>
      <c r="X68" s="74">
        <v>0</v>
      </c>
      <c r="Y68" s="74">
        <v>0</v>
      </c>
      <c r="Z68" s="74">
        <v>0</v>
      </c>
      <c r="AA68" s="74">
        <v>0</v>
      </c>
      <c r="AB68" s="74">
        <v>0</v>
      </c>
      <c r="AC68" s="74">
        <v>0</v>
      </c>
      <c r="AD68" s="74">
        <v>0</v>
      </c>
      <c r="AE68" s="74">
        <v>0</v>
      </c>
      <c r="AF68" s="74">
        <v>0</v>
      </c>
      <c r="AG68" s="90">
        <f t="shared" si="4"/>
        <v>4</v>
      </c>
      <c r="AH68" s="90">
        <f t="shared" si="5"/>
        <v>3</v>
      </c>
      <c r="AI68" s="90">
        <f t="shared" si="6"/>
        <v>1</v>
      </c>
    </row>
    <row r="69" spans="1:35" x14ac:dyDescent="0.35">
      <c r="C69" s="96">
        <v>46074</v>
      </c>
      <c r="D69" s="97">
        <v>7</v>
      </c>
      <c r="E69" s="97" t="s">
        <v>247</v>
      </c>
      <c r="F69" s="10">
        <v>0</v>
      </c>
      <c r="G69" s="10">
        <v>1</v>
      </c>
      <c r="H69" s="10">
        <v>0</v>
      </c>
      <c r="I69" s="10">
        <v>1</v>
      </c>
      <c r="J69" s="74">
        <v>0</v>
      </c>
      <c r="K69" s="74">
        <v>0</v>
      </c>
      <c r="L69" s="74">
        <v>0</v>
      </c>
      <c r="M69" s="74">
        <v>0</v>
      </c>
      <c r="N69" s="74">
        <v>0</v>
      </c>
      <c r="O69" s="74">
        <v>0</v>
      </c>
      <c r="P69" s="74">
        <v>0</v>
      </c>
      <c r="Q69" s="74">
        <v>0</v>
      </c>
      <c r="R69" s="74">
        <v>0</v>
      </c>
      <c r="S69" s="97" t="s">
        <v>186</v>
      </c>
      <c r="T69" s="10">
        <v>1</v>
      </c>
      <c r="U69" s="10">
        <v>0</v>
      </c>
      <c r="V69" s="10">
        <v>0</v>
      </c>
      <c r="W69" s="10">
        <v>0</v>
      </c>
      <c r="X69" s="74">
        <v>0</v>
      </c>
      <c r="Y69" s="74">
        <v>0</v>
      </c>
      <c r="Z69" s="74">
        <v>0</v>
      </c>
      <c r="AA69" s="74">
        <v>0</v>
      </c>
      <c r="AB69" s="74">
        <v>0</v>
      </c>
      <c r="AC69" s="74">
        <v>0</v>
      </c>
      <c r="AD69" s="74">
        <v>0</v>
      </c>
      <c r="AE69" s="74">
        <v>0</v>
      </c>
      <c r="AF69" s="74">
        <v>0</v>
      </c>
      <c r="AG69" s="90">
        <f t="shared" si="4"/>
        <v>3</v>
      </c>
      <c r="AH69" s="90">
        <f t="shared" si="5"/>
        <v>3</v>
      </c>
      <c r="AI69" s="90">
        <f t="shared" si="6"/>
        <v>0</v>
      </c>
    </row>
    <row r="70" spans="1:35" x14ac:dyDescent="0.35">
      <c r="C70" s="96">
        <v>46077</v>
      </c>
      <c r="D70" s="97">
        <v>7</v>
      </c>
      <c r="E70" s="97" t="s">
        <v>115</v>
      </c>
      <c r="F70" s="10">
        <v>1</v>
      </c>
      <c r="G70" s="10">
        <v>0</v>
      </c>
      <c r="H70" s="10">
        <v>0</v>
      </c>
      <c r="I70" s="10">
        <v>0</v>
      </c>
      <c r="J70" s="74">
        <v>0</v>
      </c>
      <c r="K70" s="74">
        <v>1</v>
      </c>
      <c r="L70" s="74">
        <v>0</v>
      </c>
      <c r="M70" s="74">
        <v>0</v>
      </c>
      <c r="N70" s="74">
        <v>0</v>
      </c>
      <c r="O70" s="74">
        <v>0</v>
      </c>
      <c r="P70" s="74">
        <v>0</v>
      </c>
      <c r="Q70" s="74">
        <v>0</v>
      </c>
      <c r="R70" s="74">
        <v>0</v>
      </c>
      <c r="S70" s="97" t="s">
        <v>184</v>
      </c>
      <c r="T70" s="10">
        <v>3</v>
      </c>
      <c r="U70" s="10">
        <v>2</v>
      </c>
      <c r="V70" s="10">
        <v>0</v>
      </c>
      <c r="W70" s="10">
        <v>0</v>
      </c>
      <c r="X70" s="74">
        <v>0</v>
      </c>
      <c r="Y70" s="74">
        <v>0</v>
      </c>
      <c r="Z70" s="74">
        <v>0</v>
      </c>
      <c r="AA70" s="74">
        <v>0</v>
      </c>
      <c r="AB70" s="74">
        <v>0</v>
      </c>
      <c r="AC70" s="74">
        <v>0</v>
      </c>
      <c r="AD70" s="74">
        <v>0</v>
      </c>
      <c r="AE70" s="74">
        <v>0</v>
      </c>
      <c r="AF70" s="74">
        <v>0</v>
      </c>
      <c r="AG70" s="90">
        <f t="shared" si="4"/>
        <v>7</v>
      </c>
      <c r="AH70" s="90">
        <f t="shared" si="5"/>
        <v>6</v>
      </c>
      <c r="AI70" s="90">
        <f t="shared" si="6"/>
        <v>1</v>
      </c>
    </row>
    <row r="71" spans="1:35" x14ac:dyDescent="0.35">
      <c r="C71" s="96">
        <v>46080</v>
      </c>
      <c r="D71" s="97">
        <v>7</v>
      </c>
      <c r="E71" s="97" t="s">
        <v>688</v>
      </c>
      <c r="F71" s="10">
        <v>3</v>
      </c>
      <c r="G71" s="10">
        <v>0</v>
      </c>
      <c r="H71" s="10">
        <v>0</v>
      </c>
      <c r="I71" s="10">
        <v>0</v>
      </c>
      <c r="J71" s="74">
        <v>0</v>
      </c>
      <c r="K71" s="74">
        <v>0</v>
      </c>
      <c r="L71" s="74">
        <v>0</v>
      </c>
      <c r="M71" s="74">
        <v>0</v>
      </c>
      <c r="N71" s="74">
        <v>0</v>
      </c>
      <c r="O71" s="74">
        <v>0</v>
      </c>
      <c r="P71" s="74">
        <v>0</v>
      </c>
      <c r="Q71" s="74">
        <v>0</v>
      </c>
      <c r="R71" s="74">
        <v>0</v>
      </c>
      <c r="S71" s="97" t="s">
        <v>857</v>
      </c>
      <c r="T71" s="10">
        <v>1</v>
      </c>
      <c r="U71" s="10">
        <v>2</v>
      </c>
      <c r="V71" s="10">
        <v>0</v>
      </c>
      <c r="W71" s="10">
        <v>0</v>
      </c>
      <c r="X71" s="74">
        <v>0</v>
      </c>
      <c r="Y71" s="74">
        <v>0</v>
      </c>
      <c r="Z71" s="74">
        <v>0</v>
      </c>
      <c r="AA71" s="74">
        <v>0</v>
      </c>
      <c r="AB71" s="74">
        <v>0</v>
      </c>
      <c r="AC71" s="74">
        <v>1</v>
      </c>
      <c r="AD71" s="74">
        <v>0</v>
      </c>
      <c r="AE71" s="74">
        <v>0</v>
      </c>
      <c r="AF71" s="74">
        <v>0</v>
      </c>
      <c r="AG71" s="90">
        <f t="shared" si="4"/>
        <v>7</v>
      </c>
      <c r="AH71" s="90">
        <f t="shared" si="5"/>
        <v>6</v>
      </c>
      <c r="AI71" s="90">
        <f t="shared" si="6"/>
        <v>1</v>
      </c>
    </row>
    <row r="72" spans="1:35" x14ac:dyDescent="0.35">
      <c r="C72" s="96">
        <v>46084</v>
      </c>
      <c r="D72" s="97">
        <v>7</v>
      </c>
      <c r="E72" s="97" t="s">
        <v>87</v>
      </c>
      <c r="F72" s="10">
        <v>3</v>
      </c>
      <c r="G72" s="10">
        <v>0</v>
      </c>
      <c r="H72" s="10">
        <v>0</v>
      </c>
      <c r="I72" s="10">
        <v>1</v>
      </c>
      <c r="J72" s="74">
        <v>0</v>
      </c>
      <c r="K72" s="74">
        <v>0</v>
      </c>
      <c r="L72" s="74">
        <v>0</v>
      </c>
      <c r="M72" s="74">
        <v>0</v>
      </c>
      <c r="N72" s="74">
        <v>0</v>
      </c>
      <c r="O72" s="74">
        <v>0</v>
      </c>
      <c r="P72" s="74">
        <v>0</v>
      </c>
      <c r="Q72" s="74">
        <v>0</v>
      </c>
      <c r="R72" s="74">
        <v>0</v>
      </c>
      <c r="S72" s="97" t="s">
        <v>996</v>
      </c>
      <c r="T72" s="10">
        <v>1</v>
      </c>
      <c r="U72" s="10">
        <v>1</v>
      </c>
      <c r="V72" s="10">
        <v>3</v>
      </c>
      <c r="W72" s="10">
        <v>0</v>
      </c>
      <c r="X72" s="74">
        <v>0</v>
      </c>
      <c r="Y72" s="74">
        <v>0</v>
      </c>
      <c r="Z72" s="74">
        <v>0</v>
      </c>
      <c r="AA72" s="74">
        <v>0</v>
      </c>
      <c r="AB72" s="74">
        <v>0</v>
      </c>
      <c r="AC72" s="74">
        <v>0</v>
      </c>
      <c r="AD72" s="74">
        <v>0</v>
      </c>
      <c r="AE72" s="74">
        <v>0</v>
      </c>
      <c r="AF72" s="74">
        <v>0</v>
      </c>
      <c r="AG72" s="90">
        <f t="shared" si="4"/>
        <v>9</v>
      </c>
      <c r="AH72" s="90">
        <f t="shared" si="5"/>
        <v>9</v>
      </c>
      <c r="AI72" s="90">
        <f t="shared" si="6"/>
        <v>0</v>
      </c>
    </row>
    <row r="73" spans="1:35" x14ac:dyDescent="0.35">
      <c r="C73" s="96">
        <v>46088</v>
      </c>
      <c r="D73" s="97">
        <v>7</v>
      </c>
      <c r="E73" s="97" t="s">
        <v>407</v>
      </c>
      <c r="F73" s="10">
        <v>2</v>
      </c>
      <c r="G73" s="10">
        <v>0</v>
      </c>
      <c r="H73" s="10">
        <v>0</v>
      </c>
      <c r="I73" s="10">
        <v>0</v>
      </c>
      <c r="J73" s="74">
        <v>0</v>
      </c>
      <c r="K73" s="74">
        <v>0</v>
      </c>
      <c r="L73" s="74">
        <v>0</v>
      </c>
      <c r="M73" s="74">
        <v>0</v>
      </c>
      <c r="N73" s="74">
        <v>0</v>
      </c>
      <c r="O73" s="74">
        <v>0</v>
      </c>
      <c r="P73" s="74">
        <v>0</v>
      </c>
      <c r="Q73" s="74">
        <v>0</v>
      </c>
      <c r="R73" s="74">
        <v>0</v>
      </c>
      <c r="S73" s="97" t="s">
        <v>712</v>
      </c>
      <c r="T73" s="10">
        <v>5</v>
      </c>
      <c r="U73" s="10">
        <v>2</v>
      </c>
      <c r="V73" s="10">
        <v>0</v>
      </c>
      <c r="W73" s="10">
        <v>0</v>
      </c>
      <c r="X73" s="74">
        <v>0</v>
      </c>
      <c r="Y73" s="74">
        <v>0</v>
      </c>
      <c r="Z73" s="74">
        <v>0</v>
      </c>
      <c r="AA73" s="74">
        <v>1</v>
      </c>
      <c r="AB73" s="74">
        <v>0</v>
      </c>
      <c r="AC73" s="74">
        <v>0</v>
      </c>
      <c r="AD73" s="74">
        <v>0</v>
      </c>
      <c r="AE73" s="74">
        <v>0</v>
      </c>
      <c r="AF73" s="74">
        <v>0</v>
      </c>
      <c r="AG73" s="90">
        <f t="shared" si="4"/>
        <v>10</v>
      </c>
      <c r="AH73" s="90">
        <f t="shared" si="5"/>
        <v>9</v>
      </c>
      <c r="AI73" s="90">
        <f t="shared" si="6"/>
        <v>1</v>
      </c>
    </row>
    <row r="74" spans="1:35" x14ac:dyDescent="0.35">
      <c r="C74" s="96">
        <v>46091</v>
      </c>
      <c r="D74" s="97">
        <v>7</v>
      </c>
      <c r="E74" s="97" t="s">
        <v>250</v>
      </c>
      <c r="F74" s="10">
        <v>1</v>
      </c>
      <c r="G74" s="10">
        <v>2</v>
      </c>
      <c r="H74" s="10">
        <v>0</v>
      </c>
      <c r="I74" s="10">
        <v>0</v>
      </c>
      <c r="J74" s="74">
        <v>0</v>
      </c>
      <c r="K74" s="74">
        <v>0</v>
      </c>
      <c r="L74" s="74">
        <v>0</v>
      </c>
      <c r="M74" s="74">
        <v>0</v>
      </c>
      <c r="N74" s="74">
        <v>0</v>
      </c>
      <c r="O74" s="74">
        <v>0</v>
      </c>
      <c r="P74" s="74">
        <v>0</v>
      </c>
      <c r="Q74" s="74">
        <v>0</v>
      </c>
      <c r="R74" s="74">
        <v>0</v>
      </c>
      <c r="S74" s="97" t="s">
        <v>150</v>
      </c>
      <c r="T74" s="10">
        <v>2</v>
      </c>
      <c r="U74" s="10">
        <v>0</v>
      </c>
      <c r="V74" s="10">
        <v>0</v>
      </c>
      <c r="W74" s="10">
        <v>1</v>
      </c>
      <c r="X74" s="74">
        <v>0</v>
      </c>
      <c r="Y74" s="74">
        <v>1</v>
      </c>
      <c r="Z74" s="74">
        <v>0</v>
      </c>
      <c r="AA74" s="74">
        <v>0</v>
      </c>
      <c r="AB74" s="74">
        <v>0</v>
      </c>
      <c r="AC74" s="74">
        <v>0</v>
      </c>
      <c r="AD74" s="74">
        <v>0</v>
      </c>
      <c r="AE74" s="74">
        <v>0</v>
      </c>
      <c r="AF74" s="74">
        <v>0</v>
      </c>
      <c r="AG74" s="90">
        <f t="shared" si="4"/>
        <v>7</v>
      </c>
      <c r="AH74" s="90">
        <f t="shared" si="5"/>
        <v>6</v>
      </c>
      <c r="AI74" s="90">
        <f t="shared" si="6"/>
        <v>1</v>
      </c>
    </row>
    <row r="75" spans="1:35" x14ac:dyDescent="0.35">
      <c r="C75" s="96">
        <v>46098</v>
      </c>
      <c r="D75" s="97">
        <v>7</v>
      </c>
      <c r="E75" s="97" t="s">
        <v>134</v>
      </c>
      <c r="F75" s="10">
        <v>3</v>
      </c>
      <c r="G75" s="10">
        <v>0</v>
      </c>
      <c r="H75" s="10">
        <v>0</v>
      </c>
      <c r="I75" s="10">
        <v>0</v>
      </c>
      <c r="J75" s="74">
        <v>0</v>
      </c>
      <c r="K75" s="74">
        <v>0</v>
      </c>
      <c r="L75" s="74">
        <v>0</v>
      </c>
      <c r="M75" s="74">
        <v>0</v>
      </c>
      <c r="N75" s="74">
        <v>0</v>
      </c>
      <c r="O75" s="74">
        <v>0</v>
      </c>
      <c r="P75" s="74">
        <v>0</v>
      </c>
      <c r="Q75" s="74">
        <v>0</v>
      </c>
      <c r="R75" s="74">
        <v>0</v>
      </c>
      <c r="S75" s="97" t="s">
        <v>1094</v>
      </c>
      <c r="T75" s="10">
        <v>0</v>
      </c>
      <c r="U75" s="10">
        <v>1</v>
      </c>
      <c r="V75" s="10">
        <v>0</v>
      </c>
      <c r="W75" s="10">
        <v>0</v>
      </c>
      <c r="X75" s="74">
        <v>0</v>
      </c>
      <c r="Y75" s="74">
        <v>1</v>
      </c>
      <c r="Z75" s="74">
        <v>1</v>
      </c>
      <c r="AA75" s="74">
        <v>1</v>
      </c>
      <c r="AB75" s="74">
        <v>0</v>
      </c>
      <c r="AC75" s="74">
        <v>0</v>
      </c>
      <c r="AD75" s="74">
        <v>0</v>
      </c>
      <c r="AE75" s="74">
        <v>0</v>
      </c>
      <c r="AF75" s="74">
        <v>0</v>
      </c>
      <c r="AG75" s="90">
        <f t="shared" si="4"/>
        <v>7</v>
      </c>
      <c r="AH75" s="90">
        <f t="shared" si="5"/>
        <v>4</v>
      </c>
      <c r="AI75" s="90">
        <f t="shared" si="6"/>
        <v>3</v>
      </c>
    </row>
    <row r="76" spans="1:35" x14ac:dyDescent="0.35">
      <c r="C76" s="96">
        <v>46105</v>
      </c>
      <c r="D76" s="97">
        <v>7</v>
      </c>
      <c r="E76" s="97" t="s">
        <v>1135</v>
      </c>
      <c r="F76" s="10">
        <v>1</v>
      </c>
      <c r="G76" s="10">
        <v>1</v>
      </c>
      <c r="H76" s="10">
        <v>0</v>
      </c>
      <c r="I76" s="10">
        <v>0</v>
      </c>
      <c r="J76" s="74">
        <v>0</v>
      </c>
      <c r="K76" s="74">
        <v>0</v>
      </c>
      <c r="L76" s="74">
        <v>0</v>
      </c>
      <c r="M76" s="74">
        <v>0</v>
      </c>
      <c r="N76" s="74">
        <v>1</v>
      </c>
      <c r="O76" s="74">
        <v>0</v>
      </c>
      <c r="P76" s="74">
        <v>1</v>
      </c>
      <c r="Q76" s="74">
        <v>0</v>
      </c>
      <c r="R76" s="74">
        <v>0</v>
      </c>
      <c r="S76" s="97" t="s">
        <v>1134</v>
      </c>
      <c r="T76" s="10">
        <v>2</v>
      </c>
      <c r="U76" s="10">
        <v>3</v>
      </c>
      <c r="V76" s="10">
        <v>0</v>
      </c>
      <c r="W76" s="10">
        <v>1</v>
      </c>
      <c r="X76" s="74">
        <v>0</v>
      </c>
      <c r="Y76" s="74">
        <v>1</v>
      </c>
      <c r="Z76" s="74">
        <v>0</v>
      </c>
      <c r="AA76" s="74">
        <v>0</v>
      </c>
      <c r="AB76" s="74">
        <v>0</v>
      </c>
      <c r="AC76" s="74">
        <v>0</v>
      </c>
      <c r="AD76" s="74">
        <v>0</v>
      </c>
      <c r="AE76" s="74">
        <v>0</v>
      </c>
      <c r="AF76" s="74">
        <v>0</v>
      </c>
      <c r="AG76" s="90">
        <f t="shared" si="4"/>
        <v>11</v>
      </c>
      <c r="AH76" s="90">
        <f t="shared" si="5"/>
        <v>8</v>
      </c>
      <c r="AI76" s="90">
        <f t="shared" si="6"/>
        <v>3</v>
      </c>
    </row>
    <row r="77" spans="1:35" x14ac:dyDescent="0.35">
      <c r="C77" s="96">
        <v>46112</v>
      </c>
      <c r="D77" s="97">
        <v>7</v>
      </c>
      <c r="E77" s="97" t="s">
        <v>115</v>
      </c>
      <c r="F77" s="10">
        <v>1</v>
      </c>
      <c r="G77" s="10">
        <v>0</v>
      </c>
      <c r="H77" s="10">
        <v>0</v>
      </c>
      <c r="I77" s="10">
        <v>0</v>
      </c>
      <c r="J77" s="74">
        <v>0</v>
      </c>
      <c r="K77" s="74">
        <v>1</v>
      </c>
      <c r="L77" s="74">
        <v>0</v>
      </c>
      <c r="M77" s="74">
        <v>0</v>
      </c>
      <c r="N77" s="74">
        <v>0</v>
      </c>
      <c r="O77" s="74">
        <v>0</v>
      </c>
      <c r="P77" s="74">
        <v>0</v>
      </c>
      <c r="Q77" s="74">
        <v>0</v>
      </c>
      <c r="R77" s="74">
        <v>0</v>
      </c>
      <c r="S77" s="97" t="s">
        <v>124</v>
      </c>
      <c r="T77" s="10">
        <v>4</v>
      </c>
      <c r="U77" s="10">
        <v>1</v>
      </c>
      <c r="V77" s="10">
        <v>0</v>
      </c>
      <c r="W77" s="10">
        <v>0</v>
      </c>
      <c r="X77" s="74">
        <v>0</v>
      </c>
      <c r="Y77" s="74">
        <v>0</v>
      </c>
      <c r="Z77" s="74">
        <v>0</v>
      </c>
      <c r="AA77" s="74">
        <v>0</v>
      </c>
      <c r="AB77" s="74">
        <v>0</v>
      </c>
      <c r="AC77" s="74">
        <v>0</v>
      </c>
      <c r="AD77" s="74">
        <v>0</v>
      </c>
      <c r="AE77" s="74">
        <v>0</v>
      </c>
      <c r="AF77" s="74">
        <v>0</v>
      </c>
      <c r="AG77" s="90">
        <f t="shared" si="4"/>
        <v>7</v>
      </c>
      <c r="AH77" s="90">
        <f t="shared" si="5"/>
        <v>6</v>
      </c>
      <c r="AI77" s="90">
        <f t="shared" si="6"/>
        <v>1</v>
      </c>
    </row>
    <row r="78" spans="1:35" x14ac:dyDescent="0.35">
      <c r="C78" s="96"/>
    </row>
    <row r="79" spans="1:35" x14ac:dyDescent="0.35">
      <c r="A79" s="93">
        <v>5</v>
      </c>
      <c r="B79" s="95" t="s">
        <v>655</v>
      </c>
      <c r="C79" s="96">
        <v>46010</v>
      </c>
      <c r="D79" s="97">
        <v>18</v>
      </c>
      <c r="E79" s="97" t="s">
        <v>134</v>
      </c>
      <c r="F79" s="10">
        <v>3</v>
      </c>
      <c r="G79" s="10">
        <v>0</v>
      </c>
      <c r="H79" s="10">
        <v>0</v>
      </c>
      <c r="I79" s="10">
        <v>0</v>
      </c>
      <c r="J79" s="74">
        <v>0</v>
      </c>
      <c r="K79" s="74">
        <v>0</v>
      </c>
      <c r="L79" s="74">
        <v>0</v>
      </c>
      <c r="M79" s="74">
        <v>0</v>
      </c>
      <c r="N79" s="74">
        <v>0</v>
      </c>
      <c r="O79" s="74">
        <v>0</v>
      </c>
      <c r="P79" s="74">
        <v>0</v>
      </c>
      <c r="Q79" s="74">
        <v>0</v>
      </c>
      <c r="R79" s="74">
        <v>0</v>
      </c>
      <c r="S79" s="97" t="s">
        <v>55</v>
      </c>
      <c r="T79" s="10">
        <v>0</v>
      </c>
      <c r="U79" s="10">
        <v>0</v>
      </c>
      <c r="V79" s="10">
        <v>0</v>
      </c>
      <c r="W79" s="10">
        <v>0</v>
      </c>
      <c r="X79" s="74">
        <v>0</v>
      </c>
      <c r="Y79" s="74">
        <v>0</v>
      </c>
      <c r="Z79" s="74">
        <v>0</v>
      </c>
      <c r="AA79" s="74">
        <v>0</v>
      </c>
      <c r="AB79" s="74">
        <v>0</v>
      </c>
      <c r="AC79" s="74">
        <v>0</v>
      </c>
      <c r="AD79" s="74">
        <v>0</v>
      </c>
      <c r="AE79" s="74">
        <v>0</v>
      </c>
      <c r="AF79" s="74">
        <v>0</v>
      </c>
      <c r="AG79" s="90">
        <f t="shared" si="4"/>
        <v>3</v>
      </c>
      <c r="AH79" s="90">
        <f t="shared" si="5"/>
        <v>3</v>
      </c>
      <c r="AI79" s="90">
        <f t="shared" si="6"/>
        <v>0</v>
      </c>
    </row>
    <row r="80" spans="1:35" x14ac:dyDescent="0.35">
      <c r="C80" s="96">
        <v>46013</v>
      </c>
      <c r="D80" s="97">
        <v>18</v>
      </c>
      <c r="E80" s="97" t="s">
        <v>285</v>
      </c>
      <c r="F80" s="10">
        <v>1</v>
      </c>
      <c r="G80" s="10">
        <v>1</v>
      </c>
      <c r="H80" s="10">
        <v>0</v>
      </c>
      <c r="I80" s="10">
        <v>0</v>
      </c>
      <c r="J80" s="74">
        <v>0</v>
      </c>
      <c r="K80" s="74">
        <v>1</v>
      </c>
      <c r="L80" s="74">
        <v>0</v>
      </c>
      <c r="M80" s="74">
        <v>0</v>
      </c>
      <c r="N80" s="74">
        <v>0</v>
      </c>
      <c r="O80" s="74">
        <v>0</v>
      </c>
      <c r="P80" s="74">
        <v>0</v>
      </c>
      <c r="Q80" s="74">
        <v>0</v>
      </c>
      <c r="R80" s="74">
        <v>0</v>
      </c>
      <c r="S80" s="97" t="s">
        <v>217</v>
      </c>
      <c r="T80" s="10">
        <v>0</v>
      </c>
      <c r="U80" s="10">
        <v>0</v>
      </c>
      <c r="V80" s="10">
        <v>0</v>
      </c>
      <c r="W80" s="10">
        <v>1</v>
      </c>
      <c r="X80" s="74">
        <v>0</v>
      </c>
      <c r="Y80" s="74">
        <v>0</v>
      </c>
      <c r="Z80" s="74">
        <v>0</v>
      </c>
      <c r="AA80" s="74">
        <v>0</v>
      </c>
      <c r="AB80" s="74">
        <v>0</v>
      </c>
      <c r="AC80" s="74">
        <v>0</v>
      </c>
      <c r="AD80" s="74">
        <v>0</v>
      </c>
      <c r="AE80" s="74">
        <v>0</v>
      </c>
      <c r="AF80" s="74">
        <v>0</v>
      </c>
      <c r="AG80" s="90">
        <f t="shared" si="4"/>
        <v>4</v>
      </c>
      <c r="AH80" s="90">
        <f t="shared" si="5"/>
        <v>3</v>
      </c>
      <c r="AI80" s="90">
        <f t="shared" si="6"/>
        <v>1</v>
      </c>
    </row>
    <row r="81" spans="3:35" x14ac:dyDescent="0.35">
      <c r="C81" s="96">
        <v>46018</v>
      </c>
      <c r="D81" s="97">
        <v>18</v>
      </c>
      <c r="E81" s="97" t="s">
        <v>689</v>
      </c>
      <c r="F81" s="10">
        <v>0</v>
      </c>
      <c r="G81" s="10">
        <v>0</v>
      </c>
      <c r="H81" s="10">
        <v>0</v>
      </c>
      <c r="I81" s="10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97" t="s">
        <v>407</v>
      </c>
      <c r="T81" s="10">
        <v>2</v>
      </c>
      <c r="U81" s="10">
        <v>0</v>
      </c>
      <c r="V81" s="10">
        <v>0</v>
      </c>
      <c r="W81" s="10">
        <v>0</v>
      </c>
      <c r="X81" s="74">
        <v>0</v>
      </c>
      <c r="Y81" s="74">
        <v>0</v>
      </c>
      <c r="Z81" s="74">
        <v>0</v>
      </c>
      <c r="AA81" s="74">
        <v>0</v>
      </c>
      <c r="AB81" s="74">
        <v>0</v>
      </c>
      <c r="AC81" s="74">
        <v>0</v>
      </c>
      <c r="AD81" s="74">
        <v>0</v>
      </c>
      <c r="AE81" s="74">
        <v>0</v>
      </c>
      <c r="AF81" s="74">
        <v>0</v>
      </c>
      <c r="AG81" s="90">
        <f t="shared" si="4"/>
        <v>2</v>
      </c>
      <c r="AH81" s="90">
        <f t="shared" si="5"/>
        <v>2</v>
      </c>
      <c r="AI81" s="90">
        <f t="shared" si="6"/>
        <v>0</v>
      </c>
    </row>
    <row r="82" spans="3:35" x14ac:dyDescent="0.35">
      <c r="C82" s="96">
        <v>46021</v>
      </c>
      <c r="D82" s="97">
        <v>18</v>
      </c>
      <c r="E82" s="97" t="s">
        <v>702</v>
      </c>
      <c r="F82" s="10">
        <v>3</v>
      </c>
      <c r="G82" s="10">
        <v>0</v>
      </c>
      <c r="H82" s="10">
        <v>0</v>
      </c>
      <c r="I82" s="10">
        <v>1</v>
      </c>
      <c r="J82" s="74">
        <v>0</v>
      </c>
      <c r="K82" s="74">
        <v>0</v>
      </c>
      <c r="L82" s="74">
        <v>0</v>
      </c>
      <c r="M82" s="74">
        <v>0</v>
      </c>
      <c r="N82" s="74">
        <v>0</v>
      </c>
      <c r="O82" s="74">
        <v>1</v>
      </c>
      <c r="P82" s="74">
        <v>0</v>
      </c>
      <c r="Q82" s="74">
        <v>0</v>
      </c>
      <c r="R82" s="74">
        <v>0</v>
      </c>
      <c r="S82" s="97" t="s">
        <v>134</v>
      </c>
      <c r="T82" s="10">
        <v>3</v>
      </c>
      <c r="U82" s="10">
        <v>0</v>
      </c>
      <c r="V82" s="10">
        <v>0</v>
      </c>
      <c r="W82" s="10">
        <v>0</v>
      </c>
      <c r="X82" s="74">
        <v>0</v>
      </c>
      <c r="Y82" s="74">
        <v>0</v>
      </c>
      <c r="Z82" s="74">
        <v>0</v>
      </c>
      <c r="AA82" s="74">
        <v>0</v>
      </c>
      <c r="AB82" s="74">
        <v>0</v>
      </c>
      <c r="AC82" s="74">
        <v>0</v>
      </c>
      <c r="AD82" s="74">
        <v>0</v>
      </c>
      <c r="AE82" s="74">
        <v>0</v>
      </c>
      <c r="AF82" s="74">
        <v>0</v>
      </c>
      <c r="AG82" s="90">
        <f t="shared" si="4"/>
        <v>8</v>
      </c>
      <c r="AH82" s="90">
        <f t="shared" si="5"/>
        <v>7</v>
      </c>
      <c r="AI82" s="90">
        <f t="shared" si="6"/>
        <v>1</v>
      </c>
    </row>
    <row r="83" spans="3:35" x14ac:dyDescent="0.35">
      <c r="C83" s="96">
        <v>46024</v>
      </c>
      <c r="D83" s="97">
        <v>18</v>
      </c>
      <c r="E83" s="97" t="s">
        <v>719</v>
      </c>
      <c r="F83" s="10">
        <v>1</v>
      </c>
      <c r="G83" s="10">
        <v>0</v>
      </c>
      <c r="H83" s="10">
        <v>0</v>
      </c>
      <c r="I83" s="10">
        <v>0</v>
      </c>
      <c r="J83" s="74">
        <v>0</v>
      </c>
      <c r="K83" s="74">
        <v>2</v>
      </c>
      <c r="L83" s="74">
        <v>0</v>
      </c>
      <c r="M83" s="74">
        <v>0</v>
      </c>
      <c r="N83" s="74">
        <v>0</v>
      </c>
      <c r="O83" s="74">
        <v>1</v>
      </c>
      <c r="P83" s="74">
        <v>0</v>
      </c>
      <c r="Q83" s="74">
        <v>0</v>
      </c>
      <c r="R83" s="74">
        <v>0</v>
      </c>
      <c r="S83" s="97" t="s">
        <v>720</v>
      </c>
      <c r="T83" s="10">
        <v>0</v>
      </c>
      <c r="U83" s="10">
        <v>0</v>
      </c>
      <c r="V83" s="10">
        <v>0</v>
      </c>
      <c r="W83" s="10">
        <v>1</v>
      </c>
      <c r="X83" s="74">
        <v>0</v>
      </c>
      <c r="Y83" s="74">
        <v>1</v>
      </c>
      <c r="Z83" s="74">
        <v>0</v>
      </c>
      <c r="AA83" s="74">
        <v>0</v>
      </c>
      <c r="AB83" s="74">
        <v>0</v>
      </c>
      <c r="AC83" s="74">
        <v>0</v>
      </c>
      <c r="AD83" s="74">
        <v>0</v>
      </c>
      <c r="AE83" s="74">
        <v>0</v>
      </c>
      <c r="AF83" s="74">
        <v>0</v>
      </c>
      <c r="AG83" s="90">
        <f t="shared" si="4"/>
        <v>6</v>
      </c>
      <c r="AH83" s="90">
        <f t="shared" si="5"/>
        <v>2</v>
      </c>
      <c r="AI83" s="90">
        <f t="shared" si="6"/>
        <v>4</v>
      </c>
    </row>
    <row r="84" spans="3:35" x14ac:dyDescent="0.35">
      <c r="C84" s="96">
        <v>46027</v>
      </c>
      <c r="D84" s="97">
        <v>18</v>
      </c>
      <c r="E84" s="97" t="s">
        <v>208</v>
      </c>
      <c r="F84" s="10">
        <v>3</v>
      </c>
      <c r="G84" s="10">
        <v>2</v>
      </c>
      <c r="H84" s="10">
        <v>0</v>
      </c>
      <c r="I84" s="10">
        <v>0</v>
      </c>
      <c r="J84" s="74">
        <v>0</v>
      </c>
      <c r="K84" s="74">
        <v>1</v>
      </c>
      <c r="L84" s="74">
        <v>0</v>
      </c>
      <c r="M84" s="74">
        <v>0</v>
      </c>
      <c r="N84" s="74">
        <v>0</v>
      </c>
      <c r="O84" s="74">
        <v>0</v>
      </c>
      <c r="P84" s="74">
        <v>0</v>
      </c>
      <c r="Q84" s="74">
        <v>0</v>
      </c>
      <c r="R84" s="74">
        <v>0</v>
      </c>
      <c r="S84" s="97" t="s">
        <v>734</v>
      </c>
      <c r="T84" s="10">
        <v>2</v>
      </c>
      <c r="U84" s="10">
        <v>1</v>
      </c>
      <c r="V84" s="10">
        <v>0</v>
      </c>
      <c r="W84" s="10">
        <v>0</v>
      </c>
      <c r="X84" s="74">
        <v>1</v>
      </c>
      <c r="Y84" s="74">
        <v>0</v>
      </c>
      <c r="Z84" s="74">
        <v>0</v>
      </c>
      <c r="AA84" s="74">
        <v>0</v>
      </c>
      <c r="AB84" s="74">
        <v>0</v>
      </c>
      <c r="AC84" s="74">
        <v>0</v>
      </c>
      <c r="AD84" s="74">
        <v>0</v>
      </c>
      <c r="AE84" s="74">
        <v>0</v>
      </c>
      <c r="AF84" s="74">
        <v>0</v>
      </c>
      <c r="AG84" s="90">
        <f t="shared" si="4"/>
        <v>10</v>
      </c>
      <c r="AH84" s="90">
        <f t="shared" si="5"/>
        <v>8</v>
      </c>
      <c r="AI84" s="90">
        <f t="shared" si="6"/>
        <v>2</v>
      </c>
    </row>
    <row r="85" spans="3:35" x14ac:dyDescent="0.35">
      <c r="C85" s="96">
        <v>46031</v>
      </c>
      <c r="D85" s="97">
        <v>18</v>
      </c>
      <c r="E85" s="97" t="s">
        <v>739</v>
      </c>
      <c r="F85" s="10">
        <v>6</v>
      </c>
      <c r="G85" s="10">
        <v>1</v>
      </c>
      <c r="H85" s="10">
        <v>0</v>
      </c>
      <c r="I85" s="10">
        <v>0</v>
      </c>
      <c r="J85" s="74">
        <v>1</v>
      </c>
      <c r="K85" s="74">
        <v>0</v>
      </c>
      <c r="L85" s="74">
        <v>0</v>
      </c>
      <c r="M85" s="74">
        <v>0</v>
      </c>
      <c r="N85" s="74">
        <v>0</v>
      </c>
      <c r="O85" s="74">
        <v>1</v>
      </c>
      <c r="P85" s="74">
        <v>0</v>
      </c>
      <c r="Q85" s="74">
        <v>0</v>
      </c>
      <c r="R85" s="74">
        <v>0</v>
      </c>
      <c r="S85" s="97" t="s">
        <v>242</v>
      </c>
      <c r="T85" s="10">
        <v>2</v>
      </c>
      <c r="U85" s="10">
        <v>1</v>
      </c>
      <c r="V85" s="10">
        <v>0</v>
      </c>
      <c r="W85" s="10">
        <v>0</v>
      </c>
      <c r="X85" s="74">
        <v>0</v>
      </c>
      <c r="Y85" s="74">
        <v>0</v>
      </c>
      <c r="Z85" s="74">
        <v>0</v>
      </c>
      <c r="AA85" s="74">
        <v>0</v>
      </c>
      <c r="AB85" s="74">
        <v>0</v>
      </c>
      <c r="AC85" s="74">
        <v>0</v>
      </c>
      <c r="AD85" s="74">
        <v>0</v>
      </c>
      <c r="AE85" s="74">
        <v>0</v>
      </c>
      <c r="AF85" s="74">
        <v>0</v>
      </c>
      <c r="AG85" s="90">
        <f t="shared" si="4"/>
        <v>12</v>
      </c>
      <c r="AH85" s="90">
        <f t="shared" si="5"/>
        <v>10</v>
      </c>
      <c r="AI85" s="90">
        <f t="shared" si="6"/>
        <v>2</v>
      </c>
    </row>
    <row r="86" spans="3:35" ht="29" x14ac:dyDescent="0.35">
      <c r="C86" s="96">
        <v>46035</v>
      </c>
      <c r="D86" s="97">
        <v>18</v>
      </c>
      <c r="E86" s="99" t="s">
        <v>750</v>
      </c>
      <c r="F86" s="10">
        <v>2</v>
      </c>
      <c r="G86" s="10">
        <v>0</v>
      </c>
      <c r="H86" s="10">
        <v>0</v>
      </c>
      <c r="I86" s="10">
        <v>1</v>
      </c>
      <c r="J86" s="74">
        <v>0</v>
      </c>
      <c r="K86" s="74">
        <v>0</v>
      </c>
      <c r="L86" s="74">
        <v>0</v>
      </c>
      <c r="M86" s="74">
        <v>0</v>
      </c>
      <c r="N86" s="74">
        <v>0</v>
      </c>
      <c r="O86" s="74">
        <v>0</v>
      </c>
      <c r="P86" s="74">
        <v>0</v>
      </c>
      <c r="Q86" s="74">
        <v>0</v>
      </c>
      <c r="R86" s="74">
        <v>0</v>
      </c>
      <c r="S86" s="97" t="s">
        <v>345</v>
      </c>
      <c r="T86" s="10">
        <v>1</v>
      </c>
      <c r="U86" s="10">
        <v>0</v>
      </c>
      <c r="V86" s="10">
        <v>0</v>
      </c>
      <c r="W86" s="10">
        <v>0</v>
      </c>
      <c r="X86" s="74">
        <v>0</v>
      </c>
      <c r="Y86" s="74">
        <v>0</v>
      </c>
      <c r="Z86" s="74">
        <v>0</v>
      </c>
      <c r="AA86" s="74">
        <v>1</v>
      </c>
      <c r="AB86" s="74">
        <v>0</v>
      </c>
      <c r="AC86" s="74">
        <v>0</v>
      </c>
      <c r="AD86" s="74">
        <v>0</v>
      </c>
      <c r="AE86" s="74">
        <v>0</v>
      </c>
      <c r="AF86" s="74">
        <v>0</v>
      </c>
      <c r="AG86" s="90">
        <f t="shared" si="4"/>
        <v>5</v>
      </c>
      <c r="AH86" s="90">
        <f t="shared" si="5"/>
        <v>4</v>
      </c>
      <c r="AI86" s="90">
        <f t="shared" si="6"/>
        <v>1</v>
      </c>
    </row>
    <row r="87" spans="3:35" x14ac:dyDescent="0.35">
      <c r="C87" s="96">
        <v>46038</v>
      </c>
      <c r="D87" s="97">
        <v>18</v>
      </c>
      <c r="E87" s="97" t="s">
        <v>771</v>
      </c>
      <c r="F87" s="10">
        <v>0</v>
      </c>
      <c r="G87" s="10">
        <v>2</v>
      </c>
      <c r="H87" s="10">
        <v>0</v>
      </c>
      <c r="I87" s="10">
        <v>0</v>
      </c>
      <c r="J87" s="74">
        <v>0</v>
      </c>
      <c r="K87" s="74">
        <v>0</v>
      </c>
      <c r="L87" s="74">
        <v>0</v>
      </c>
      <c r="M87" s="74">
        <v>1</v>
      </c>
      <c r="N87" s="74">
        <v>0</v>
      </c>
      <c r="O87" s="74">
        <v>0</v>
      </c>
      <c r="P87" s="74">
        <v>0</v>
      </c>
      <c r="Q87" s="74">
        <v>0</v>
      </c>
      <c r="R87" s="74">
        <v>0</v>
      </c>
      <c r="S87" s="97" t="s">
        <v>134</v>
      </c>
      <c r="T87" s="10">
        <v>3</v>
      </c>
      <c r="U87" s="10">
        <v>0</v>
      </c>
      <c r="V87" s="10">
        <v>0</v>
      </c>
      <c r="W87" s="10">
        <v>0</v>
      </c>
      <c r="X87" s="74">
        <v>0</v>
      </c>
      <c r="Y87" s="74">
        <v>0</v>
      </c>
      <c r="Z87" s="74">
        <v>0</v>
      </c>
      <c r="AA87" s="74">
        <v>0</v>
      </c>
      <c r="AB87" s="74">
        <v>0</v>
      </c>
      <c r="AC87" s="74">
        <v>0</v>
      </c>
      <c r="AD87" s="74">
        <v>0</v>
      </c>
      <c r="AE87" s="74">
        <v>0</v>
      </c>
      <c r="AF87" s="74">
        <v>0</v>
      </c>
      <c r="AG87" s="90">
        <f t="shared" si="4"/>
        <v>6</v>
      </c>
      <c r="AH87" s="90">
        <f t="shared" si="5"/>
        <v>5</v>
      </c>
      <c r="AI87" s="90">
        <f t="shared" si="6"/>
        <v>1</v>
      </c>
    </row>
    <row r="88" spans="3:35" x14ac:dyDescent="0.35">
      <c r="C88" s="96">
        <v>46041</v>
      </c>
      <c r="D88" s="97">
        <v>18</v>
      </c>
      <c r="E88" s="97" t="s">
        <v>784</v>
      </c>
      <c r="F88" s="10">
        <v>0</v>
      </c>
      <c r="G88" s="10">
        <v>0</v>
      </c>
      <c r="H88" s="10">
        <v>0</v>
      </c>
      <c r="I88" s="10">
        <v>1</v>
      </c>
      <c r="J88" s="74">
        <v>0</v>
      </c>
      <c r="K88" s="74">
        <v>0</v>
      </c>
      <c r="L88" s="74">
        <v>0</v>
      </c>
      <c r="M88" s="74">
        <v>0</v>
      </c>
      <c r="N88" s="74">
        <v>0</v>
      </c>
      <c r="O88" s="74">
        <v>0</v>
      </c>
      <c r="P88" s="74">
        <v>0</v>
      </c>
      <c r="Q88" s="74">
        <v>0</v>
      </c>
      <c r="R88" s="74">
        <v>0</v>
      </c>
      <c r="S88" s="97" t="s">
        <v>751</v>
      </c>
      <c r="T88" s="10">
        <v>1</v>
      </c>
      <c r="U88" s="10">
        <v>0</v>
      </c>
      <c r="V88" s="10">
        <v>0</v>
      </c>
      <c r="W88" s="10">
        <v>0</v>
      </c>
      <c r="X88" s="74">
        <v>0</v>
      </c>
      <c r="Y88" s="74">
        <v>1</v>
      </c>
      <c r="Z88" s="74">
        <v>0</v>
      </c>
      <c r="AA88" s="74">
        <v>0</v>
      </c>
      <c r="AB88" s="74">
        <v>0</v>
      </c>
      <c r="AC88" s="74">
        <v>0</v>
      </c>
      <c r="AD88" s="74">
        <v>0</v>
      </c>
      <c r="AE88" s="74">
        <v>0</v>
      </c>
      <c r="AF88" s="74">
        <v>0</v>
      </c>
      <c r="AG88" s="90">
        <f t="shared" si="4"/>
        <v>3</v>
      </c>
      <c r="AH88" s="90">
        <f t="shared" si="5"/>
        <v>2</v>
      </c>
      <c r="AI88" s="90">
        <f t="shared" si="6"/>
        <v>1</v>
      </c>
    </row>
    <row r="89" spans="3:35" x14ac:dyDescent="0.35">
      <c r="C89" s="96">
        <v>46045</v>
      </c>
      <c r="D89" s="97">
        <v>18</v>
      </c>
      <c r="E89" s="97" t="s">
        <v>98</v>
      </c>
      <c r="F89" s="10">
        <v>4</v>
      </c>
      <c r="G89" s="10">
        <v>0</v>
      </c>
      <c r="H89" s="10">
        <v>0</v>
      </c>
      <c r="I89" s="10">
        <v>0</v>
      </c>
      <c r="J89" s="74">
        <v>0</v>
      </c>
      <c r="K89" s="74">
        <v>0</v>
      </c>
      <c r="L89" s="74">
        <v>0</v>
      </c>
      <c r="M89" s="74">
        <v>0</v>
      </c>
      <c r="N89" s="74">
        <v>0</v>
      </c>
      <c r="O89" s="74">
        <v>0</v>
      </c>
      <c r="P89" s="74">
        <v>0</v>
      </c>
      <c r="Q89" s="74">
        <v>0</v>
      </c>
      <c r="R89" s="74">
        <v>0</v>
      </c>
      <c r="S89" s="97" t="s">
        <v>605</v>
      </c>
      <c r="T89" s="10">
        <v>0</v>
      </c>
      <c r="U89" s="10">
        <v>1</v>
      </c>
      <c r="V89" s="10">
        <v>0</v>
      </c>
      <c r="W89" s="10">
        <v>0</v>
      </c>
      <c r="X89" s="74">
        <v>0</v>
      </c>
      <c r="Y89" s="74">
        <v>1</v>
      </c>
      <c r="Z89" s="74">
        <v>0</v>
      </c>
      <c r="AA89" s="74">
        <v>0</v>
      </c>
      <c r="AB89" s="74">
        <v>0</v>
      </c>
      <c r="AC89" s="74">
        <v>0</v>
      </c>
      <c r="AD89" s="74">
        <v>0</v>
      </c>
      <c r="AE89" s="74">
        <v>0</v>
      </c>
      <c r="AF89" s="74">
        <v>0</v>
      </c>
      <c r="AG89" s="90">
        <f t="shared" si="4"/>
        <v>6</v>
      </c>
      <c r="AH89" s="90">
        <f t="shared" si="5"/>
        <v>5</v>
      </c>
      <c r="AI89" s="90">
        <f t="shared" si="6"/>
        <v>1</v>
      </c>
    </row>
    <row r="90" spans="3:35" x14ac:dyDescent="0.35">
      <c r="C90" s="96">
        <v>46049</v>
      </c>
      <c r="D90" s="97">
        <v>18</v>
      </c>
      <c r="E90" s="97" t="s">
        <v>82</v>
      </c>
      <c r="F90" s="10">
        <v>3</v>
      </c>
      <c r="G90" s="10">
        <v>0</v>
      </c>
      <c r="H90" s="10">
        <v>1</v>
      </c>
      <c r="I90" s="10">
        <v>0</v>
      </c>
      <c r="J90" s="74">
        <v>0</v>
      </c>
      <c r="K90" s="74">
        <v>0</v>
      </c>
      <c r="L90" s="74">
        <v>0</v>
      </c>
      <c r="M90" s="74">
        <v>0</v>
      </c>
      <c r="N90" s="74">
        <v>0</v>
      </c>
      <c r="O90" s="74">
        <v>0</v>
      </c>
      <c r="P90" s="74">
        <v>0</v>
      </c>
      <c r="Q90" s="74">
        <v>0</v>
      </c>
      <c r="R90" s="74">
        <v>0</v>
      </c>
      <c r="S90" s="97" t="s">
        <v>276</v>
      </c>
      <c r="T90" s="10">
        <v>1</v>
      </c>
      <c r="U90" s="10">
        <v>0</v>
      </c>
      <c r="V90" s="10">
        <v>0</v>
      </c>
      <c r="W90" s="10">
        <v>1</v>
      </c>
      <c r="X90" s="74">
        <v>0</v>
      </c>
      <c r="Y90" s="74">
        <v>0</v>
      </c>
      <c r="Z90" s="74">
        <v>0</v>
      </c>
      <c r="AA90" s="74">
        <v>0</v>
      </c>
      <c r="AB90" s="74">
        <v>0</v>
      </c>
      <c r="AC90" s="74">
        <v>0</v>
      </c>
      <c r="AD90" s="74">
        <v>0</v>
      </c>
      <c r="AE90" s="74">
        <v>0</v>
      </c>
      <c r="AF90" s="74">
        <v>0</v>
      </c>
      <c r="AG90" s="90">
        <f t="shared" si="4"/>
        <v>6</v>
      </c>
      <c r="AH90" s="90">
        <f t="shared" si="5"/>
        <v>6</v>
      </c>
      <c r="AI90" s="90">
        <f t="shared" si="6"/>
        <v>0</v>
      </c>
    </row>
    <row r="91" spans="3:35" x14ac:dyDescent="0.35">
      <c r="C91" s="96">
        <v>46052</v>
      </c>
      <c r="D91" s="97">
        <v>18</v>
      </c>
      <c r="E91" s="97" t="s">
        <v>828</v>
      </c>
      <c r="F91" s="10">
        <v>2</v>
      </c>
      <c r="G91" s="10">
        <v>1</v>
      </c>
      <c r="H91" s="10">
        <v>0</v>
      </c>
      <c r="I91" s="10">
        <v>0</v>
      </c>
      <c r="J91" s="74">
        <v>0</v>
      </c>
      <c r="K91" s="74">
        <v>1</v>
      </c>
      <c r="L91" s="74">
        <v>0</v>
      </c>
      <c r="M91" s="74">
        <v>0</v>
      </c>
      <c r="N91" s="74">
        <v>0</v>
      </c>
      <c r="O91" s="74">
        <v>0</v>
      </c>
      <c r="P91" s="74">
        <v>0</v>
      </c>
      <c r="Q91" s="74">
        <v>0</v>
      </c>
      <c r="R91" s="74">
        <v>0</v>
      </c>
      <c r="S91" s="97" t="s">
        <v>186</v>
      </c>
      <c r="T91" s="10">
        <v>1</v>
      </c>
      <c r="U91" s="10">
        <v>0</v>
      </c>
      <c r="V91" s="10">
        <v>0</v>
      </c>
      <c r="W91" s="10">
        <v>0</v>
      </c>
      <c r="X91" s="74">
        <v>0</v>
      </c>
      <c r="Y91" s="74">
        <v>0</v>
      </c>
      <c r="Z91" s="74">
        <v>0</v>
      </c>
      <c r="AA91" s="74">
        <v>0</v>
      </c>
      <c r="AB91" s="74">
        <v>0</v>
      </c>
      <c r="AC91" s="74">
        <v>0</v>
      </c>
      <c r="AD91" s="74">
        <v>0</v>
      </c>
      <c r="AE91" s="74">
        <v>0</v>
      </c>
      <c r="AF91" s="74">
        <v>0</v>
      </c>
      <c r="AG91" s="90">
        <f t="shared" si="4"/>
        <v>5</v>
      </c>
      <c r="AH91" s="90">
        <f t="shared" si="5"/>
        <v>4</v>
      </c>
      <c r="AI91" s="90">
        <f t="shared" si="6"/>
        <v>1</v>
      </c>
    </row>
    <row r="92" spans="3:35" x14ac:dyDescent="0.35">
      <c r="C92" s="96">
        <v>46056</v>
      </c>
      <c r="D92" s="97">
        <v>18</v>
      </c>
      <c r="E92" s="97" t="s">
        <v>835</v>
      </c>
      <c r="F92" s="10">
        <v>1</v>
      </c>
      <c r="G92" s="10">
        <v>1</v>
      </c>
      <c r="H92" s="10">
        <v>0</v>
      </c>
      <c r="I92" s="10">
        <v>0</v>
      </c>
      <c r="J92" s="74">
        <v>0</v>
      </c>
      <c r="K92" s="74">
        <v>0</v>
      </c>
      <c r="L92" s="74">
        <v>0</v>
      </c>
      <c r="M92" s="74">
        <v>0</v>
      </c>
      <c r="N92" s="74">
        <v>0</v>
      </c>
      <c r="O92" s="74">
        <v>0</v>
      </c>
      <c r="P92" s="74">
        <v>0</v>
      </c>
      <c r="Q92" s="74">
        <v>0</v>
      </c>
      <c r="R92" s="74">
        <v>0</v>
      </c>
      <c r="S92" s="97" t="s">
        <v>407</v>
      </c>
      <c r="T92" s="10">
        <v>2</v>
      </c>
      <c r="U92" s="10">
        <v>0</v>
      </c>
      <c r="V92" s="10">
        <v>0</v>
      </c>
      <c r="W92" s="10">
        <v>0</v>
      </c>
      <c r="X92" s="74">
        <v>0</v>
      </c>
      <c r="Y92" s="74">
        <v>0</v>
      </c>
      <c r="Z92" s="74">
        <v>0</v>
      </c>
      <c r="AA92" s="74">
        <v>0</v>
      </c>
      <c r="AB92" s="74">
        <v>0</v>
      </c>
      <c r="AC92" s="74">
        <v>0</v>
      </c>
      <c r="AD92" s="74">
        <v>0</v>
      </c>
      <c r="AE92" s="74">
        <v>0</v>
      </c>
      <c r="AF92" s="74">
        <v>0</v>
      </c>
      <c r="AG92" s="90">
        <f t="shared" si="4"/>
        <v>4</v>
      </c>
      <c r="AH92" s="90">
        <f t="shared" si="5"/>
        <v>4</v>
      </c>
      <c r="AI92" s="90">
        <f t="shared" si="6"/>
        <v>0</v>
      </c>
    </row>
    <row r="93" spans="3:35" x14ac:dyDescent="0.35">
      <c r="C93" s="96">
        <v>46059</v>
      </c>
      <c r="D93" s="97">
        <v>18</v>
      </c>
      <c r="E93" s="97" t="s">
        <v>82</v>
      </c>
      <c r="F93" s="10">
        <v>3</v>
      </c>
      <c r="G93" s="10">
        <v>0</v>
      </c>
      <c r="H93" s="10">
        <v>1</v>
      </c>
      <c r="I93" s="10">
        <v>0</v>
      </c>
      <c r="J93" s="74">
        <v>0</v>
      </c>
      <c r="K93" s="74">
        <v>0</v>
      </c>
      <c r="L93" s="74">
        <v>0</v>
      </c>
      <c r="M93" s="74">
        <v>0</v>
      </c>
      <c r="N93" s="74">
        <v>0</v>
      </c>
      <c r="O93" s="74">
        <v>0</v>
      </c>
      <c r="P93" s="74">
        <v>0</v>
      </c>
      <c r="Q93" s="74">
        <v>0</v>
      </c>
      <c r="R93" s="74">
        <v>0</v>
      </c>
      <c r="S93" s="97" t="s">
        <v>186</v>
      </c>
      <c r="T93" s="10">
        <v>1</v>
      </c>
      <c r="U93" s="10">
        <v>0</v>
      </c>
      <c r="V93" s="10">
        <v>0</v>
      </c>
      <c r="W93" s="10">
        <v>0</v>
      </c>
      <c r="X93" s="74">
        <v>0</v>
      </c>
      <c r="Y93" s="74">
        <v>0</v>
      </c>
      <c r="Z93" s="74">
        <v>0</v>
      </c>
      <c r="AA93" s="74">
        <v>0</v>
      </c>
      <c r="AB93" s="74">
        <v>0</v>
      </c>
      <c r="AC93" s="74">
        <v>0</v>
      </c>
      <c r="AD93" s="74">
        <v>0</v>
      </c>
      <c r="AE93" s="74">
        <v>0</v>
      </c>
      <c r="AF93" s="74">
        <v>0</v>
      </c>
      <c r="AG93" s="90">
        <f t="shared" si="4"/>
        <v>5</v>
      </c>
      <c r="AH93" s="90">
        <f t="shared" si="5"/>
        <v>5</v>
      </c>
      <c r="AI93" s="90">
        <f t="shared" si="6"/>
        <v>0</v>
      </c>
    </row>
    <row r="94" spans="3:35" x14ac:dyDescent="0.35">
      <c r="C94" s="96">
        <v>46062</v>
      </c>
      <c r="D94" s="97">
        <v>18</v>
      </c>
      <c r="E94" s="97" t="s">
        <v>861</v>
      </c>
      <c r="F94" s="10">
        <v>0</v>
      </c>
      <c r="G94" s="10">
        <v>2</v>
      </c>
      <c r="H94" s="10">
        <v>0</v>
      </c>
      <c r="I94" s="10">
        <v>1</v>
      </c>
      <c r="J94" s="74">
        <v>1</v>
      </c>
      <c r="K94" s="74">
        <v>0</v>
      </c>
      <c r="L94" s="74">
        <v>0</v>
      </c>
      <c r="M94" s="74">
        <v>0</v>
      </c>
      <c r="N94" s="74">
        <v>0</v>
      </c>
      <c r="O94" s="74">
        <v>0</v>
      </c>
      <c r="P94" s="74">
        <v>0</v>
      </c>
      <c r="Q94" s="74">
        <v>0</v>
      </c>
      <c r="R94" s="74">
        <v>0</v>
      </c>
      <c r="S94" s="97" t="s">
        <v>690</v>
      </c>
      <c r="T94" s="10">
        <v>2</v>
      </c>
      <c r="U94" s="10">
        <v>0</v>
      </c>
      <c r="V94" s="10">
        <v>0</v>
      </c>
      <c r="W94" s="10">
        <v>1</v>
      </c>
      <c r="X94" s="74">
        <v>0</v>
      </c>
      <c r="Y94" s="74">
        <v>0</v>
      </c>
      <c r="Z94" s="74">
        <v>0</v>
      </c>
      <c r="AA94" s="74">
        <v>0</v>
      </c>
      <c r="AB94" s="74">
        <v>0</v>
      </c>
      <c r="AC94" s="74">
        <v>0</v>
      </c>
      <c r="AD94" s="74">
        <v>0</v>
      </c>
      <c r="AE94" s="74">
        <v>0</v>
      </c>
      <c r="AF94" s="74">
        <v>0</v>
      </c>
      <c r="AG94" s="90">
        <f t="shared" si="4"/>
        <v>7</v>
      </c>
      <c r="AH94" s="90">
        <f t="shared" si="5"/>
        <v>6</v>
      </c>
      <c r="AI94" s="90">
        <f t="shared" si="6"/>
        <v>1</v>
      </c>
    </row>
    <row r="95" spans="3:35" x14ac:dyDescent="0.35">
      <c r="C95" s="96">
        <v>46066</v>
      </c>
      <c r="D95" s="97">
        <v>18</v>
      </c>
      <c r="E95" s="97" t="s">
        <v>487</v>
      </c>
      <c r="F95" s="10">
        <v>1</v>
      </c>
      <c r="G95" s="10">
        <v>0</v>
      </c>
      <c r="H95" s="10">
        <v>0</v>
      </c>
      <c r="I95" s="10">
        <v>0</v>
      </c>
      <c r="J95" s="74">
        <v>1</v>
      </c>
      <c r="K95" s="74">
        <v>0</v>
      </c>
      <c r="L95" s="74">
        <v>0</v>
      </c>
      <c r="M95" s="74">
        <v>0</v>
      </c>
      <c r="N95" s="74">
        <v>0</v>
      </c>
      <c r="O95" s="74">
        <v>0</v>
      </c>
      <c r="P95" s="74">
        <v>0</v>
      </c>
      <c r="Q95" s="74">
        <v>0</v>
      </c>
      <c r="R95" s="74">
        <v>0</v>
      </c>
      <c r="S95" s="97" t="s">
        <v>741</v>
      </c>
      <c r="T95" s="10">
        <v>3</v>
      </c>
      <c r="U95" s="10">
        <v>1</v>
      </c>
      <c r="V95" s="10">
        <v>0</v>
      </c>
      <c r="W95" s="10">
        <v>0</v>
      </c>
      <c r="X95" s="74">
        <v>0</v>
      </c>
      <c r="Y95" s="74">
        <v>0</v>
      </c>
      <c r="Z95" s="74">
        <v>0</v>
      </c>
      <c r="AA95" s="74">
        <v>1</v>
      </c>
      <c r="AB95" s="74">
        <v>0</v>
      </c>
      <c r="AC95" s="74">
        <v>0</v>
      </c>
      <c r="AD95" s="74">
        <v>0</v>
      </c>
      <c r="AE95" s="74">
        <v>0</v>
      </c>
      <c r="AF95" s="74">
        <v>0</v>
      </c>
      <c r="AG95" s="90">
        <f t="shared" si="4"/>
        <v>7</v>
      </c>
      <c r="AH95" s="90">
        <f t="shared" si="5"/>
        <v>5</v>
      </c>
      <c r="AI95" s="90">
        <f t="shared" si="6"/>
        <v>2</v>
      </c>
    </row>
    <row r="96" spans="3:35" x14ac:dyDescent="0.35">
      <c r="C96" s="96">
        <v>46070</v>
      </c>
      <c r="D96" s="97">
        <v>18</v>
      </c>
      <c r="E96" s="97" t="s">
        <v>773</v>
      </c>
      <c r="F96" s="10">
        <v>0</v>
      </c>
      <c r="G96" s="10">
        <v>1</v>
      </c>
      <c r="H96" s="10">
        <v>0</v>
      </c>
      <c r="I96" s="10">
        <v>1</v>
      </c>
      <c r="J96" s="74">
        <v>0</v>
      </c>
      <c r="K96" s="74">
        <v>0</v>
      </c>
      <c r="L96" s="74">
        <v>0</v>
      </c>
      <c r="M96" s="74">
        <v>0</v>
      </c>
      <c r="N96" s="74">
        <v>0</v>
      </c>
      <c r="O96" s="74">
        <v>0</v>
      </c>
      <c r="P96" s="74">
        <v>0</v>
      </c>
      <c r="Q96" s="74">
        <v>0</v>
      </c>
      <c r="R96" s="74">
        <v>0</v>
      </c>
      <c r="S96" s="97" t="s">
        <v>647</v>
      </c>
      <c r="T96" s="10">
        <v>0</v>
      </c>
      <c r="U96" s="10">
        <v>0</v>
      </c>
      <c r="V96" s="10">
        <v>0</v>
      </c>
      <c r="W96" s="10">
        <v>0</v>
      </c>
      <c r="X96" s="74">
        <v>0</v>
      </c>
      <c r="Y96" s="74">
        <v>0</v>
      </c>
      <c r="Z96" s="74">
        <v>0</v>
      </c>
      <c r="AA96" s="74">
        <v>0</v>
      </c>
      <c r="AB96" s="74">
        <v>0</v>
      </c>
      <c r="AC96" s="74">
        <v>0</v>
      </c>
      <c r="AD96" s="74">
        <v>0</v>
      </c>
      <c r="AE96" s="74">
        <v>0</v>
      </c>
      <c r="AF96" s="74">
        <v>0</v>
      </c>
      <c r="AG96" s="90">
        <f t="shared" si="4"/>
        <v>2</v>
      </c>
      <c r="AH96" s="90">
        <f t="shared" si="5"/>
        <v>2</v>
      </c>
      <c r="AI96" s="90">
        <f t="shared" si="6"/>
        <v>0</v>
      </c>
    </row>
    <row r="97" spans="1:35" ht="29" x14ac:dyDescent="0.35">
      <c r="C97" s="96">
        <v>46074</v>
      </c>
      <c r="D97" s="97">
        <v>18</v>
      </c>
      <c r="E97" s="99" t="s">
        <v>921</v>
      </c>
      <c r="F97" s="10">
        <v>2</v>
      </c>
      <c r="G97" s="10">
        <v>2</v>
      </c>
      <c r="H97" s="10">
        <v>0</v>
      </c>
      <c r="I97" s="10">
        <v>0</v>
      </c>
      <c r="J97" s="74">
        <v>0</v>
      </c>
      <c r="K97" s="74">
        <v>1</v>
      </c>
      <c r="L97" s="74">
        <v>0</v>
      </c>
      <c r="M97" s="74">
        <v>0</v>
      </c>
      <c r="N97" s="74">
        <v>0</v>
      </c>
      <c r="O97" s="74">
        <v>1</v>
      </c>
      <c r="P97" s="74">
        <v>0</v>
      </c>
      <c r="Q97" s="74">
        <v>0</v>
      </c>
      <c r="R97" s="74">
        <v>0</v>
      </c>
      <c r="S97" s="99" t="s">
        <v>935</v>
      </c>
      <c r="T97" s="10">
        <v>0</v>
      </c>
      <c r="U97" s="10">
        <v>3</v>
      </c>
      <c r="V97" s="10">
        <v>0</v>
      </c>
      <c r="W97" s="10">
        <v>2</v>
      </c>
      <c r="X97" s="74">
        <v>0</v>
      </c>
      <c r="Y97" s="74">
        <v>0</v>
      </c>
      <c r="Z97" s="74">
        <v>0</v>
      </c>
      <c r="AA97" s="74">
        <v>2</v>
      </c>
      <c r="AB97" s="74">
        <v>0</v>
      </c>
      <c r="AC97" s="74">
        <v>0</v>
      </c>
      <c r="AD97" s="74">
        <v>0</v>
      </c>
      <c r="AE97" s="74">
        <v>0</v>
      </c>
      <c r="AF97" s="74">
        <v>0</v>
      </c>
      <c r="AG97" s="90">
        <f t="shared" si="4"/>
        <v>13</v>
      </c>
      <c r="AH97" s="90">
        <f t="shared" si="5"/>
        <v>9</v>
      </c>
      <c r="AI97" s="90">
        <f t="shared" si="6"/>
        <v>4</v>
      </c>
    </row>
    <row r="98" spans="1:35" x14ac:dyDescent="0.35">
      <c r="C98" s="96">
        <v>46077</v>
      </c>
      <c r="D98" s="97">
        <v>18</v>
      </c>
      <c r="E98" s="97" t="s">
        <v>828</v>
      </c>
      <c r="F98" s="10">
        <v>2</v>
      </c>
      <c r="G98" s="10">
        <v>1</v>
      </c>
      <c r="H98" s="10">
        <v>0</v>
      </c>
      <c r="I98" s="10">
        <v>0</v>
      </c>
      <c r="J98" s="74">
        <v>0</v>
      </c>
      <c r="K98" s="74">
        <v>1</v>
      </c>
      <c r="L98" s="74">
        <v>0</v>
      </c>
      <c r="M98" s="74">
        <v>0</v>
      </c>
      <c r="N98" s="74">
        <v>0</v>
      </c>
      <c r="O98" s="74">
        <v>0</v>
      </c>
      <c r="P98" s="74">
        <v>0</v>
      </c>
      <c r="Q98" s="74">
        <v>0</v>
      </c>
      <c r="R98" s="74">
        <v>0</v>
      </c>
      <c r="S98" s="97" t="s">
        <v>939</v>
      </c>
      <c r="T98" s="10">
        <v>0</v>
      </c>
      <c r="U98" s="10">
        <v>0</v>
      </c>
      <c r="V98" s="10">
        <v>0</v>
      </c>
      <c r="W98" s="10">
        <v>0</v>
      </c>
      <c r="X98" s="74">
        <v>0</v>
      </c>
      <c r="Y98" s="74">
        <v>0</v>
      </c>
      <c r="Z98" s="74">
        <v>0</v>
      </c>
      <c r="AA98" s="74">
        <v>0</v>
      </c>
      <c r="AB98" s="74">
        <v>0</v>
      </c>
      <c r="AC98" s="74">
        <v>0</v>
      </c>
      <c r="AD98" s="74">
        <v>0</v>
      </c>
      <c r="AE98" s="74">
        <v>0</v>
      </c>
      <c r="AF98" s="74">
        <v>0</v>
      </c>
      <c r="AG98" s="90">
        <f t="shared" si="4"/>
        <v>4</v>
      </c>
      <c r="AH98" s="90">
        <f t="shared" si="5"/>
        <v>3</v>
      </c>
      <c r="AI98" s="90">
        <f t="shared" si="6"/>
        <v>1</v>
      </c>
    </row>
    <row r="99" spans="1:35" x14ac:dyDescent="0.35">
      <c r="C99" s="96">
        <v>46080</v>
      </c>
      <c r="D99" s="97">
        <v>18</v>
      </c>
      <c r="E99" s="97" t="s">
        <v>131</v>
      </c>
      <c r="F99" s="10">
        <v>3</v>
      </c>
      <c r="G99" s="10">
        <v>1</v>
      </c>
      <c r="H99" s="10">
        <v>0</v>
      </c>
      <c r="I99" s="10">
        <v>0</v>
      </c>
      <c r="J99" s="74">
        <v>0</v>
      </c>
      <c r="K99" s="74">
        <v>0</v>
      </c>
      <c r="L99" s="74">
        <v>0</v>
      </c>
      <c r="M99" s="74">
        <v>0</v>
      </c>
      <c r="N99" s="74">
        <v>0</v>
      </c>
      <c r="O99" s="74">
        <v>0</v>
      </c>
      <c r="P99" s="74">
        <v>0</v>
      </c>
      <c r="Q99" s="74">
        <v>0</v>
      </c>
      <c r="R99" s="74">
        <v>0</v>
      </c>
      <c r="S99" s="97" t="s">
        <v>828</v>
      </c>
      <c r="T99" s="10">
        <v>2</v>
      </c>
      <c r="U99" s="10">
        <v>1</v>
      </c>
      <c r="V99" s="10">
        <v>0</v>
      </c>
      <c r="W99" s="10">
        <v>0</v>
      </c>
      <c r="X99" s="74">
        <v>0</v>
      </c>
      <c r="Y99" s="74">
        <v>1</v>
      </c>
      <c r="Z99" s="74">
        <v>0</v>
      </c>
      <c r="AA99" s="74">
        <v>0</v>
      </c>
      <c r="AB99" s="74">
        <v>0</v>
      </c>
      <c r="AC99" s="74">
        <v>0</v>
      </c>
      <c r="AD99" s="74">
        <v>0</v>
      </c>
      <c r="AE99" s="74">
        <v>0</v>
      </c>
      <c r="AF99" s="74">
        <v>0</v>
      </c>
      <c r="AG99" s="90">
        <f t="shared" si="4"/>
        <v>8</v>
      </c>
      <c r="AH99" s="90">
        <f t="shared" si="5"/>
        <v>7</v>
      </c>
      <c r="AI99" s="90">
        <f t="shared" si="6"/>
        <v>1</v>
      </c>
    </row>
    <row r="100" spans="1:35" x14ac:dyDescent="0.35">
      <c r="C100" s="96">
        <v>46084</v>
      </c>
      <c r="D100" s="97">
        <v>18</v>
      </c>
      <c r="E100" s="97" t="s">
        <v>250</v>
      </c>
      <c r="F100" s="10">
        <v>1</v>
      </c>
      <c r="G100" s="10">
        <v>2</v>
      </c>
      <c r="H100" s="10">
        <v>0</v>
      </c>
      <c r="I100" s="10">
        <v>0</v>
      </c>
      <c r="J100" s="74">
        <v>0</v>
      </c>
      <c r="K100" s="74">
        <v>0</v>
      </c>
      <c r="L100" s="74">
        <v>0</v>
      </c>
      <c r="M100" s="74">
        <v>0</v>
      </c>
      <c r="N100" s="74">
        <v>0</v>
      </c>
      <c r="O100" s="74">
        <v>0</v>
      </c>
      <c r="P100" s="74">
        <v>0</v>
      </c>
      <c r="Q100" s="74">
        <v>0</v>
      </c>
      <c r="R100" s="74">
        <v>0</v>
      </c>
      <c r="S100" s="97" t="s">
        <v>991</v>
      </c>
      <c r="T100" s="10">
        <v>3</v>
      </c>
      <c r="U100" s="10">
        <v>1</v>
      </c>
      <c r="V100" s="10">
        <v>0</v>
      </c>
      <c r="W100" s="10">
        <v>0</v>
      </c>
      <c r="X100" s="74">
        <v>0</v>
      </c>
      <c r="Y100" s="74">
        <v>0</v>
      </c>
      <c r="Z100" s="74">
        <v>0</v>
      </c>
      <c r="AA100" s="74">
        <v>2</v>
      </c>
      <c r="AB100" s="74">
        <v>0</v>
      </c>
      <c r="AC100" s="74">
        <v>0</v>
      </c>
      <c r="AD100" s="74">
        <v>0</v>
      </c>
      <c r="AE100" s="74">
        <v>0</v>
      </c>
      <c r="AF100" s="74">
        <v>0</v>
      </c>
      <c r="AG100" s="90">
        <f t="shared" si="4"/>
        <v>9</v>
      </c>
      <c r="AH100" s="90">
        <f t="shared" si="5"/>
        <v>7</v>
      </c>
      <c r="AI100" s="90">
        <f t="shared" si="6"/>
        <v>2</v>
      </c>
    </row>
    <row r="101" spans="1:35" x14ac:dyDescent="0.35">
      <c r="C101" s="96">
        <v>46088</v>
      </c>
      <c r="D101" s="97">
        <v>18</v>
      </c>
      <c r="E101" s="97" t="s">
        <v>129</v>
      </c>
      <c r="F101" s="10">
        <v>1</v>
      </c>
      <c r="G101" s="10">
        <v>1</v>
      </c>
      <c r="H101" s="10">
        <v>0</v>
      </c>
      <c r="I101" s="10">
        <v>1</v>
      </c>
      <c r="J101" s="74">
        <v>0</v>
      </c>
      <c r="K101" s="74">
        <v>0</v>
      </c>
      <c r="L101" s="74">
        <v>0</v>
      </c>
      <c r="M101" s="74">
        <v>0</v>
      </c>
      <c r="N101" s="74">
        <v>0</v>
      </c>
      <c r="O101" s="74">
        <v>0</v>
      </c>
      <c r="P101" s="74">
        <v>0</v>
      </c>
      <c r="Q101" s="74">
        <v>0</v>
      </c>
      <c r="R101" s="74">
        <v>0</v>
      </c>
      <c r="S101" s="97" t="s">
        <v>1021</v>
      </c>
      <c r="T101" s="10">
        <v>2</v>
      </c>
      <c r="U101" s="10">
        <v>0</v>
      </c>
      <c r="V101" s="10">
        <v>0</v>
      </c>
      <c r="W101" s="10">
        <v>2</v>
      </c>
      <c r="X101" s="74">
        <v>0</v>
      </c>
      <c r="Y101" s="74">
        <v>1</v>
      </c>
      <c r="Z101" s="74">
        <v>0</v>
      </c>
      <c r="AA101" s="74">
        <v>0</v>
      </c>
      <c r="AB101" s="74">
        <v>0</v>
      </c>
      <c r="AC101" s="74">
        <v>0</v>
      </c>
      <c r="AD101" s="74">
        <v>0</v>
      </c>
      <c r="AE101" s="74">
        <v>0</v>
      </c>
      <c r="AF101" s="74">
        <v>0</v>
      </c>
      <c r="AG101" s="90">
        <f t="shared" si="4"/>
        <v>8</v>
      </c>
      <c r="AH101" s="90">
        <f t="shared" si="5"/>
        <v>7</v>
      </c>
      <c r="AI101" s="90">
        <f t="shared" si="6"/>
        <v>1</v>
      </c>
    </row>
    <row r="102" spans="1:35" x14ac:dyDescent="0.35">
      <c r="C102" s="96">
        <v>46091</v>
      </c>
      <c r="D102" s="97">
        <v>18</v>
      </c>
      <c r="E102" s="97" t="s">
        <v>1064</v>
      </c>
      <c r="F102" s="10">
        <v>1</v>
      </c>
      <c r="G102" s="10">
        <v>0</v>
      </c>
      <c r="H102" s="10">
        <v>0</v>
      </c>
      <c r="I102" s="10">
        <v>0</v>
      </c>
      <c r="J102" s="74">
        <v>0</v>
      </c>
      <c r="K102" s="74">
        <v>0</v>
      </c>
      <c r="L102" s="74">
        <v>1</v>
      </c>
      <c r="M102" s="74">
        <v>0</v>
      </c>
      <c r="N102" s="74">
        <v>0</v>
      </c>
      <c r="O102" s="74">
        <v>0</v>
      </c>
      <c r="P102" s="74">
        <v>0</v>
      </c>
      <c r="Q102" s="74">
        <v>0</v>
      </c>
      <c r="R102" s="74">
        <v>0</v>
      </c>
      <c r="S102" s="97" t="s">
        <v>1063</v>
      </c>
      <c r="T102" s="10">
        <v>2</v>
      </c>
      <c r="U102" s="10">
        <v>4</v>
      </c>
      <c r="V102" s="10">
        <v>0</v>
      </c>
      <c r="W102" s="10">
        <v>0</v>
      </c>
      <c r="X102" s="74">
        <v>0</v>
      </c>
      <c r="Y102" s="74">
        <v>0</v>
      </c>
      <c r="Z102" s="74">
        <v>0</v>
      </c>
      <c r="AA102" s="74">
        <v>0</v>
      </c>
      <c r="AB102" s="74">
        <v>0</v>
      </c>
      <c r="AC102" s="74">
        <v>0</v>
      </c>
      <c r="AD102" s="74">
        <v>0</v>
      </c>
      <c r="AE102" s="74">
        <v>0</v>
      </c>
      <c r="AF102" s="74">
        <v>0</v>
      </c>
      <c r="AG102" s="90">
        <f t="shared" si="4"/>
        <v>8</v>
      </c>
      <c r="AH102" s="90">
        <f t="shared" si="5"/>
        <v>7</v>
      </c>
      <c r="AI102" s="90">
        <f t="shared" si="6"/>
        <v>1</v>
      </c>
    </row>
    <row r="103" spans="1:35" x14ac:dyDescent="0.35">
      <c r="C103" s="96">
        <v>46098</v>
      </c>
      <c r="D103" s="97">
        <v>18</v>
      </c>
      <c r="E103" s="97" t="s">
        <v>1090</v>
      </c>
      <c r="F103" s="10">
        <v>3</v>
      </c>
      <c r="G103" s="10">
        <v>3</v>
      </c>
      <c r="H103" s="10">
        <v>0</v>
      </c>
      <c r="I103" s="10">
        <v>0</v>
      </c>
      <c r="J103" s="74">
        <v>0</v>
      </c>
      <c r="K103" s="74">
        <v>0</v>
      </c>
      <c r="L103" s="74">
        <v>0</v>
      </c>
      <c r="M103" s="74">
        <v>1</v>
      </c>
      <c r="N103" s="74">
        <v>0</v>
      </c>
      <c r="O103" s="74">
        <v>0</v>
      </c>
      <c r="P103" s="74">
        <v>0</v>
      </c>
      <c r="Q103" s="74">
        <v>0</v>
      </c>
      <c r="R103" s="74">
        <v>0</v>
      </c>
      <c r="S103" s="97" t="s">
        <v>218</v>
      </c>
      <c r="T103" s="10">
        <v>2</v>
      </c>
      <c r="U103" s="10">
        <v>0</v>
      </c>
      <c r="V103" s="10">
        <v>0</v>
      </c>
      <c r="W103" s="10">
        <v>0</v>
      </c>
      <c r="X103" s="74">
        <v>0</v>
      </c>
      <c r="Y103" s="74">
        <v>1</v>
      </c>
      <c r="Z103" s="74">
        <v>0</v>
      </c>
      <c r="AA103" s="74">
        <v>0</v>
      </c>
      <c r="AB103" s="74">
        <v>0</v>
      </c>
      <c r="AC103" s="74">
        <v>0</v>
      </c>
      <c r="AD103" s="74">
        <v>0</v>
      </c>
      <c r="AE103" s="74">
        <v>0</v>
      </c>
      <c r="AF103" s="74">
        <v>0</v>
      </c>
      <c r="AG103" s="90">
        <f t="shared" si="4"/>
        <v>10</v>
      </c>
      <c r="AH103" s="90">
        <f t="shared" si="5"/>
        <v>8</v>
      </c>
      <c r="AI103" s="90">
        <f t="shared" si="6"/>
        <v>2</v>
      </c>
    </row>
    <row r="104" spans="1:35" x14ac:dyDescent="0.35">
      <c r="C104" s="96">
        <v>46105</v>
      </c>
      <c r="D104" s="97">
        <v>18</v>
      </c>
      <c r="E104" s="97" t="s">
        <v>974</v>
      </c>
      <c r="F104" s="10">
        <v>3</v>
      </c>
      <c r="G104" s="10">
        <v>1</v>
      </c>
      <c r="H104" s="10">
        <v>0</v>
      </c>
      <c r="I104" s="10">
        <v>0</v>
      </c>
      <c r="J104" s="74">
        <v>0</v>
      </c>
      <c r="K104" s="74">
        <v>1</v>
      </c>
      <c r="L104" s="74">
        <v>0</v>
      </c>
      <c r="M104" s="74">
        <v>1</v>
      </c>
      <c r="N104" s="74">
        <v>0</v>
      </c>
      <c r="O104" s="74">
        <v>0</v>
      </c>
      <c r="P104" s="74">
        <v>0</v>
      </c>
      <c r="Q104" s="74">
        <v>0</v>
      </c>
      <c r="R104" s="74">
        <v>0</v>
      </c>
      <c r="S104" s="97" t="s">
        <v>267</v>
      </c>
      <c r="T104" s="10">
        <v>3</v>
      </c>
      <c r="U104" s="10">
        <v>0</v>
      </c>
      <c r="V104" s="10">
        <v>0</v>
      </c>
      <c r="W104" s="10">
        <v>0</v>
      </c>
      <c r="X104" s="74">
        <v>0</v>
      </c>
      <c r="Y104" s="74">
        <v>0</v>
      </c>
      <c r="Z104" s="74">
        <v>0</v>
      </c>
      <c r="AA104" s="74">
        <v>1</v>
      </c>
      <c r="AB104" s="74">
        <v>0</v>
      </c>
      <c r="AC104" s="74">
        <v>0</v>
      </c>
      <c r="AD104" s="74">
        <v>0</v>
      </c>
      <c r="AE104" s="74">
        <v>0</v>
      </c>
      <c r="AF104" s="74">
        <v>0</v>
      </c>
      <c r="AG104" s="90">
        <f t="shared" si="4"/>
        <v>10</v>
      </c>
      <c r="AH104" s="90">
        <f t="shared" si="5"/>
        <v>7</v>
      </c>
      <c r="AI104" s="90">
        <f t="shared" si="6"/>
        <v>3</v>
      </c>
    </row>
    <row r="105" spans="1:35" ht="29" x14ac:dyDescent="0.35">
      <c r="C105" s="96">
        <v>46112</v>
      </c>
      <c r="D105" s="97">
        <v>18</v>
      </c>
      <c r="E105" s="99" t="s">
        <v>1167</v>
      </c>
      <c r="F105" s="10">
        <v>0</v>
      </c>
      <c r="G105" s="10">
        <v>0</v>
      </c>
      <c r="H105" s="10">
        <v>0</v>
      </c>
      <c r="I105" s="10">
        <v>1</v>
      </c>
      <c r="J105" s="74">
        <v>2</v>
      </c>
      <c r="K105" s="74">
        <v>1</v>
      </c>
      <c r="L105" s="74">
        <v>0</v>
      </c>
      <c r="M105" s="74">
        <v>1</v>
      </c>
      <c r="N105" s="74">
        <v>0</v>
      </c>
      <c r="O105" s="74">
        <v>1</v>
      </c>
      <c r="P105" s="74">
        <v>0</v>
      </c>
      <c r="Q105" s="74">
        <v>0</v>
      </c>
      <c r="R105" s="74">
        <v>0</v>
      </c>
      <c r="S105" s="97" t="s">
        <v>1168</v>
      </c>
      <c r="T105" s="10">
        <v>1</v>
      </c>
      <c r="U105" s="10">
        <v>3</v>
      </c>
      <c r="V105" s="10">
        <v>0</v>
      </c>
      <c r="W105" s="10">
        <v>0</v>
      </c>
      <c r="X105" s="74">
        <v>0</v>
      </c>
      <c r="Y105" s="74">
        <v>2</v>
      </c>
      <c r="Z105" s="74">
        <v>0</v>
      </c>
      <c r="AA105" s="74">
        <v>0</v>
      </c>
      <c r="AB105" s="74">
        <v>0</v>
      </c>
      <c r="AC105" s="74">
        <v>0</v>
      </c>
      <c r="AD105" s="74">
        <v>0</v>
      </c>
      <c r="AE105" s="74">
        <v>0</v>
      </c>
      <c r="AF105" s="74">
        <v>0</v>
      </c>
      <c r="AG105" s="90">
        <f t="shared" si="4"/>
        <v>12</v>
      </c>
      <c r="AH105" s="90">
        <f t="shared" si="5"/>
        <v>5</v>
      </c>
      <c r="AI105" s="90">
        <f t="shared" si="6"/>
        <v>7</v>
      </c>
    </row>
    <row r="107" spans="1:35" x14ac:dyDescent="0.35">
      <c r="A107" s="93">
        <v>6</v>
      </c>
      <c r="B107" s="137" t="s">
        <v>656</v>
      </c>
      <c r="C107" s="96">
        <v>46007</v>
      </c>
      <c r="D107" s="97">
        <v>9</v>
      </c>
      <c r="E107" s="97" t="s">
        <v>124</v>
      </c>
      <c r="F107" s="10">
        <v>4</v>
      </c>
      <c r="G107" s="10">
        <v>1</v>
      </c>
      <c r="H107" s="10">
        <v>0</v>
      </c>
      <c r="I107" s="10">
        <v>0</v>
      </c>
      <c r="J107" s="74">
        <v>0</v>
      </c>
      <c r="K107" s="74">
        <v>0</v>
      </c>
      <c r="L107" s="74">
        <v>0</v>
      </c>
      <c r="M107" s="74">
        <v>0</v>
      </c>
      <c r="N107" s="74">
        <v>0</v>
      </c>
      <c r="O107" s="74">
        <v>0</v>
      </c>
      <c r="P107" s="74">
        <v>0</v>
      </c>
      <c r="Q107" s="74">
        <v>0</v>
      </c>
      <c r="R107" s="74">
        <v>0</v>
      </c>
      <c r="S107" s="97" t="s">
        <v>647</v>
      </c>
      <c r="T107" s="10">
        <v>0</v>
      </c>
      <c r="U107" s="10">
        <v>0</v>
      </c>
      <c r="V107" s="10">
        <v>0</v>
      </c>
      <c r="W107" s="10">
        <v>0</v>
      </c>
      <c r="X107" s="74">
        <v>0</v>
      </c>
      <c r="Y107" s="74">
        <v>0</v>
      </c>
      <c r="Z107" s="74">
        <v>0</v>
      </c>
      <c r="AA107" s="74">
        <v>0</v>
      </c>
      <c r="AB107" s="74">
        <v>0</v>
      </c>
      <c r="AC107" s="74">
        <v>0</v>
      </c>
      <c r="AD107" s="74">
        <v>0</v>
      </c>
      <c r="AE107" s="74">
        <v>0</v>
      </c>
      <c r="AF107" s="74">
        <v>0</v>
      </c>
      <c r="AG107" s="90">
        <f t="shared" si="4"/>
        <v>5</v>
      </c>
      <c r="AH107" s="90">
        <f t="shared" si="5"/>
        <v>5</v>
      </c>
      <c r="AI107" s="90">
        <f t="shared" si="6"/>
        <v>0</v>
      </c>
    </row>
    <row r="108" spans="1:35" x14ac:dyDescent="0.35">
      <c r="C108" s="96">
        <v>46010</v>
      </c>
      <c r="D108" s="97">
        <v>9</v>
      </c>
      <c r="E108" s="97" t="s">
        <v>55</v>
      </c>
      <c r="F108" s="10">
        <v>0</v>
      </c>
      <c r="G108" s="10">
        <v>0</v>
      </c>
      <c r="H108" s="10">
        <v>0</v>
      </c>
      <c r="I108" s="10">
        <v>0</v>
      </c>
      <c r="J108" s="74">
        <v>0</v>
      </c>
      <c r="K108" s="74">
        <v>0</v>
      </c>
      <c r="L108" s="74">
        <v>0</v>
      </c>
      <c r="M108" s="74">
        <v>0</v>
      </c>
      <c r="N108" s="74">
        <v>0</v>
      </c>
      <c r="O108" s="74">
        <v>0</v>
      </c>
      <c r="P108" s="74">
        <v>0</v>
      </c>
      <c r="Q108" s="74">
        <v>0</v>
      </c>
      <c r="R108" s="74">
        <v>0</v>
      </c>
      <c r="S108" s="97" t="s">
        <v>360</v>
      </c>
      <c r="T108" s="10">
        <v>20</v>
      </c>
      <c r="U108" s="10">
        <v>0</v>
      </c>
      <c r="V108" s="10">
        <v>0</v>
      </c>
      <c r="W108" s="10">
        <v>0</v>
      </c>
      <c r="X108" s="74">
        <v>0</v>
      </c>
      <c r="Y108" s="74">
        <v>0</v>
      </c>
      <c r="Z108" s="74">
        <v>0</v>
      </c>
      <c r="AA108" s="74">
        <v>0</v>
      </c>
      <c r="AB108" s="74">
        <v>0</v>
      </c>
      <c r="AC108" s="74">
        <v>0</v>
      </c>
      <c r="AD108" s="74">
        <v>0</v>
      </c>
      <c r="AE108" s="74">
        <v>0</v>
      </c>
      <c r="AF108" s="74">
        <v>0</v>
      </c>
      <c r="AG108" s="90">
        <f t="shared" si="4"/>
        <v>20</v>
      </c>
      <c r="AH108" s="90">
        <f t="shared" si="5"/>
        <v>20</v>
      </c>
      <c r="AI108" s="90">
        <f t="shared" si="6"/>
        <v>0</v>
      </c>
    </row>
    <row r="109" spans="1:35" x14ac:dyDescent="0.35">
      <c r="C109" s="96">
        <v>46013</v>
      </c>
      <c r="D109" s="97">
        <v>9</v>
      </c>
      <c r="E109" s="97" t="s">
        <v>55</v>
      </c>
      <c r="F109" s="10">
        <v>0</v>
      </c>
      <c r="G109" s="10">
        <v>0</v>
      </c>
      <c r="H109" s="10">
        <v>0</v>
      </c>
      <c r="I109" s="10">
        <v>0</v>
      </c>
      <c r="J109" s="74">
        <v>0</v>
      </c>
      <c r="K109" s="74">
        <v>0</v>
      </c>
      <c r="L109" s="74">
        <v>0</v>
      </c>
      <c r="M109" s="74">
        <v>0</v>
      </c>
      <c r="N109" s="74">
        <v>0</v>
      </c>
      <c r="O109" s="74">
        <v>0</v>
      </c>
      <c r="P109" s="74">
        <v>0</v>
      </c>
      <c r="Q109" s="74">
        <v>0</v>
      </c>
      <c r="R109" s="74">
        <v>0</v>
      </c>
      <c r="S109" s="97" t="s">
        <v>55</v>
      </c>
      <c r="T109" s="10">
        <v>0</v>
      </c>
      <c r="U109" s="10">
        <v>0</v>
      </c>
      <c r="V109" s="10">
        <v>0</v>
      </c>
      <c r="W109" s="10">
        <v>0</v>
      </c>
      <c r="X109" s="74">
        <v>0</v>
      </c>
      <c r="Y109" s="74">
        <v>0</v>
      </c>
      <c r="Z109" s="74">
        <v>0</v>
      </c>
      <c r="AA109" s="74">
        <v>0</v>
      </c>
      <c r="AB109" s="74">
        <v>0</v>
      </c>
      <c r="AC109" s="74">
        <v>0</v>
      </c>
      <c r="AD109" s="74">
        <v>0</v>
      </c>
      <c r="AE109" s="74">
        <v>0</v>
      </c>
      <c r="AF109" s="74">
        <v>0</v>
      </c>
      <c r="AG109" s="90">
        <f t="shared" si="4"/>
        <v>0</v>
      </c>
      <c r="AH109" s="90">
        <f t="shared" si="5"/>
        <v>0</v>
      </c>
      <c r="AI109" s="90">
        <f t="shared" si="6"/>
        <v>0</v>
      </c>
    </row>
    <row r="110" spans="1:35" x14ac:dyDescent="0.35">
      <c r="C110" s="96">
        <v>46018</v>
      </c>
      <c r="D110" s="97">
        <v>9</v>
      </c>
      <c r="E110" s="97" t="s">
        <v>688</v>
      </c>
      <c r="F110" s="10">
        <v>3</v>
      </c>
      <c r="G110" s="10">
        <v>0</v>
      </c>
      <c r="H110" s="10">
        <v>0</v>
      </c>
      <c r="I110" s="10">
        <v>0</v>
      </c>
      <c r="J110" s="74">
        <v>0</v>
      </c>
      <c r="K110" s="74">
        <v>0</v>
      </c>
      <c r="L110" s="74">
        <v>0</v>
      </c>
      <c r="M110" s="74">
        <v>0</v>
      </c>
      <c r="N110" s="74">
        <v>0</v>
      </c>
      <c r="O110" s="74">
        <v>0</v>
      </c>
      <c r="P110" s="74">
        <v>0</v>
      </c>
      <c r="Q110" s="74">
        <v>0</v>
      </c>
      <c r="R110" s="74">
        <v>0</v>
      </c>
      <c r="S110" s="97" t="s">
        <v>203</v>
      </c>
      <c r="T110" s="10">
        <v>3</v>
      </c>
      <c r="U110" s="10">
        <v>0</v>
      </c>
      <c r="V110" s="10">
        <v>0</v>
      </c>
      <c r="W110" s="10">
        <v>0</v>
      </c>
      <c r="X110" s="74">
        <v>0</v>
      </c>
      <c r="Y110" s="74">
        <v>0</v>
      </c>
      <c r="Z110" s="74">
        <v>0</v>
      </c>
      <c r="AA110" s="74">
        <v>0</v>
      </c>
      <c r="AB110" s="74">
        <v>0</v>
      </c>
      <c r="AC110" s="74">
        <v>1</v>
      </c>
      <c r="AD110" s="74">
        <v>0</v>
      </c>
      <c r="AE110" s="74">
        <v>0</v>
      </c>
      <c r="AF110" s="74">
        <v>0</v>
      </c>
      <c r="AG110" s="90">
        <f t="shared" si="4"/>
        <v>7</v>
      </c>
      <c r="AH110" s="90">
        <f t="shared" si="5"/>
        <v>6</v>
      </c>
      <c r="AI110" s="90">
        <f t="shared" si="6"/>
        <v>1</v>
      </c>
    </row>
    <row r="111" spans="1:35" ht="29" x14ac:dyDescent="0.35">
      <c r="C111" s="96">
        <v>46021</v>
      </c>
      <c r="D111" s="97">
        <v>9</v>
      </c>
      <c r="E111" s="99" t="s">
        <v>704</v>
      </c>
      <c r="F111" s="10">
        <v>8</v>
      </c>
      <c r="G111" s="10">
        <v>2</v>
      </c>
      <c r="H111" s="10">
        <v>0</v>
      </c>
      <c r="I111" s="10">
        <v>0</v>
      </c>
      <c r="J111" s="74">
        <v>0</v>
      </c>
      <c r="K111" s="74">
        <v>0</v>
      </c>
      <c r="L111" s="74">
        <v>0</v>
      </c>
      <c r="M111" s="74">
        <v>0</v>
      </c>
      <c r="N111" s="74">
        <v>0</v>
      </c>
      <c r="O111" s="74">
        <v>0</v>
      </c>
      <c r="P111" s="74">
        <v>0</v>
      </c>
      <c r="Q111" s="74">
        <v>0</v>
      </c>
      <c r="R111" s="74">
        <v>0</v>
      </c>
      <c r="S111" s="99" t="s">
        <v>703</v>
      </c>
      <c r="T111" s="10">
        <v>6</v>
      </c>
      <c r="U111" s="10">
        <v>3</v>
      </c>
      <c r="V111" s="10">
        <v>1</v>
      </c>
      <c r="W111" s="10">
        <v>0</v>
      </c>
      <c r="X111" s="74">
        <v>0</v>
      </c>
      <c r="Y111" s="74">
        <v>0</v>
      </c>
      <c r="Z111" s="74">
        <v>0</v>
      </c>
      <c r="AA111" s="74">
        <v>0</v>
      </c>
      <c r="AB111" s="74">
        <v>0</v>
      </c>
      <c r="AC111" s="74">
        <v>0</v>
      </c>
      <c r="AD111" s="74">
        <v>1</v>
      </c>
      <c r="AE111" s="74">
        <v>0</v>
      </c>
      <c r="AF111" s="74">
        <v>0</v>
      </c>
      <c r="AG111" s="90">
        <f t="shared" si="4"/>
        <v>21</v>
      </c>
      <c r="AH111" s="90">
        <f t="shared" si="5"/>
        <v>20</v>
      </c>
      <c r="AI111" s="90">
        <f t="shared" si="6"/>
        <v>1</v>
      </c>
    </row>
    <row r="112" spans="1:35" x14ac:dyDescent="0.35">
      <c r="C112" s="96">
        <v>46024</v>
      </c>
      <c r="D112" s="97">
        <v>9</v>
      </c>
      <c r="E112" s="97" t="s">
        <v>448</v>
      </c>
      <c r="F112" s="10">
        <v>2</v>
      </c>
      <c r="G112" s="10">
        <v>0</v>
      </c>
      <c r="H112" s="10">
        <v>0</v>
      </c>
      <c r="I112" s="10">
        <v>0</v>
      </c>
      <c r="J112" s="74">
        <v>0</v>
      </c>
      <c r="K112" s="74">
        <v>0</v>
      </c>
      <c r="L112" s="74">
        <v>0</v>
      </c>
      <c r="M112" s="74">
        <v>0</v>
      </c>
      <c r="N112" s="74">
        <v>0</v>
      </c>
      <c r="O112" s="74">
        <v>0</v>
      </c>
      <c r="P112" s="74">
        <v>1</v>
      </c>
      <c r="Q112" s="74">
        <v>0</v>
      </c>
      <c r="R112" s="74">
        <v>0</v>
      </c>
      <c r="S112" s="97" t="s">
        <v>717</v>
      </c>
      <c r="T112" s="10">
        <v>5</v>
      </c>
      <c r="U112" s="10">
        <v>2</v>
      </c>
      <c r="V112" s="10">
        <v>0</v>
      </c>
      <c r="W112" s="10">
        <v>0</v>
      </c>
      <c r="X112" s="74">
        <v>0</v>
      </c>
      <c r="Y112" s="74">
        <v>0</v>
      </c>
      <c r="Z112" s="74">
        <v>0</v>
      </c>
      <c r="AA112" s="74">
        <v>0</v>
      </c>
      <c r="AB112" s="74">
        <v>0</v>
      </c>
      <c r="AC112" s="74">
        <v>1</v>
      </c>
      <c r="AD112" s="74">
        <v>0</v>
      </c>
      <c r="AE112" s="74">
        <v>0</v>
      </c>
      <c r="AF112" s="74">
        <v>0</v>
      </c>
      <c r="AG112" s="90">
        <f t="shared" si="4"/>
        <v>11</v>
      </c>
      <c r="AH112" s="90">
        <f t="shared" si="5"/>
        <v>9</v>
      </c>
      <c r="AI112" s="90">
        <f t="shared" si="6"/>
        <v>2</v>
      </c>
    </row>
    <row r="113" spans="3:35" ht="29" x14ac:dyDescent="0.35">
      <c r="C113" s="96">
        <v>46027</v>
      </c>
      <c r="D113" s="97">
        <v>9</v>
      </c>
      <c r="E113" s="97" t="s">
        <v>731</v>
      </c>
      <c r="F113" s="10">
        <v>5</v>
      </c>
      <c r="G113" s="10">
        <v>1</v>
      </c>
      <c r="H113" s="10">
        <v>0</v>
      </c>
      <c r="I113" s="10">
        <v>0</v>
      </c>
      <c r="J113" s="74">
        <v>0</v>
      </c>
      <c r="K113" s="74">
        <v>0</v>
      </c>
      <c r="L113" s="74">
        <v>0</v>
      </c>
      <c r="M113" s="74">
        <v>0</v>
      </c>
      <c r="N113" s="74">
        <v>0</v>
      </c>
      <c r="O113" s="74">
        <v>0</v>
      </c>
      <c r="P113" s="74">
        <v>0</v>
      </c>
      <c r="Q113" s="74">
        <v>0</v>
      </c>
      <c r="R113" s="74">
        <v>0</v>
      </c>
      <c r="S113" s="99" t="s">
        <v>730</v>
      </c>
      <c r="T113" s="10">
        <v>4</v>
      </c>
      <c r="U113" s="10">
        <v>2</v>
      </c>
      <c r="V113" s="10">
        <v>0</v>
      </c>
      <c r="W113" s="10">
        <v>0</v>
      </c>
      <c r="X113" s="74">
        <v>0</v>
      </c>
      <c r="Y113" s="74">
        <v>0</v>
      </c>
      <c r="Z113" s="74">
        <v>0</v>
      </c>
      <c r="AA113" s="74">
        <v>1</v>
      </c>
      <c r="AB113" s="74">
        <v>0</v>
      </c>
      <c r="AC113" s="74">
        <v>0</v>
      </c>
      <c r="AD113" s="74">
        <v>1</v>
      </c>
      <c r="AE113" s="74">
        <v>0</v>
      </c>
      <c r="AF113" s="74">
        <v>0</v>
      </c>
      <c r="AG113" s="90">
        <f t="shared" si="4"/>
        <v>14</v>
      </c>
      <c r="AH113" s="90">
        <f t="shared" si="5"/>
        <v>12</v>
      </c>
      <c r="AI113" s="90">
        <f t="shared" si="6"/>
        <v>2</v>
      </c>
    </row>
    <row r="114" spans="3:35" x14ac:dyDescent="0.35">
      <c r="C114" s="96">
        <v>46031</v>
      </c>
      <c r="D114" s="97">
        <v>9</v>
      </c>
      <c r="E114" s="97" t="s">
        <v>101</v>
      </c>
      <c r="F114" s="10">
        <v>8</v>
      </c>
      <c r="G114" s="10">
        <v>0</v>
      </c>
      <c r="H114" s="10">
        <v>0</v>
      </c>
      <c r="I114" s="10">
        <v>0</v>
      </c>
      <c r="J114" s="74">
        <v>0</v>
      </c>
      <c r="K114" s="74">
        <v>0</v>
      </c>
      <c r="L114" s="74">
        <v>0</v>
      </c>
      <c r="M114" s="74">
        <v>0</v>
      </c>
      <c r="N114" s="74">
        <v>0</v>
      </c>
      <c r="O114" s="74">
        <v>0</v>
      </c>
      <c r="P114" s="74">
        <v>0</v>
      </c>
      <c r="Q114" s="74">
        <v>0</v>
      </c>
      <c r="R114" s="74">
        <v>0</v>
      </c>
      <c r="S114" s="97" t="s">
        <v>745</v>
      </c>
      <c r="T114" s="10">
        <v>6</v>
      </c>
      <c r="U114" s="10">
        <v>2</v>
      </c>
      <c r="V114" s="10">
        <v>0</v>
      </c>
      <c r="W114" s="10">
        <v>0</v>
      </c>
      <c r="X114" s="74">
        <v>0</v>
      </c>
      <c r="Y114" s="74">
        <v>0</v>
      </c>
      <c r="Z114" s="74">
        <v>0</v>
      </c>
      <c r="AA114" s="74">
        <v>2</v>
      </c>
      <c r="AB114" s="74">
        <v>0</v>
      </c>
      <c r="AC114" s="74">
        <v>1</v>
      </c>
      <c r="AD114" s="74">
        <v>0</v>
      </c>
      <c r="AE114" s="74">
        <v>0</v>
      </c>
      <c r="AF114" s="74">
        <v>0</v>
      </c>
      <c r="AG114" s="90">
        <f t="shared" si="4"/>
        <v>19</v>
      </c>
      <c r="AH114" s="90">
        <f t="shared" si="5"/>
        <v>16</v>
      </c>
      <c r="AI114" s="90">
        <f t="shared" si="6"/>
        <v>3</v>
      </c>
    </row>
    <row r="115" spans="3:35" ht="29" x14ac:dyDescent="0.35">
      <c r="C115" s="96">
        <v>46035</v>
      </c>
      <c r="D115" s="97">
        <v>9</v>
      </c>
      <c r="E115" s="97" t="s">
        <v>133</v>
      </c>
      <c r="F115" s="10">
        <v>5</v>
      </c>
      <c r="G115" s="10">
        <v>0</v>
      </c>
      <c r="H115" s="10">
        <v>0</v>
      </c>
      <c r="I115" s="10">
        <v>0</v>
      </c>
      <c r="J115" s="74">
        <v>0</v>
      </c>
      <c r="K115" s="74">
        <v>0</v>
      </c>
      <c r="L115" s="74">
        <v>0</v>
      </c>
      <c r="M115" s="74">
        <v>0</v>
      </c>
      <c r="N115" s="74">
        <v>0</v>
      </c>
      <c r="O115" s="74">
        <v>0</v>
      </c>
      <c r="P115" s="74">
        <v>0</v>
      </c>
      <c r="Q115" s="74">
        <v>0</v>
      </c>
      <c r="R115" s="74">
        <v>0</v>
      </c>
      <c r="S115" s="99" t="s">
        <v>753</v>
      </c>
      <c r="T115" s="10">
        <v>5</v>
      </c>
      <c r="U115" s="10">
        <v>4</v>
      </c>
      <c r="V115" s="10">
        <v>0</v>
      </c>
      <c r="W115" s="10">
        <v>0</v>
      </c>
      <c r="X115" s="74">
        <v>0</v>
      </c>
      <c r="Y115" s="74">
        <v>2</v>
      </c>
      <c r="Z115" s="74">
        <v>0</v>
      </c>
      <c r="AA115" s="74">
        <v>1</v>
      </c>
      <c r="AB115" s="74">
        <v>0</v>
      </c>
      <c r="AC115" s="74">
        <v>0</v>
      </c>
      <c r="AD115" s="74">
        <v>0</v>
      </c>
      <c r="AE115" s="74">
        <v>1</v>
      </c>
      <c r="AF115" s="74">
        <v>0</v>
      </c>
      <c r="AG115" s="90">
        <f t="shared" si="4"/>
        <v>18</v>
      </c>
      <c r="AH115" s="90">
        <f t="shared" si="5"/>
        <v>14</v>
      </c>
      <c r="AI115" s="90">
        <f t="shared" si="6"/>
        <v>4</v>
      </c>
    </row>
    <row r="116" spans="3:35" x14ac:dyDescent="0.35">
      <c r="C116" s="96">
        <v>46038</v>
      </c>
      <c r="D116" s="97">
        <v>9</v>
      </c>
      <c r="E116" s="97" t="s">
        <v>235</v>
      </c>
      <c r="F116" s="10">
        <v>6</v>
      </c>
      <c r="G116" s="10">
        <v>1</v>
      </c>
      <c r="H116" s="10">
        <v>0</v>
      </c>
      <c r="I116" s="10">
        <v>0</v>
      </c>
      <c r="J116" s="74">
        <v>0</v>
      </c>
      <c r="K116" s="74">
        <v>0</v>
      </c>
      <c r="L116" s="74">
        <v>0</v>
      </c>
      <c r="M116" s="74">
        <v>0</v>
      </c>
      <c r="N116" s="74">
        <v>0</v>
      </c>
      <c r="O116" s="74">
        <v>0</v>
      </c>
      <c r="P116" s="74">
        <v>0</v>
      </c>
      <c r="Q116" s="74">
        <v>0</v>
      </c>
      <c r="R116" s="74">
        <v>0</v>
      </c>
      <c r="S116" s="97" t="s">
        <v>769</v>
      </c>
      <c r="T116" s="10">
        <v>6</v>
      </c>
      <c r="U116" s="10">
        <v>0</v>
      </c>
      <c r="V116" s="10">
        <v>1</v>
      </c>
      <c r="W116" s="10">
        <v>1</v>
      </c>
      <c r="X116" s="74">
        <v>0</v>
      </c>
      <c r="Y116" s="74">
        <v>0</v>
      </c>
      <c r="Z116" s="74">
        <v>0</v>
      </c>
      <c r="AA116" s="74">
        <v>0</v>
      </c>
      <c r="AB116" s="74">
        <v>0</v>
      </c>
      <c r="AC116" s="74">
        <v>1</v>
      </c>
      <c r="AD116" s="74">
        <v>0</v>
      </c>
      <c r="AE116" s="74">
        <v>0</v>
      </c>
      <c r="AF116" s="74">
        <v>0</v>
      </c>
      <c r="AG116" s="90">
        <f t="shared" si="4"/>
        <v>16</v>
      </c>
      <c r="AH116" s="90">
        <f t="shared" si="5"/>
        <v>15</v>
      </c>
      <c r="AI116" s="90">
        <f t="shared" si="6"/>
        <v>1</v>
      </c>
    </row>
    <row r="117" spans="3:35" x14ac:dyDescent="0.35">
      <c r="C117" s="96">
        <v>46041</v>
      </c>
      <c r="D117" s="97">
        <v>9</v>
      </c>
      <c r="E117" s="97" t="s">
        <v>783</v>
      </c>
      <c r="F117" s="10">
        <v>5</v>
      </c>
      <c r="G117" s="10">
        <v>2</v>
      </c>
      <c r="H117" s="10">
        <v>0</v>
      </c>
      <c r="I117" s="10">
        <v>0</v>
      </c>
      <c r="J117" s="74">
        <v>1</v>
      </c>
      <c r="K117" s="74">
        <v>0</v>
      </c>
      <c r="L117" s="74">
        <v>0</v>
      </c>
      <c r="M117" s="74">
        <v>0</v>
      </c>
      <c r="N117" s="74">
        <v>0</v>
      </c>
      <c r="O117" s="74">
        <v>0</v>
      </c>
      <c r="P117" s="74">
        <v>0</v>
      </c>
      <c r="Q117" s="74">
        <v>0</v>
      </c>
      <c r="R117" s="74">
        <v>0</v>
      </c>
      <c r="S117" s="97" t="s">
        <v>782</v>
      </c>
      <c r="T117" s="10">
        <v>0</v>
      </c>
      <c r="U117" s="10">
        <v>1</v>
      </c>
      <c r="V117" s="10">
        <v>0</v>
      </c>
      <c r="W117" s="10">
        <v>1</v>
      </c>
      <c r="X117" s="74">
        <v>0</v>
      </c>
      <c r="Y117" s="74">
        <v>0</v>
      </c>
      <c r="Z117" s="74">
        <v>0</v>
      </c>
      <c r="AA117" s="74">
        <v>0</v>
      </c>
      <c r="AB117" s="74">
        <v>0</v>
      </c>
      <c r="AC117" s="74">
        <v>0</v>
      </c>
      <c r="AD117" s="74">
        <v>0</v>
      </c>
      <c r="AE117" s="74">
        <v>1</v>
      </c>
      <c r="AF117" s="74">
        <v>0</v>
      </c>
      <c r="AG117" s="90">
        <f t="shared" si="4"/>
        <v>11</v>
      </c>
      <c r="AH117" s="90">
        <f t="shared" si="5"/>
        <v>9</v>
      </c>
      <c r="AI117" s="90">
        <f t="shared" si="6"/>
        <v>2</v>
      </c>
    </row>
    <row r="118" spans="3:35" x14ac:dyDescent="0.35">
      <c r="C118" s="96">
        <v>46045</v>
      </c>
      <c r="D118" s="97">
        <v>9</v>
      </c>
      <c r="E118" s="97" t="s">
        <v>345</v>
      </c>
      <c r="F118" s="10">
        <v>1</v>
      </c>
      <c r="G118" s="10">
        <v>0</v>
      </c>
      <c r="H118" s="10">
        <v>0</v>
      </c>
      <c r="I118" s="10">
        <v>0</v>
      </c>
      <c r="J118" s="74">
        <v>0</v>
      </c>
      <c r="K118" s="74">
        <v>0</v>
      </c>
      <c r="L118" s="74">
        <v>0</v>
      </c>
      <c r="M118" s="74">
        <v>1</v>
      </c>
      <c r="N118" s="74">
        <v>0</v>
      </c>
      <c r="O118" s="74">
        <v>0</v>
      </c>
      <c r="P118" s="74">
        <v>0</v>
      </c>
      <c r="Q118" s="74">
        <v>0</v>
      </c>
      <c r="R118" s="74">
        <v>0</v>
      </c>
      <c r="S118" s="97" t="s">
        <v>798</v>
      </c>
      <c r="T118" s="10">
        <v>8</v>
      </c>
      <c r="U118" s="10">
        <v>0</v>
      </c>
      <c r="V118" s="10">
        <v>2</v>
      </c>
      <c r="W118" s="10">
        <v>0</v>
      </c>
      <c r="X118" s="74">
        <v>0</v>
      </c>
      <c r="Y118" s="74">
        <v>0</v>
      </c>
      <c r="Z118" s="74">
        <v>0</v>
      </c>
      <c r="AA118" s="74">
        <v>0</v>
      </c>
      <c r="AB118" s="74">
        <v>0</v>
      </c>
      <c r="AC118" s="74">
        <v>0</v>
      </c>
      <c r="AD118" s="74">
        <v>0</v>
      </c>
      <c r="AE118" s="74">
        <v>0</v>
      </c>
      <c r="AF118" s="74">
        <v>0</v>
      </c>
      <c r="AG118" s="90">
        <f t="shared" si="4"/>
        <v>12</v>
      </c>
      <c r="AH118" s="90">
        <f t="shared" si="5"/>
        <v>11</v>
      </c>
      <c r="AI118" s="90">
        <f t="shared" si="6"/>
        <v>1</v>
      </c>
    </row>
    <row r="119" spans="3:35" x14ac:dyDescent="0.35">
      <c r="C119" s="96">
        <v>46049</v>
      </c>
      <c r="D119" s="97">
        <v>9</v>
      </c>
      <c r="E119" s="97" t="s">
        <v>92</v>
      </c>
      <c r="F119" s="10">
        <v>5</v>
      </c>
      <c r="G119" s="10">
        <v>0</v>
      </c>
      <c r="H119" s="10">
        <v>0</v>
      </c>
      <c r="I119" s="10">
        <v>0</v>
      </c>
      <c r="J119" s="74">
        <v>0</v>
      </c>
      <c r="K119" s="74">
        <v>1</v>
      </c>
      <c r="L119" s="74">
        <v>0</v>
      </c>
      <c r="M119" s="74">
        <v>0</v>
      </c>
      <c r="N119" s="74">
        <v>0</v>
      </c>
      <c r="O119" s="74">
        <v>0</v>
      </c>
      <c r="P119" s="74">
        <v>0</v>
      </c>
      <c r="Q119" s="74">
        <v>0</v>
      </c>
      <c r="R119" s="74">
        <v>0</v>
      </c>
      <c r="S119" s="97" t="s">
        <v>807</v>
      </c>
      <c r="T119" s="10">
        <v>5</v>
      </c>
      <c r="U119" s="10">
        <v>0</v>
      </c>
      <c r="V119" s="10">
        <v>0</v>
      </c>
      <c r="W119" s="10">
        <v>0</v>
      </c>
      <c r="X119" s="74">
        <v>0</v>
      </c>
      <c r="Y119" s="74">
        <v>0</v>
      </c>
      <c r="Z119" s="74">
        <v>0</v>
      </c>
      <c r="AA119" s="74">
        <v>0</v>
      </c>
      <c r="AB119" s="74">
        <v>0</v>
      </c>
      <c r="AC119" s="74">
        <v>0</v>
      </c>
      <c r="AD119" s="74">
        <v>0</v>
      </c>
      <c r="AE119" s="74">
        <v>1</v>
      </c>
      <c r="AF119" s="74">
        <v>0</v>
      </c>
      <c r="AG119" s="90">
        <f t="shared" si="4"/>
        <v>12</v>
      </c>
      <c r="AH119" s="90">
        <f t="shared" si="5"/>
        <v>10</v>
      </c>
      <c r="AI119" s="90">
        <f t="shared" si="6"/>
        <v>2</v>
      </c>
    </row>
    <row r="120" spans="3:35" x14ac:dyDescent="0.35">
      <c r="C120" s="96">
        <v>46052</v>
      </c>
      <c r="D120" s="97">
        <v>9</v>
      </c>
      <c r="E120" s="97" t="s">
        <v>822</v>
      </c>
      <c r="F120" s="10">
        <v>2</v>
      </c>
      <c r="G120" s="10">
        <v>1</v>
      </c>
      <c r="H120" s="10">
        <v>0</v>
      </c>
      <c r="I120" s="10">
        <v>0</v>
      </c>
      <c r="J120" s="74">
        <v>0</v>
      </c>
      <c r="K120" s="74">
        <v>0</v>
      </c>
      <c r="L120" s="74">
        <v>0</v>
      </c>
      <c r="M120" s="74">
        <v>0</v>
      </c>
      <c r="N120" s="74">
        <v>0</v>
      </c>
      <c r="O120" s="74">
        <v>0</v>
      </c>
      <c r="P120" s="74">
        <v>0</v>
      </c>
      <c r="Q120" s="74">
        <v>0</v>
      </c>
      <c r="R120" s="74">
        <v>0</v>
      </c>
      <c r="S120" s="97" t="s">
        <v>203</v>
      </c>
      <c r="T120" s="10">
        <v>3</v>
      </c>
      <c r="U120" s="10">
        <v>0</v>
      </c>
      <c r="V120" s="10">
        <v>0</v>
      </c>
      <c r="W120" s="10">
        <v>0</v>
      </c>
      <c r="X120" s="74">
        <v>0</v>
      </c>
      <c r="Y120" s="74">
        <v>0</v>
      </c>
      <c r="Z120" s="74">
        <v>0</v>
      </c>
      <c r="AA120" s="74">
        <v>0</v>
      </c>
      <c r="AB120" s="74">
        <v>0</v>
      </c>
      <c r="AC120" s="74">
        <v>1</v>
      </c>
      <c r="AD120" s="74">
        <v>0</v>
      </c>
      <c r="AE120" s="74">
        <v>0</v>
      </c>
      <c r="AF120" s="74">
        <v>0</v>
      </c>
      <c r="AG120" s="90">
        <f t="shared" si="4"/>
        <v>7</v>
      </c>
      <c r="AH120" s="90">
        <f t="shared" si="5"/>
        <v>6</v>
      </c>
      <c r="AI120" s="90">
        <f t="shared" si="6"/>
        <v>1</v>
      </c>
    </row>
    <row r="121" spans="3:35" x14ac:dyDescent="0.35">
      <c r="C121" s="96">
        <v>46056</v>
      </c>
      <c r="D121" s="97">
        <v>9</v>
      </c>
      <c r="E121" s="97" t="s">
        <v>834</v>
      </c>
      <c r="F121" s="10">
        <v>3</v>
      </c>
      <c r="G121" s="10">
        <v>0</v>
      </c>
      <c r="H121" s="10">
        <v>0</v>
      </c>
      <c r="I121" s="10">
        <v>0</v>
      </c>
      <c r="J121" s="74">
        <v>0</v>
      </c>
      <c r="K121" s="74">
        <v>0</v>
      </c>
      <c r="L121" s="74">
        <v>0</v>
      </c>
      <c r="M121" s="74">
        <v>0</v>
      </c>
      <c r="N121" s="74">
        <v>1</v>
      </c>
      <c r="O121" s="74">
        <v>0</v>
      </c>
      <c r="P121" s="74">
        <v>0</v>
      </c>
      <c r="Q121" s="74">
        <v>0</v>
      </c>
      <c r="R121" s="74">
        <v>0</v>
      </c>
      <c r="S121" s="97" t="s">
        <v>139</v>
      </c>
      <c r="T121" s="10">
        <v>12</v>
      </c>
      <c r="U121" s="10">
        <v>0</v>
      </c>
      <c r="V121" s="10">
        <v>0</v>
      </c>
      <c r="W121" s="10">
        <v>0</v>
      </c>
      <c r="X121" s="74">
        <v>0</v>
      </c>
      <c r="Y121" s="74">
        <v>0</v>
      </c>
      <c r="Z121" s="74">
        <v>0</v>
      </c>
      <c r="AA121" s="74">
        <v>0</v>
      </c>
      <c r="AB121" s="74">
        <v>0</v>
      </c>
      <c r="AC121" s="74">
        <v>0</v>
      </c>
      <c r="AD121" s="74">
        <v>0</v>
      </c>
      <c r="AE121" s="74">
        <v>0</v>
      </c>
      <c r="AF121" s="74">
        <v>0</v>
      </c>
      <c r="AG121" s="90">
        <f t="shared" si="4"/>
        <v>16</v>
      </c>
      <c r="AH121" s="90">
        <f t="shared" si="5"/>
        <v>15</v>
      </c>
      <c r="AI121" s="90">
        <f t="shared" si="6"/>
        <v>1</v>
      </c>
    </row>
    <row r="122" spans="3:35" x14ac:dyDescent="0.35">
      <c r="C122" s="96">
        <v>46059</v>
      </c>
      <c r="D122" s="97">
        <v>9</v>
      </c>
      <c r="E122" s="97" t="s">
        <v>407</v>
      </c>
      <c r="F122" s="10">
        <v>2</v>
      </c>
      <c r="G122" s="10">
        <v>0</v>
      </c>
      <c r="H122" s="10">
        <v>0</v>
      </c>
      <c r="I122" s="10">
        <v>0</v>
      </c>
      <c r="J122" s="74">
        <v>0</v>
      </c>
      <c r="K122" s="74">
        <v>0</v>
      </c>
      <c r="L122" s="74">
        <v>0</v>
      </c>
      <c r="M122" s="74">
        <v>0</v>
      </c>
      <c r="N122" s="74">
        <v>0</v>
      </c>
      <c r="O122" s="74">
        <v>0</v>
      </c>
      <c r="P122" s="74">
        <v>0</v>
      </c>
      <c r="Q122" s="74">
        <v>0</v>
      </c>
      <c r="R122" s="74">
        <v>0</v>
      </c>
      <c r="S122" s="97" t="s">
        <v>134</v>
      </c>
      <c r="T122" s="10">
        <v>3</v>
      </c>
      <c r="U122" s="10">
        <v>0</v>
      </c>
      <c r="V122" s="10">
        <v>0</v>
      </c>
      <c r="W122" s="10">
        <v>0</v>
      </c>
      <c r="X122" s="74">
        <v>0</v>
      </c>
      <c r="Y122" s="74">
        <v>0</v>
      </c>
      <c r="Z122" s="74">
        <v>0</v>
      </c>
      <c r="AA122" s="74">
        <v>0</v>
      </c>
      <c r="AB122" s="74">
        <v>0</v>
      </c>
      <c r="AC122" s="74">
        <v>0</v>
      </c>
      <c r="AD122" s="74">
        <v>0</v>
      </c>
      <c r="AE122" s="74">
        <v>0</v>
      </c>
      <c r="AF122" s="74">
        <v>0</v>
      </c>
      <c r="AG122" s="90">
        <f t="shared" si="4"/>
        <v>5</v>
      </c>
      <c r="AH122" s="90">
        <f t="shared" si="5"/>
        <v>5</v>
      </c>
      <c r="AI122" s="90">
        <f t="shared" si="6"/>
        <v>0</v>
      </c>
    </row>
    <row r="123" spans="3:35" x14ac:dyDescent="0.35">
      <c r="C123" s="96">
        <v>46062</v>
      </c>
      <c r="D123" s="97">
        <v>9</v>
      </c>
      <c r="E123" s="97" t="s">
        <v>864</v>
      </c>
      <c r="F123" s="10">
        <v>2</v>
      </c>
      <c r="G123" s="10">
        <v>0</v>
      </c>
      <c r="H123" s="10">
        <v>0</v>
      </c>
      <c r="I123" s="10">
        <v>0</v>
      </c>
      <c r="J123" s="74">
        <v>0</v>
      </c>
      <c r="K123" s="74">
        <v>0</v>
      </c>
      <c r="L123" s="74">
        <v>0</v>
      </c>
      <c r="M123" s="74">
        <v>0</v>
      </c>
      <c r="N123" s="74">
        <v>0</v>
      </c>
      <c r="O123" s="74">
        <v>0</v>
      </c>
      <c r="P123" s="74">
        <v>0</v>
      </c>
      <c r="Q123" s="74">
        <v>0</v>
      </c>
      <c r="R123" s="74">
        <v>0</v>
      </c>
      <c r="S123" s="97" t="s">
        <v>100</v>
      </c>
      <c r="T123" s="10">
        <v>6</v>
      </c>
      <c r="U123" s="10">
        <v>0</v>
      </c>
      <c r="V123" s="10">
        <v>0</v>
      </c>
      <c r="W123" s="10">
        <v>0</v>
      </c>
      <c r="X123" s="74">
        <v>0</v>
      </c>
      <c r="Y123" s="74">
        <v>0</v>
      </c>
      <c r="Z123" s="74">
        <v>0</v>
      </c>
      <c r="AA123" s="74">
        <v>0</v>
      </c>
      <c r="AB123" s="74">
        <v>0</v>
      </c>
      <c r="AC123" s="74">
        <v>0</v>
      </c>
      <c r="AD123" s="74">
        <v>0</v>
      </c>
      <c r="AE123" s="74">
        <v>0</v>
      </c>
      <c r="AF123" s="74">
        <v>0</v>
      </c>
      <c r="AG123" s="90">
        <f t="shared" si="4"/>
        <v>8</v>
      </c>
      <c r="AH123" s="90">
        <f t="shared" si="5"/>
        <v>8</v>
      </c>
      <c r="AI123" s="90">
        <f t="shared" si="6"/>
        <v>0</v>
      </c>
    </row>
    <row r="124" spans="3:35" x14ac:dyDescent="0.35">
      <c r="C124" s="96">
        <v>46066</v>
      </c>
      <c r="D124" s="97">
        <v>9</v>
      </c>
      <c r="E124" s="97" t="s">
        <v>186</v>
      </c>
      <c r="F124" s="10">
        <v>1</v>
      </c>
      <c r="G124" s="10">
        <v>0</v>
      </c>
      <c r="H124" s="10">
        <v>0</v>
      </c>
      <c r="I124" s="10">
        <v>0</v>
      </c>
      <c r="J124" s="74">
        <v>0</v>
      </c>
      <c r="K124" s="74">
        <v>0</v>
      </c>
      <c r="L124" s="74">
        <v>0</v>
      </c>
      <c r="M124" s="74">
        <v>0</v>
      </c>
      <c r="N124" s="74">
        <v>0</v>
      </c>
      <c r="O124" s="74">
        <v>0</v>
      </c>
      <c r="P124" s="74">
        <v>0</v>
      </c>
      <c r="Q124" s="74">
        <v>0</v>
      </c>
      <c r="R124" s="74">
        <v>0</v>
      </c>
      <c r="S124" s="97" t="s">
        <v>892</v>
      </c>
      <c r="T124" s="10">
        <v>12</v>
      </c>
      <c r="U124" s="10">
        <v>3</v>
      </c>
      <c r="V124" s="10">
        <v>0</v>
      </c>
      <c r="W124" s="10">
        <v>0</v>
      </c>
      <c r="X124" s="74">
        <v>0</v>
      </c>
      <c r="Y124" s="74">
        <v>0</v>
      </c>
      <c r="Z124" s="74">
        <v>0</v>
      </c>
      <c r="AA124" s="74">
        <v>0</v>
      </c>
      <c r="AB124" s="74">
        <v>0</v>
      </c>
      <c r="AC124" s="74">
        <v>0</v>
      </c>
      <c r="AD124" s="74">
        <v>0</v>
      </c>
      <c r="AE124" s="74">
        <v>0</v>
      </c>
      <c r="AF124" s="74">
        <v>0</v>
      </c>
      <c r="AG124" s="90">
        <f t="shared" si="4"/>
        <v>16</v>
      </c>
      <c r="AH124" s="90">
        <f t="shared" si="5"/>
        <v>16</v>
      </c>
      <c r="AI124" s="90">
        <f t="shared" si="6"/>
        <v>0</v>
      </c>
    </row>
    <row r="125" spans="3:35" x14ac:dyDescent="0.35">
      <c r="C125" s="96">
        <v>46070</v>
      </c>
      <c r="D125" s="97">
        <v>9</v>
      </c>
      <c r="E125" s="97" t="s">
        <v>702</v>
      </c>
      <c r="F125" s="10">
        <v>3</v>
      </c>
      <c r="G125" s="10">
        <v>0</v>
      </c>
      <c r="H125" s="10">
        <v>0</v>
      </c>
      <c r="I125" s="10">
        <v>1</v>
      </c>
      <c r="J125" s="74">
        <v>0</v>
      </c>
      <c r="K125" s="74">
        <v>0</v>
      </c>
      <c r="L125" s="74">
        <v>0</v>
      </c>
      <c r="M125" s="74">
        <v>0</v>
      </c>
      <c r="N125" s="74">
        <v>0</v>
      </c>
      <c r="O125" s="74">
        <v>1</v>
      </c>
      <c r="P125" s="74">
        <v>0</v>
      </c>
      <c r="Q125" s="74">
        <v>0</v>
      </c>
      <c r="R125" s="74">
        <v>0</v>
      </c>
      <c r="S125" s="97" t="s">
        <v>874</v>
      </c>
      <c r="T125" s="10">
        <v>15</v>
      </c>
      <c r="U125" s="10">
        <v>0</v>
      </c>
      <c r="V125" s="10">
        <v>0</v>
      </c>
      <c r="W125" s="10">
        <v>0</v>
      </c>
      <c r="X125" s="74">
        <v>0</v>
      </c>
      <c r="Y125" s="74">
        <v>0</v>
      </c>
      <c r="Z125" s="74">
        <v>0</v>
      </c>
      <c r="AA125" s="74">
        <v>0</v>
      </c>
      <c r="AB125" s="74">
        <v>0</v>
      </c>
      <c r="AC125" s="74">
        <v>0</v>
      </c>
      <c r="AD125" s="74">
        <v>0</v>
      </c>
      <c r="AE125" s="74">
        <v>0</v>
      </c>
      <c r="AF125" s="74">
        <v>0</v>
      </c>
      <c r="AG125" s="90">
        <f t="shared" si="4"/>
        <v>20</v>
      </c>
      <c r="AH125" s="90">
        <f t="shared" si="5"/>
        <v>19</v>
      </c>
      <c r="AI125" s="90">
        <f t="shared" si="6"/>
        <v>1</v>
      </c>
    </row>
    <row r="126" spans="3:35" x14ac:dyDescent="0.35">
      <c r="C126" s="96">
        <v>46074</v>
      </c>
      <c r="D126" s="97">
        <v>9</v>
      </c>
      <c r="E126" s="97" t="s">
        <v>916</v>
      </c>
      <c r="F126" s="10">
        <v>3</v>
      </c>
      <c r="G126" s="10">
        <v>1</v>
      </c>
      <c r="H126" s="10">
        <v>0</v>
      </c>
      <c r="I126" s="10">
        <v>0</v>
      </c>
      <c r="J126" s="74">
        <v>0</v>
      </c>
      <c r="K126" s="74">
        <v>0</v>
      </c>
      <c r="L126" s="74">
        <v>0</v>
      </c>
      <c r="M126" s="74">
        <v>0</v>
      </c>
      <c r="N126" s="74">
        <v>0</v>
      </c>
      <c r="O126" s="74">
        <v>1</v>
      </c>
      <c r="P126" s="74">
        <v>0</v>
      </c>
      <c r="Q126" s="74">
        <v>0</v>
      </c>
      <c r="R126" s="74">
        <v>0</v>
      </c>
      <c r="S126" s="97" t="s">
        <v>917</v>
      </c>
      <c r="T126" s="10">
        <v>10</v>
      </c>
      <c r="U126" s="10">
        <v>2</v>
      </c>
      <c r="V126" s="10">
        <v>0</v>
      </c>
      <c r="W126" s="10">
        <v>0</v>
      </c>
      <c r="X126" s="74">
        <v>0</v>
      </c>
      <c r="Y126" s="74">
        <v>1</v>
      </c>
      <c r="Z126" s="74">
        <v>0</v>
      </c>
      <c r="AA126" s="74">
        <v>0</v>
      </c>
      <c r="AB126" s="74">
        <v>0</v>
      </c>
      <c r="AC126" s="74">
        <v>0</v>
      </c>
      <c r="AD126" s="74">
        <v>0</v>
      </c>
      <c r="AE126" s="74">
        <v>0</v>
      </c>
      <c r="AF126" s="74">
        <v>0</v>
      </c>
      <c r="AG126" s="90">
        <f t="shared" si="4"/>
        <v>18</v>
      </c>
      <c r="AH126" s="90">
        <f t="shared" si="5"/>
        <v>16</v>
      </c>
      <c r="AI126" s="90">
        <f t="shared" si="6"/>
        <v>2</v>
      </c>
    </row>
    <row r="127" spans="3:35" ht="29" x14ac:dyDescent="0.35">
      <c r="C127" s="96">
        <v>46077</v>
      </c>
      <c r="D127" s="97">
        <v>9</v>
      </c>
      <c r="E127" s="99" t="s">
        <v>956</v>
      </c>
      <c r="F127" s="10">
        <v>4</v>
      </c>
      <c r="G127" s="10">
        <v>1</v>
      </c>
      <c r="H127" s="10">
        <v>0</v>
      </c>
      <c r="I127" s="10">
        <v>0</v>
      </c>
      <c r="J127" s="74">
        <v>0</v>
      </c>
      <c r="K127" s="74">
        <v>0</v>
      </c>
      <c r="L127" s="74">
        <v>0</v>
      </c>
      <c r="M127" s="74">
        <v>1</v>
      </c>
      <c r="N127" s="74">
        <v>0</v>
      </c>
      <c r="O127" s="74">
        <v>0</v>
      </c>
      <c r="P127" s="74">
        <v>0</v>
      </c>
      <c r="Q127" s="74">
        <v>0</v>
      </c>
      <c r="R127" s="74">
        <v>0</v>
      </c>
      <c r="S127" s="97" t="s">
        <v>955</v>
      </c>
      <c r="T127" s="10">
        <v>8</v>
      </c>
      <c r="U127" s="10">
        <v>0</v>
      </c>
      <c r="V127" s="10">
        <v>0</v>
      </c>
      <c r="W127" s="10">
        <v>0</v>
      </c>
      <c r="X127" s="74">
        <v>0</v>
      </c>
      <c r="Y127" s="74">
        <v>0</v>
      </c>
      <c r="Z127" s="74">
        <v>0</v>
      </c>
      <c r="AA127" s="74">
        <v>0</v>
      </c>
      <c r="AB127" s="74">
        <v>0</v>
      </c>
      <c r="AC127" s="74">
        <v>0</v>
      </c>
      <c r="AD127" s="74">
        <v>1</v>
      </c>
      <c r="AE127" s="74">
        <v>0</v>
      </c>
      <c r="AF127" s="74">
        <v>0</v>
      </c>
      <c r="AG127" s="90">
        <f t="shared" si="4"/>
        <v>15</v>
      </c>
      <c r="AH127" s="90">
        <f t="shared" si="5"/>
        <v>13</v>
      </c>
      <c r="AI127" s="90">
        <f t="shared" si="6"/>
        <v>2</v>
      </c>
    </row>
    <row r="128" spans="3:35" x14ac:dyDescent="0.35">
      <c r="C128" s="96">
        <v>46080</v>
      </c>
      <c r="D128" s="97">
        <v>9</v>
      </c>
      <c r="E128" s="97" t="s">
        <v>975</v>
      </c>
      <c r="F128" s="10">
        <v>4</v>
      </c>
      <c r="G128" s="10">
        <v>0</v>
      </c>
      <c r="H128" s="10">
        <v>0</v>
      </c>
      <c r="I128" s="10">
        <v>1</v>
      </c>
      <c r="J128" s="74">
        <v>0</v>
      </c>
      <c r="K128" s="74">
        <v>0</v>
      </c>
      <c r="L128" s="74">
        <v>0</v>
      </c>
      <c r="M128" s="74">
        <v>1</v>
      </c>
      <c r="N128" s="74">
        <v>0</v>
      </c>
      <c r="O128" s="74">
        <v>0</v>
      </c>
      <c r="P128" s="74">
        <v>0</v>
      </c>
      <c r="Q128" s="74">
        <v>0</v>
      </c>
      <c r="R128" s="74">
        <v>0</v>
      </c>
      <c r="S128" s="97" t="s">
        <v>305</v>
      </c>
      <c r="T128" s="10">
        <v>4</v>
      </c>
      <c r="U128" s="10">
        <v>0</v>
      </c>
      <c r="V128" s="10">
        <v>0</v>
      </c>
      <c r="W128" s="10">
        <v>0</v>
      </c>
      <c r="X128" s="74">
        <v>0</v>
      </c>
      <c r="Y128" s="74">
        <v>0</v>
      </c>
      <c r="Z128" s="74">
        <v>0</v>
      </c>
      <c r="AA128" s="74">
        <v>1</v>
      </c>
      <c r="AB128" s="74">
        <v>0</v>
      </c>
      <c r="AC128" s="74">
        <v>0</v>
      </c>
      <c r="AD128" s="74">
        <v>0</v>
      </c>
      <c r="AE128" s="74">
        <v>0</v>
      </c>
      <c r="AF128" s="74">
        <v>0</v>
      </c>
      <c r="AG128" s="90">
        <f t="shared" si="4"/>
        <v>11</v>
      </c>
      <c r="AH128" s="90">
        <f t="shared" si="5"/>
        <v>9</v>
      </c>
      <c r="AI128" s="90">
        <f t="shared" si="6"/>
        <v>2</v>
      </c>
    </row>
    <row r="129" spans="1:35" x14ac:dyDescent="0.35">
      <c r="C129" s="96">
        <v>46084</v>
      </c>
      <c r="D129" s="97">
        <v>9</v>
      </c>
      <c r="E129" s="97" t="s">
        <v>738</v>
      </c>
      <c r="F129" s="10">
        <v>3</v>
      </c>
      <c r="G129" s="10">
        <v>3</v>
      </c>
      <c r="H129" s="10">
        <v>0</v>
      </c>
      <c r="I129" s="10">
        <v>1</v>
      </c>
      <c r="J129" s="74">
        <v>0</v>
      </c>
      <c r="K129" s="74">
        <v>0</v>
      </c>
      <c r="L129" s="74">
        <v>0</v>
      </c>
      <c r="M129" s="74">
        <v>0</v>
      </c>
      <c r="N129" s="74">
        <v>0</v>
      </c>
      <c r="O129" s="74">
        <v>0</v>
      </c>
      <c r="P129" s="74">
        <v>0</v>
      </c>
      <c r="Q129" s="74">
        <v>0</v>
      </c>
      <c r="R129" s="74">
        <v>0</v>
      </c>
      <c r="S129" s="97" t="s">
        <v>220</v>
      </c>
      <c r="T129" s="10">
        <v>3</v>
      </c>
      <c r="U129" s="10">
        <v>0</v>
      </c>
      <c r="V129" s="10">
        <v>0</v>
      </c>
      <c r="W129" s="10">
        <v>0</v>
      </c>
      <c r="X129" s="74">
        <v>0</v>
      </c>
      <c r="Y129" s="74">
        <v>1</v>
      </c>
      <c r="Z129" s="74">
        <v>0</v>
      </c>
      <c r="AA129" s="74">
        <v>0</v>
      </c>
      <c r="AB129" s="74">
        <v>0</v>
      </c>
      <c r="AC129" s="74">
        <v>0</v>
      </c>
      <c r="AD129" s="74">
        <v>0</v>
      </c>
      <c r="AE129" s="74">
        <v>0</v>
      </c>
      <c r="AF129" s="74">
        <v>0</v>
      </c>
      <c r="AG129" s="90">
        <f t="shared" si="4"/>
        <v>11</v>
      </c>
      <c r="AH129" s="90">
        <f t="shared" si="5"/>
        <v>10</v>
      </c>
      <c r="AI129" s="90">
        <f t="shared" si="6"/>
        <v>1</v>
      </c>
    </row>
    <row r="130" spans="1:35" x14ac:dyDescent="0.35">
      <c r="C130" s="96">
        <v>46088</v>
      </c>
      <c r="D130" s="97">
        <v>9</v>
      </c>
      <c r="E130" s="97" t="s">
        <v>1025</v>
      </c>
      <c r="F130" s="10">
        <v>6</v>
      </c>
      <c r="G130" s="10">
        <v>1</v>
      </c>
      <c r="H130" s="10">
        <v>1</v>
      </c>
      <c r="I130" s="10">
        <v>0</v>
      </c>
      <c r="J130" s="74">
        <v>0</v>
      </c>
      <c r="K130" s="74">
        <v>0</v>
      </c>
      <c r="L130" s="74">
        <v>0</v>
      </c>
      <c r="M130" s="74">
        <v>0</v>
      </c>
      <c r="N130" s="74">
        <v>0</v>
      </c>
      <c r="O130" s="74">
        <v>0</v>
      </c>
      <c r="P130" s="74">
        <v>0</v>
      </c>
      <c r="Q130" s="74">
        <v>0</v>
      </c>
      <c r="R130" s="74">
        <v>0</v>
      </c>
      <c r="S130" s="97" t="s">
        <v>1024</v>
      </c>
      <c r="T130" s="10">
        <v>4</v>
      </c>
      <c r="U130" s="10">
        <v>0</v>
      </c>
      <c r="V130" s="10">
        <v>0</v>
      </c>
      <c r="W130" s="10">
        <v>2</v>
      </c>
      <c r="X130" s="74">
        <v>0</v>
      </c>
      <c r="Y130" s="74">
        <v>0</v>
      </c>
      <c r="Z130" s="74">
        <v>0</v>
      </c>
      <c r="AA130" s="74">
        <v>0</v>
      </c>
      <c r="AB130" s="74">
        <v>0</v>
      </c>
      <c r="AC130" s="74">
        <v>0</v>
      </c>
      <c r="AD130" s="74">
        <v>0</v>
      </c>
      <c r="AE130" s="74">
        <v>1</v>
      </c>
      <c r="AF130" s="74">
        <v>0</v>
      </c>
      <c r="AG130" s="90">
        <f t="shared" si="4"/>
        <v>15</v>
      </c>
      <c r="AH130" s="90">
        <f t="shared" si="5"/>
        <v>14</v>
      </c>
      <c r="AI130" s="90">
        <f t="shared" si="6"/>
        <v>1</v>
      </c>
    </row>
    <row r="131" spans="1:35" ht="29" x14ac:dyDescent="0.35">
      <c r="C131" s="96">
        <v>46091</v>
      </c>
      <c r="D131" s="97">
        <v>9</v>
      </c>
      <c r="E131" s="97" t="s">
        <v>1076</v>
      </c>
      <c r="F131" s="10">
        <v>16</v>
      </c>
      <c r="G131" s="10">
        <v>1</v>
      </c>
      <c r="H131" s="10">
        <v>0</v>
      </c>
      <c r="I131" s="10">
        <v>0</v>
      </c>
      <c r="J131" s="74">
        <v>0</v>
      </c>
      <c r="K131" s="74">
        <v>0</v>
      </c>
      <c r="L131" s="74">
        <v>0</v>
      </c>
      <c r="M131" s="74">
        <v>0</v>
      </c>
      <c r="N131" s="74">
        <v>0</v>
      </c>
      <c r="O131" s="74">
        <v>0</v>
      </c>
      <c r="P131" s="74">
        <v>0</v>
      </c>
      <c r="Q131" s="74">
        <v>0</v>
      </c>
      <c r="R131" s="74">
        <v>0</v>
      </c>
      <c r="S131" s="99" t="s">
        <v>1074</v>
      </c>
      <c r="T131" s="10">
        <v>5</v>
      </c>
      <c r="U131" s="10">
        <v>2</v>
      </c>
      <c r="V131" s="10">
        <v>0</v>
      </c>
      <c r="W131" s="10">
        <v>0</v>
      </c>
      <c r="X131" s="74">
        <v>0</v>
      </c>
      <c r="Y131" s="74">
        <v>1</v>
      </c>
      <c r="Z131" s="74">
        <v>0</v>
      </c>
      <c r="AA131" s="74">
        <v>0</v>
      </c>
      <c r="AB131" s="74">
        <v>0</v>
      </c>
      <c r="AC131" s="74">
        <v>0</v>
      </c>
      <c r="AD131" s="74">
        <v>0</v>
      </c>
      <c r="AE131" s="74">
        <v>1</v>
      </c>
      <c r="AF131" s="74">
        <v>0</v>
      </c>
      <c r="AG131" s="90">
        <f t="shared" si="4"/>
        <v>26</v>
      </c>
      <c r="AH131" s="90">
        <f t="shared" si="5"/>
        <v>24</v>
      </c>
      <c r="AI131" s="90">
        <f t="shared" si="6"/>
        <v>2</v>
      </c>
    </row>
    <row r="132" spans="1:35" ht="29" x14ac:dyDescent="0.35">
      <c r="C132" s="96">
        <v>46094</v>
      </c>
      <c r="D132" s="97">
        <v>9</v>
      </c>
      <c r="E132" s="97" t="s">
        <v>1005</v>
      </c>
      <c r="F132" s="10">
        <v>5</v>
      </c>
      <c r="G132" s="10">
        <v>6</v>
      </c>
      <c r="H132" s="10">
        <v>0</v>
      </c>
      <c r="I132" s="10">
        <v>1</v>
      </c>
      <c r="J132" s="74">
        <v>0</v>
      </c>
      <c r="K132" s="74">
        <v>0</v>
      </c>
      <c r="L132" s="74">
        <v>0</v>
      </c>
      <c r="M132" s="74">
        <v>0</v>
      </c>
      <c r="N132" s="74">
        <v>0</v>
      </c>
      <c r="O132" s="74">
        <v>0</v>
      </c>
      <c r="P132" s="74">
        <v>0</v>
      </c>
      <c r="Q132" s="74">
        <v>0</v>
      </c>
      <c r="R132" s="74">
        <v>0</v>
      </c>
      <c r="S132" s="99" t="s">
        <v>1089</v>
      </c>
      <c r="T132" s="10">
        <v>3</v>
      </c>
      <c r="U132" s="10">
        <v>4</v>
      </c>
      <c r="V132" s="10">
        <v>0</v>
      </c>
      <c r="W132" s="10">
        <v>0</v>
      </c>
      <c r="X132" s="74">
        <v>1</v>
      </c>
      <c r="Y132" s="74">
        <v>0</v>
      </c>
      <c r="Z132" s="74">
        <v>0</v>
      </c>
      <c r="AA132" s="74">
        <v>0</v>
      </c>
      <c r="AB132" s="74">
        <v>0</v>
      </c>
      <c r="AC132" s="74">
        <v>0</v>
      </c>
      <c r="AD132" s="74">
        <v>1</v>
      </c>
      <c r="AE132" s="74">
        <v>0</v>
      </c>
      <c r="AF132" s="74">
        <v>0</v>
      </c>
      <c r="AG132" s="90">
        <f t="shared" si="4"/>
        <v>21</v>
      </c>
      <c r="AH132" s="90">
        <f t="shared" si="5"/>
        <v>19</v>
      </c>
      <c r="AI132" s="90">
        <f t="shared" si="6"/>
        <v>2</v>
      </c>
    </row>
    <row r="133" spans="1:35" ht="29" x14ac:dyDescent="0.35">
      <c r="C133" s="96">
        <v>46098</v>
      </c>
      <c r="D133" s="97">
        <v>9</v>
      </c>
      <c r="E133" s="97" t="s">
        <v>1109</v>
      </c>
      <c r="F133" s="10">
        <v>15</v>
      </c>
      <c r="G133" s="10">
        <v>0</v>
      </c>
      <c r="H133" s="10">
        <v>0</v>
      </c>
      <c r="I133" s="10">
        <v>0</v>
      </c>
      <c r="J133" s="74">
        <v>0</v>
      </c>
      <c r="K133" s="74">
        <v>0</v>
      </c>
      <c r="L133" s="74">
        <v>0</v>
      </c>
      <c r="M133" s="74">
        <v>0</v>
      </c>
      <c r="N133" s="74">
        <v>0</v>
      </c>
      <c r="O133" s="74">
        <v>0</v>
      </c>
      <c r="P133" s="74">
        <v>1</v>
      </c>
      <c r="Q133" s="74">
        <v>0</v>
      </c>
      <c r="R133" s="74">
        <v>0</v>
      </c>
      <c r="S133" s="99" t="s">
        <v>1108</v>
      </c>
      <c r="T133" s="10">
        <v>15</v>
      </c>
      <c r="U133" s="10">
        <v>3</v>
      </c>
      <c r="V133" s="10">
        <v>1</v>
      </c>
      <c r="W133" s="10">
        <v>1</v>
      </c>
      <c r="X133" s="74">
        <v>0</v>
      </c>
      <c r="Y133" s="74">
        <v>0</v>
      </c>
      <c r="Z133" s="74">
        <v>0</v>
      </c>
      <c r="AA133" s="74">
        <v>0</v>
      </c>
      <c r="AB133" s="74">
        <v>0</v>
      </c>
      <c r="AC133" s="74">
        <v>0</v>
      </c>
      <c r="AD133" s="74">
        <v>0</v>
      </c>
      <c r="AE133" s="74">
        <v>0</v>
      </c>
      <c r="AF133" s="74">
        <v>0</v>
      </c>
      <c r="AG133" s="90">
        <f t="shared" si="4"/>
        <v>36</v>
      </c>
      <c r="AH133" s="90">
        <f t="shared" si="5"/>
        <v>35</v>
      </c>
      <c r="AI133" s="90">
        <f t="shared" si="6"/>
        <v>1</v>
      </c>
    </row>
    <row r="134" spans="1:35" x14ac:dyDescent="0.35">
      <c r="C134" s="96">
        <v>46105</v>
      </c>
      <c r="D134" s="97">
        <v>9</v>
      </c>
      <c r="E134" s="97" t="s">
        <v>1128</v>
      </c>
      <c r="F134" s="10">
        <v>5</v>
      </c>
      <c r="G134" s="10">
        <v>0</v>
      </c>
      <c r="H134" s="10">
        <v>0</v>
      </c>
      <c r="I134" s="10">
        <v>0</v>
      </c>
      <c r="J134" s="74">
        <v>0</v>
      </c>
      <c r="K134" s="74">
        <v>1</v>
      </c>
      <c r="L134" s="74">
        <v>0</v>
      </c>
      <c r="M134" s="74">
        <v>1</v>
      </c>
      <c r="N134" s="74">
        <v>0</v>
      </c>
      <c r="O134" s="74">
        <v>0</v>
      </c>
      <c r="P134" s="74">
        <v>0</v>
      </c>
      <c r="Q134" s="74">
        <v>0</v>
      </c>
      <c r="R134" s="74">
        <v>0</v>
      </c>
      <c r="S134" s="97" t="s">
        <v>874</v>
      </c>
      <c r="T134" s="10">
        <v>15</v>
      </c>
      <c r="U134" s="10">
        <v>0</v>
      </c>
      <c r="V134" s="10">
        <v>0</v>
      </c>
      <c r="W134" s="10">
        <v>0</v>
      </c>
      <c r="X134" s="74">
        <v>0</v>
      </c>
      <c r="Y134" s="74">
        <v>0</v>
      </c>
      <c r="Z134" s="74">
        <v>0</v>
      </c>
      <c r="AA134" s="74">
        <v>0</v>
      </c>
      <c r="AB134" s="74">
        <v>0</v>
      </c>
      <c r="AC134" s="74">
        <v>0</v>
      </c>
      <c r="AD134" s="74">
        <v>0</v>
      </c>
      <c r="AE134" s="74">
        <v>0</v>
      </c>
      <c r="AF134" s="74">
        <v>0</v>
      </c>
      <c r="AG134" s="90">
        <f t="shared" si="4"/>
        <v>22</v>
      </c>
      <c r="AH134" s="90">
        <f t="shared" si="5"/>
        <v>20</v>
      </c>
      <c r="AI134" s="90">
        <f t="shared" si="6"/>
        <v>2</v>
      </c>
    </row>
    <row r="135" spans="1:35" x14ac:dyDescent="0.35">
      <c r="C135" s="96">
        <v>46108</v>
      </c>
      <c r="D135" s="97">
        <v>9</v>
      </c>
      <c r="E135" s="97" t="s">
        <v>1156</v>
      </c>
      <c r="F135" s="10">
        <v>3</v>
      </c>
      <c r="G135" s="10">
        <v>0</v>
      </c>
      <c r="H135" s="10">
        <v>0</v>
      </c>
      <c r="I135" s="10">
        <v>0</v>
      </c>
      <c r="J135" s="74">
        <v>0</v>
      </c>
      <c r="K135" s="74">
        <v>2</v>
      </c>
      <c r="L135" s="74">
        <v>0</v>
      </c>
      <c r="M135" s="74">
        <v>0</v>
      </c>
      <c r="N135" s="74">
        <v>0</v>
      </c>
      <c r="O135" s="74">
        <v>1</v>
      </c>
      <c r="P135" s="74">
        <v>0</v>
      </c>
      <c r="Q135" s="74">
        <v>0</v>
      </c>
      <c r="R135" s="74">
        <v>0</v>
      </c>
      <c r="S135" s="97" t="s">
        <v>802</v>
      </c>
      <c r="T135" s="10">
        <v>4</v>
      </c>
      <c r="U135" s="10">
        <v>0</v>
      </c>
      <c r="V135" s="10">
        <v>1</v>
      </c>
      <c r="W135" s="10">
        <v>0</v>
      </c>
      <c r="X135" s="74">
        <v>0</v>
      </c>
      <c r="Y135" s="74">
        <v>0</v>
      </c>
      <c r="Z135" s="74">
        <v>0</v>
      </c>
      <c r="AA135" s="74">
        <v>0</v>
      </c>
      <c r="AB135" s="74">
        <v>0</v>
      </c>
      <c r="AC135" s="74">
        <v>0</v>
      </c>
      <c r="AD135" s="74">
        <v>0</v>
      </c>
      <c r="AE135" s="74">
        <v>0</v>
      </c>
      <c r="AF135" s="74">
        <v>0</v>
      </c>
      <c r="AG135" s="90">
        <f t="shared" si="4"/>
        <v>11</v>
      </c>
      <c r="AH135" s="90">
        <f t="shared" si="5"/>
        <v>8</v>
      </c>
      <c r="AI135" s="90">
        <f t="shared" si="6"/>
        <v>3</v>
      </c>
    </row>
    <row r="137" spans="1:35" x14ac:dyDescent="0.35">
      <c r="A137" s="93">
        <v>7</v>
      </c>
      <c r="B137" s="95" t="s">
        <v>673</v>
      </c>
      <c r="C137" s="96">
        <v>46021</v>
      </c>
      <c r="D137" s="97">
        <v>9</v>
      </c>
      <c r="E137" s="97" t="s">
        <v>343</v>
      </c>
      <c r="F137" s="10">
        <v>2</v>
      </c>
      <c r="G137" s="10">
        <v>2</v>
      </c>
      <c r="H137" s="10">
        <v>0</v>
      </c>
      <c r="I137" s="10">
        <v>0</v>
      </c>
      <c r="J137" s="74">
        <v>0</v>
      </c>
      <c r="K137" s="74">
        <v>1</v>
      </c>
      <c r="L137" s="74">
        <v>0</v>
      </c>
      <c r="M137" s="74">
        <v>0</v>
      </c>
      <c r="N137" s="74">
        <v>0</v>
      </c>
      <c r="O137" s="74">
        <v>0</v>
      </c>
      <c r="P137" s="74">
        <v>0</v>
      </c>
      <c r="Q137" s="74">
        <v>0</v>
      </c>
      <c r="R137" s="74">
        <v>0</v>
      </c>
      <c r="S137" s="97" t="s">
        <v>708</v>
      </c>
      <c r="T137" s="10">
        <v>6</v>
      </c>
      <c r="U137" s="10">
        <v>0</v>
      </c>
      <c r="V137" s="10">
        <v>0</v>
      </c>
      <c r="W137" s="10">
        <v>0</v>
      </c>
      <c r="X137" s="74">
        <v>0</v>
      </c>
      <c r="Y137" s="74">
        <v>0</v>
      </c>
      <c r="Z137" s="74">
        <v>0</v>
      </c>
      <c r="AA137" s="74">
        <v>0</v>
      </c>
      <c r="AB137" s="74">
        <v>0</v>
      </c>
      <c r="AC137" s="74">
        <v>2</v>
      </c>
      <c r="AD137" s="74">
        <v>0</v>
      </c>
      <c r="AE137" s="74">
        <v>0</v>
      </c>
      <c r="AF137" s="74">
        <v>0</v>
      </c>
      <c r="AG137" s="90">
        <f t="shared" si="4"/>
        <v>13</v>
      </c>
      <c r="AH137" s="90">
        <f t="shared" si="5"/>
        <v>10</v>
      </c>
      <c r="AI137" s="90">
        <f t="shared" si="6"/>
        <v>3</v>
      </c>
    </row>
    <row r="138" spans="1:35" x14ac:dyDescent="0.35">
      <c r="C138" s="96">
        <v>46024</v>
      </c>
      <c r="D138" s="97">
        <v>9</v>
      </c>
      <c r="E138" s="97" t="s">
        <v>55</v>
      </c>
      <c r="F138" s="10">
        <v>0</v>
      </c>
      <c r="G138" s="10">
        <v>0</v>
      </c>
      <c r="H138" s="10">
        <v>0</v>
      </c>
      <c r="I138" s="10">
        <v>0</v>
      </c>
      <c r="J138" s="74">
        <v>0</v>
      </c>
      <c r="K138" s="74">
        <v>0</v>
      </c>
      <c r="L138" s="74">
        <v>0</v>
      </c>
      <c r="M138" s="74">
        <v>0</v>
      </c>
      <c r="N138" s="74">
        <v>0</v>
      </c>
      <c r="O138" s="74">
        <v>0</v>
      </c>
      <c r="P138" s="74">
        <v>0</v>
      </c>
      <c r="Q138" s="74">
        <v>0</v>
      </c>
      <c r="R138" s="74">
        <v>0</v>
      </c>
      <c r="S138" s="97" t="s">
        <v>721</v>
      </c>
      <c r="T138" s="10">
        <v>2</v>
      </c>
      <c r="U138" s="10">
        <v>2</v>
      </c>
      <c r="V138" s="10">
        <v>0</v>
      </c>
      <c r="W138" s="10">
        <v>1</v>
      </c>
      <c r="X138" s="74">
        <v>0</v>
      </c>
      <c r="Y138" s="74">
        <v>0</v>
      </c>
      <c r="Z138" s="74">
        <v>0</v>
      </c>
      <c r="AA138" s="74">
        <v>0</v>
      </c>
      <c r="AB138" s="74">
        <v>0</v>
      </c>
      <c r="AC138" s="74">
        <v>0</v>
      </c>
      <c r="AD138" s="74">
        <v>0</v>
      </c>
      <c r="AE138" s="74">
        <v>0</v>
      </c>
      <c r="AF138" s="74">
        <v>0</v>
      </c>
      <c r="AG138" s="90">
        <f t="shared" si="4"/>
        <v>5</v>
      </c>
      <c r="AH138" s="90">
        <f t="shared" si="5"/>
        <v>5</v>
      </c>
      <c r="AI138" s="90">
        <f t="shared" si="6"/>
        <v>0</v>
      </c>
    </row>
    <row r="139" spans="1:35" x14ac:dyDescent="0.35">
      <c r="C139" s="96">
        <v>46027</v>
      </c>
      <c r="D139" s="97">
        <v>9</v>
      </c>
      <c r="E139" s="97" t="s">
        <v>55</v>
      </c>
      <c r="F139" s="10">
        <v>0</v>
      </c>
      <c r="G139" s="10">
        <v>0</v>
      </c>
      <c r="H139" s="10">
        <v>0</v>
      </c>
      <c r="I139" s="10">
        <v>0</v>
      </c>
      <c r="J139" s="74">
        <v>0</v>
      </c>
      <c r="K139" s="74">
        <v>0</v>
      </c>
      <c r="L139" s="74">
        <v>0</v>
      </c>
      <c r="M139" s="74">
        <v>0</v>
      </c>
      <c r="N139" s="74">
        <v>0</v>
      </c>
      <c r="O139" s="74">
        <v>0</v>
      </c>
      <c r="P139" s="74">
        <v>0</v>
      </c>
      <c r="Q139" s="74">
        <v>0</v>
      </c>
      <c r="R139" s="74">
        <v>0</v>
      </c>
      <c r="S139" s="97" t="s">
        <v>728</v>
      </c>
      <c r="T139" s="10">
        <v>4</v>
      </c>
      <c r="U139" s="10">
        <v>0</v>
      </c>
      <c r="V139" s="10">
        <v>0</v>
      </c>
      <c r="W139" s="10">
        <v>0</v>
      </c>
      <c r="X139" s="74">
        <v>0</v>
      </c>
      <c r="Y139" s="74">
        <v>0</v>
      </c>
      <c r="Z139" s="74">
        <v>0</v>
      </c>
      <c r="AA139" s="74">
        <v>2</v>
      </c>
      <c r="AB139" s="74">
        <v>0</v>
      </c>
      <c r="AC139" s="74">
        <v>0</v>
      </c>
      <c r="AD139" s="74">
        <v>0</v>
      </c>
      <c r="AE139" s="74">
        <v>0</v>
      </c>
      <c r="AF139" s="74">
        <v>0</v>
      </c>
      <c r="AG139" s="90">
        <f t="shared" si="4"/>
        <v>6</v>
      </c>
      <c r="AH139" s="90">
        <f t="shared" si="5"/>
        <v>4</v>
      </c>
      <c r="AI139" s="90">
        <f t="shared" si="6"/>
        <v>2</v>
      </c>
    </row>
    <row r="140" spans="1:35" x14ac:dyDescent="0.35">
      <c r="C140" s="96">
        <v>46031</v>
      </c>
      <c r="D140" s="97">
        <v>9</v>
      </c>
      <c r="E140" s="97" t="s">
        <v>741</v>
      </c>
      <c r="F140" s="10">
        <v>3</v>
      </c>
      <c r="G140" s="10">
        <v>1</v>
      </c>
      <c r="H140" s="10">
        <v>0</v>
      </c>
      <c r="I140" s="10">
        <v>0</v>
      </c>
      <c r="J140" s="74">
        <v>0</v>
      </c>
      <c r="K140" s="74">
        <v>0</v>
      </c>
      <c r="L140" s="74">
        <v>0</v>
      </c>
      <c r="M140" s="74">
        <v>1</v>
      </c>
      <c r="N140" s="74">
        <v>0</v>
      </c>
      <c r="O140" s="74">
        <v>0</v>
      </c>
      <c r="P140" s="74">
        <v>0</v>
      </c>
      <c r="Q140" s="74">
        <v>0</v>
      </c>
      <c r="R140" s="74">
        <v>0</v>
      </c>
      <c r="S140" s="97" t="s">
        <v>742</v>
      </c>
      <c r="T140" s="10">
        <v>1</v>
      </c>
      <c r="U140" s="10">
        <v>4</v>
      </c>
      <c r="V140" s="10">
        <v>0</v>
      </c>
      <c r="W140" s="10">
        <v>1</v>
      </c>
      <c r="X140" s="74">
        <v>0</v>
      </c>
      <c r="Y140" s="74">
        <v>0</v>
      </c>
      <c r="Z140" s="74">
        <v>0</v>
      </c>
      <c r="AA140" s="74">
        <v>1</v>
      </c>
      <c r="AB140" s="74">
        <v>0</v>
      </c>
      <c r="AC140" s="74">
        <v>0</v>
      </c>
      <c r="AD140" s="74">
        <v>0</v>
      </c>
      <c r="AE140" s="74">
        <v>0</v>
      </c>
      <c r="AF140" s="74">
        <v>0</v>
      </c>
      <c r="AG140" s="90">
        <f t="shared" si="4"/>
        <v>12</v>
      </c>
      <c r="AH140" s="90">
        <f t="shared" si="5"/>
        <v>10</v>
      </c>
      <c r="AI140" s="90">
        <f t="shared" si="6"/>
        <v>2</v>
      </c>
    </row>
    <row r="141" spans="1:35" x14ac:dyDescent="0.35">
      <c r="C141" s="96">
        <v>46035</v>
      </c>
      <c r="D141" s="97">
        <v>9</v>
      </c>
      <c r="E141" s="97" t="s">
        <v>55</v>
      </c>
      <c r="F141" s="10">
        <v>0</v>
      </c>
      <c r="G141" s="10">
        <v>0</v>
      </c>
      <c r="H141" s="10">
        <v>0</v>
      </c>
      <c r="I141" s="10">
        <v>0</v>
      </c>
      <c r="J141" s="74">
        <v>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  <c r="P141" s="74">
        <v>0</v>
      </c>
      <c r="Q141" s="74">
        <v>0</v>
      </c>
      <c r="R141" s="74">
        <v>0</v>
      </c>
      <c r="S141" s="97" t="s">
        <v>756</v>
      </c>
      <c r="T141" s="10">
        <v>4</v>
      </c>
      <c r="U141" s="10">
        <v>2</v>
      </c>
      <c r="V141" s="10">
        <v>0</v>
      </c>
      <c r="W141" s="10">
        <v>1</v>
      </c>
      <c r="X141" s="74">
        <v>0</v>
      </c>
      <c r="Y141" s="74">
        <v>0</v>
      </c>
      <c r="Z141" s="74">
        <v>0</v>
      </c>
      <c r="AA141" s="74">
        <v>0</v>
      </c>
      <c r="AB141" s="74">
        <v>0</v>
      </c>
      <c r="AC141" s="74">
        <v>0</v>
      </c>
      <c r="AD141" s="74">
        <v>0</v>
      </c>
      <c r="AE141" s="74">
        <v>0</v>
      </c>
      <c r="AF141" s="74">
        <v>0</v>
      </c>
      <c r="AG141" s="90">
        <f t="shared" si="4"/>
        <v>7</v>
      </c>
      <c r="AH141" s="90">
        <f t="shared" si="5"/>
        <v>7</v>
      </c>
      <c r="AI141" s="90">
        <f t="shared" si="6"/>
        <v>0</v>
      </c>
    </row>
    <row r="142" spans="1:35" x14ac:dyDescent="0.35">
      <c r="C142" s="96">
        <v>46038</v>
      </c>
      <c r="D142" s="97">
        <v>9</v>
      </c>
      <c r="E142" s="97" t="s">
        <v>772</v>
      </c>
      <c r="F142" s="10">
        <v>0</v>
      </c>
      <c r="G142" s="10">
        <v>2</v>
      </c>
      <c r="H142" s="10">
        <v>0</v>
      </c>
      <c r="I142" s="10">
        <v>1</v>
      </c>
      <c r="J142" s="74">
        <v>0</v>
      </c>
      <c r="K142" s="74">
        <v>1</v>
      </c>
      <c r="L142" s="74">
        <v>0</v>
      </c>
      <c r="M142" s="74">
        <v>0</v>
      </c>
      <c r="N142" s="74">
        <v>0</v>
      </c>
      <c r="O142" s="74">
        <v>0</v>
      </c>
      <c r="P142" s="74">
        <v>0</v>
      </c>
      <c r="Q142" s="74">
        <v>1</v>
      </c>
      <c r="R142" s="74">
        <v>0</v>
      </c>
      <c r="S142" s="97" t="s">
        <v>777</v>
      </c>
      <c r="T142" s="10">
        <v>2</v>
      </c>
      <c r="U142" s="10">
        <v>2</v>
      </c>
      <c r="V142" s="10">
        <v>0</v>
      </c>
      <c r="W142" s="10">
        <v>1</v>
      </c>
      <c r="X142" s="74">
        <v>0</v>
      </c>
      <c r="Y142" s="74">
        <v>0</v>
      </c>
      <c r="Z142" s="74">
        <v>0</v>
      </c>
      <c r="AA142" s="74">
        <v>0</v>
      </c>
      <c r="AB142" s="74">
        <v>0</v>
      </c>
      <c r="AC142" s="74">
        <v>0</v>
      </c>
      <c r="AD142" s="74">
        <v>0</v>
      </c>
      <c r="AE142" s="74">
        <v>0</v>
      </c>
      <c r="AF142" s="74">
        <v>0</v>
      </c>
      <c r="AG142" s="90">
        <f t="shared" si="4"/>
        <v>10</v>
      </c>
      <c r="AH142" s="90">
        <f t="shared" si="5"/>
        <v>8</v>
      </c>
      <c r="AI142" s="90">
        <f t="shared" si="6"/>
        <v>2</v>
      </c>
    </row>
    <row r="143" spans="1:35" x14ac:dyDescent="0.35">
      <c r="C143" s="96">
        <v>46041</v>
      </c>
      <c r="D143" s="97">
        <v>9</v>
      </c>
      <c r="E143" s="97" t="s">
        <v>787</v>
      </c>
      <c r="F143" s="10">
        <v>0</v>
      </c>
      <c r="G143" s="10">
        <v>0</v>
      </c>
      <c r="H143" s="10">
        <v>0</v>
      </c>
      <c r="I143" s="10">
        <v>0</v>
      </c>
      <c r="J143" s="74">
        <v>0</v>
      </c>
      <c r="K143" s="74">
        <v>0</v>
      </c>
      <c r="L143" s="74">
        <v>0</v>
      </c>
      <c r="M143" s="74">
        <v>1</v>
      </c>
      <c r="N143" s="74">
        <v>0</v>
      </c>
      <c r="O143" s="74">
        <v>0</v>
      </c>
      <c r="P143" s="74">
        <v>0</v>
      </c>
      <c r="Q143" s="74">
        <v>0</v>
      </c>
      <c r="R143" s="74">
        <v>0</v>
      </c>
      <c r="S143" s="97" t="s">
        <v>659</v>
      </c>
      <c r="T143" s="10">
        <v>4</v>
      </c>
      <c r="U143" s="10">
        <v>0</v>
      </c>
      <c r="V143" s="10">
        <v>0</v>
      </c>
      <c r="W143" s="10">
        <v>0</v>
      </c>
      <c r="X143" s="74">
        <v>0</v>
      </c>
      <c r="Y143" s="74">
        <v>1</v>
      </c>
      <c r="Z143" s="74">
        <v>0</v>
      </c>
      <c r="AA143" s="74">
        <v>0</v>
      </c>
      <c r="AB143" s="74">
        <v>0</v>
      </c>
      <c r="AC143" s="74">
        <v>0</v>
      </c>
      <c r="AD143" s="74">
        <v>0</v>
      </c>
      <c r="AE143" s="74">
        <v>0</v>
      </c>
      <c r="AF143" s="74">
        <v>0</v>
      </c>
      <c r="AG143" s="90">
        <f t="shared" si="4"/>
        <v>6</v>
      </c>
      <c r="AH143" s="90">
        <f t="shared" si="5"/>
        <v>4</v>
      </c>
      <c r="AI143" s="90">
        <f t="shared" si="6"/>
        <v>2</v>
      </c>
    </row>
    <row r="144" spans="1:35" ht="29" x14ac:dyDescent="0.35">
      <c r="C144" s="96">
        <v>46045</v>
      </c>
      <c r="D144" s="97">
        <v>9</v>
      </c>
      <c r="E144" s="99" t="s">
        <v>799</v>
      </c>
      <c r="F144" s="10">
        <v>4</v>
      </c>
      <c r="G144" s="10">
        <v>1</v>
      </c>
      <c r="H144" s="10">
        <v>0</v>
      </c>
      <c r="I144" s="10">
        <v>0</v>
      </c>
      <c r="J144" s="74">
        <v>0</v>
      </c>
      <c r="K144" s="74">
        <v>2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97" t="s">
        <v>242</v>
      </c>
      <c r="T144" s="10">
        <v>2</v>
      </c>
      <c r="U144" s="10">
        <v>1</v>
      </c>
      <c r="V144" s="10">
        <v>0</v>
      </c>
      <c r="W144" s="10">
        <v>0</v>
      </c>
      <c r="X144" s="74">
        <v>0</v>
      </c>
      <c r="Y144" s="74">
        <v>0</v>
      </c>
      <c r="Z144" s="74">
        <v>0</v>
      </c>
      <c r="AA144" s="74">
        <v>0</v>
      </c>
      <c r="AB144" s="74">
        <v>0</v>
      </c>
      <c r="AC144" s="74">
        <v>0</v>
      </c>
      <c r="AD144" s="74">
        <v>0</v>
      </c>
      <c r="AE144" s="74">
        <v>0</v>
      </c>
      <c r="AF144" s="74">
        <v>0</v>
      </c>
      <c r="AG144" s="90">
        <f t="shared" si="4"/>
        <v>10</v>
      </c>
      <c r="AH144" s="90">
        <f t="shared" si="5"/>
        <v>8</v>
      </c>
      <c r="AI144" s="90">
        <f t="shared" si="6"/>
        <v>2</v>
      </c>
    </row>
    <row r="145" spans="3:35" ht="29" x14ac:dyDescent="0.35">
      <c r="C145" s="96">
        <v>46049</v>
      </c>
      <c r="D145" s="97">
        <v>9</v>
      </c>
      <c r="E145" s="99" t="s">
        <v>805</v>
      </c>
      <c r="F145" s="10">
        <v>0</v>
      </c>
      <c r="G145" s="10">
        <v>2</v>
      </c>
      <c r="H145" s="10">
        <v>0</v>
      </c>
      <c r="I145" s="10">
        <v>1</v>
      </c>
      <c r="J145" s="74">
        <v>0</v>
      </c>
      <c r="K145" s="74">
        <v>1</v>
      </c>
      <c r="L145" s="74">
        <v>0</v>
      </c>
      <c r="M145" s="74">
        <v>0</v>
      </c>
      <c r="N145" s="74">
        <v>0</v>
      </c>
      <c r="O145" s="74">
        <v>0</v>
      </c>
      <c r="P145" s="74">
        <v>0</v>
      </c>
      <c r="Q145" s="74">
        <v>0</v>
      </c>
      <c r="R145" s="74">
        <v>0</v>
      </c>
      <c r="S145" s="97" t="s">
        <v>299</v>
      </c>
      <c r="T145" s="10">
        <v>2</v>
      </c>
      <c r="U145" s="10">
        <v>3</v>
      </c>
      <c r="V145" s="10">
        <v>0</v>
      </c>
      <c r="W145" s="10">
        <v>0</v>
      </c>
      <c r="X145" s="74">
        <v>0</v>
      </c>
      <c r="Y145" s="74">
        <v>0</v>
      </c>
      <c r="Z145" s="74">
        <v>0</v>
      </c>
      <c r="AA145" s="74">
        <v>0</v>
      </c>
      <c r="AB145" s="74">
        <v>0</v>
      </c>
      <c r="AC145" s="74">
        <v>0</v>
      </c>
      <c r="AD145" s="74">
        <v>0</v>
      </c>
      <c r="AE145" s="74">
        <v>0</v>
      </c>
      <c r="AF145" s="74">
        <v>0</v>
      </c>
      <c r="AG145" s="90">
        <f t="shared" si="4"/>
        <v>9</v>
      </c>
      <c r="AH145" s="90">
        <f t="shared" si="5"/>
        <v>8</v>
      </c>
      <c r="AI145" s="90">
        <f t="shared" si="6"/>
        <v>1</v>
      </c>
    </row>
    <row r="146" spans="3:35" x14ac:dyDescent="0.35">
      <c r="C146" s="96">
        <v>46052</v>
      </c>
      <c r="D146" s="97">
        <v>9</v>
      </c>
      <c r="E146" s="97" t="s">
        <v>823</v>
      </c>
      <c r="F146" s="10">
        <v>4</v>
      </c>
      <c r="G146" s="10">
        <v>1</v>
      </c>
      <c r="H146" s="10">
        <v>1</v>
      </c>
      <c r="I146" s="10">
        <v>0</v>
      </c>
      <c r="J146" s="74">
        <v>0</v>
      </c>
      <c r="K146" s="74">
        <v>0</v>
      </c>
      <c r="L146" s="74">
        <v>0</v>
      </c>
      <c r="M146" s="74">
        <v>1</v>
      </c>
      <c r="N146" s="74">
        <v>0</v>
      </c>
      <c r="O146" s="74">
        <v>0</v>
      </c>
      <c r="P146" s="74">
        <v>0</v>
      </c>
      <c r="Q146" s="74">
        <v>0</v>
      </c>
      <c r="R146" s="74">
        <v>0</v>
      </c>
      <c r="S146" s="97" t="s">
        <v>824</v>
      </c>
      <c r="T146" s="10">
        <v>6</v>
      </c>
      <c r="U146" s="10">
        <v>0</v>
      </c>
      <c r="V146" s="10">
        <v>0</v>
      </c>
      <c r="W146" s="10">
        <v>0</v>
      </c>
      <c r="X146" s="74">
        <v>0</v>
      </c>
      <c r="Y146" s="74">
        <v>0</v>
      </c>
      <c r="Z146" s="74">
        <v>0</v>
      </c>
      <c r="AA146" s="74">
        <v>0</v>
      </c>
      <c r="AB146" s="74">
        <v>0</v>
      </c>
      <c r="AC146" s="74">
        <v>0</v>
      </c>
      <c r="AD146" s="74">
        <v>0</v>
      </c>
      <c r="AE146" s="74">
        <v>0</v>
      </c>
      <c r="AF146" s="74">
        <v>0</v>
      </c>
      <c r="AG146" s="90">
        <f t="shared" si="4"/>
        <v>13</v>
      </c>
      <c r="AH146" s="90">
        <f t="shared" si="5"/>
        <v>12</v>
      </c>
      <c r="AI146" s="90">
        <f t="shared" si="6"/>
        <v>1</v>
      </c>
    </row>
    <row r="147" spans="3:35" x14ac:dyDescent="0.35">
      <c r="C147" s="96">
        <v>46056</v>
      </c>
      <c r="D147" s="97">
        <v>9</v>
      </c>
      <c r="E147" s="97" t="s">
        <v>848</v>
      </c>
      <c r="F147" s="10">
        <v>0</v>
      </c>
      <c r="G147" s="10">
        <v>0</v>
      </c>
      <c r="H147" s="10">
        <v>0</v>
      </c>
      <c r="I147" s="10">
        <v>0</v>
      </c>
      <c r="J147" s="74">
        <v>0</v>
      </c>
      <c r="K147" s="74">
        <v>0</v>
      </c>
      <c r="L147" s="74">
        <v>0</v>
      </c>
      <c r="M147" s="74">
        <v>0</v>
      </c>
      <c r="N147" s="74">
        <v>0</v>
      </c>
      <c r="O147" s="74">
        <v>0</v>
      </c>
      <c r="P147" s="74">
        <v>0</v>
      </c>
      <c r="Q147" s="74">
        <v>0</v>
      </c>
      <c r="R147" s="74">
        <v>0</v>
      </c>
      <c r="S147" s="97" t="s">
        <v>232</v>
      </c>
      <c r="T147" s="10">
        <v>2</v>
      </c>
      <c r="U147" s="10">
        <v>1</v>
      </c>
      <c r="V147" s="10">
        <v>0</v>
      </c>
      <c r="W147" s="10">
        <v>0</v>
      </c>
      <c r="X147" s="74">
        <v>0</v>
      </c>
      <c r="Y147" s="74">
        <v>0</v>
      </c>
      <c r="Z147" s="74">
        <v>0</v>
      </c>
      <c r="AA147" s="74">
        <v>1</v>
      </c>
      <c r="AB147" s="74">
        <v>0</v>
      </c>
      <c r="AC147" s="74">
        <v>0</v>
      </c>
      <c r="AD147" s="74">
        <v>0</v>
      </c>
      <c r="AE147" s="74">
        <v>0</v>
      </c>
      <c r="AF147" s="74">
        <v>0</v>
      </c>
      <c r="AG147" s="90">
        <f t="shared" si="4"/>
        <v>4</v>
      </c>
      <c r="AH147" s="90">
        <f t="shared" si="5"/>
        <v>3</v>
      </c>
      <c r="AI147" s="90">
        <f t="shared" si="6"/>
        <v>1</v>
      </c>
    </row>
    <row r="148" spans="3:35" x14ac:dyDescent="0.35">
      <c r="C148" s="96">
        <v>46059</v>
      </c>
      <c r="D148" s="97">
        <v>9</v>
      </c>
      <c r="E148" s="97" t="s">
        <v>218</v>
      </c>
      <c r="F148" s="10">
        <v>2</v>
      </c>
      <c r="G148" s="10">
        <v>0</v>
      </c>
      <c r="H148" s="10">
        <v>0</v>
      </c>
      <c r="I148" s="10">
        <v>0</v>
      </c>
      <c r="J148" s="74">
        <v>0</v>
      </c>
      <c r="K148" s="74">
        <v>1</v>
      </c>
      <c r="L148" s="74">
        <v>0</v>
      </c>
      <c r="M148" s="74">
        <v>0</v>
      </c>
      <c r="N148" s="74">
        <v>0</v>
      </c>
      <c r="O148" s="74">
        <v>0</v>
      </c>
      <c r="P148" s="74">
        <v>0</v>
      </c>
      <c r="Q148" s="74">
        <v>0</v>
      </c>
      <c r="R148" s="74">
        <v>0</v>
      </c>
      <c r="S148" s="97" t="s">
        <v>186</v>
      </c>
      <c r="T148" s="10">
        <v>1</v>
      </c>
      <c r="U148" s="10">
        <v>0</v>
      </c>
      <c r="V148" s="10">
        <v>0</v>
      </c>
      <c r="W148" s="10">
        <v>0</v>
      </c>
      <c r="X148" s="74">
        <v>0</v>
      </c>
      <c r="Y148" s="74">
        <v>0</v>
      </c>
      <c r="Z148" s="74">
        <v>0</v>
      </c>
      <c r="AA148" s="74">
        <v>0</v>
      </c>
      <c r="AB148" s="74">
        <v>0</v>
      </c>
      <c r="AC148" s="74">
        <v>0</v>
      </c>
      <c r="AD148" s="74">
        <v>0</v>
      </c>
      <c r="AE148" s="74">
        <v>0</v>
      </c>
      <c r="AF148" s="74">
        <v>0</v>
      </c>
      <c r="AG148" s="90">
        <f t="shared" si="4"/>
        <v>4</v>
      </c>
      <c r="AH148" s="90">
        <f t="shared" si="5"/>
        <v>3</v>
      </c>
      <c r="AI148" s="90">
        <f t="shared" si="6"/>
        <v>1</v>
      </c>
    </row>
    <row r="149" spans="3:35" x14ac:dyDescent="0.35">
      <c r="C149" s="96">
        <v>46062</v>
      </c>
      <c r="D149" s="97">
        <v>9</v>
      </c>
      <c r="E149" s="97" t="s">
        <v>867</v>
      </c>
      <c r="F149" s="10">
        <v>4</v>
      </c>
      <c r="G149" s="10">
        <v>1</v>
      </c>
      <c r="H149" s="10">
        <v>0</v>
      </c>
      <c r="I149" s="10">
        <v>1</v>
      </c>
      <c r="J149" s="74">
        <v>1</v>
      </c>
      <c r="K149" s="74">
        <v>0</v>
      </c>
      <c r="L149" s="74">
        <v>0</v>
      </c>
      <c r="M149" s="74">
        <v>0</v>
      </c>
      <c r="N149" s="74">
        <v>0</v>
      </c>
      <c r="O149" s="74">
        <v>0</v>
      </c>
      <c r="P149" s="74">
        <v>0</v>
      </c>
      <c r="Q149" s="74">
        <v>0</v>
      </c>
      <c r="R149" s="74">
        <v>0</v>
      </c>
      <c r="S149" s="97" t="s">
        <v>82</v>
      </c>
      <c r="T149" s="10">
        <v>3</v>
      </c>
      <c r="U149" s="10">
        <v>0</v>
      </c>
      <c r="V149" s="10">
        <v>1</v>
      </c>
      <c r="W149" s="10">
        <v>0</v>
      </c>
      <c r="X149" s="74">
        <v>0</v>
      </c>
      <c r="Y149" s="74">
        <v>0</v>
      </c>
      <c r="Z149" s="74">
        <v>0</v>
      </c>
      <c r="AA149" s="74">
        <v>0</v>
      </c>
      <c r="AB149" s="74">
        <v>0</v>
      </c>
      <c r="AC149" s="74">
        <v>0</v>
      </c>
      <c r="AD149" s="74">
        <v>0</v>
      </c>
      <c r="AE149" s="74">
        <v>0</v>
      </c>
      <c r="AF149" s="74">
        <v>0</v>
      </c>
      <c r="AG149" s="90">
        <f t="shared" si="4"/>
        <v>11</v>
      </c>
      <c r="AH149" s="90">
        <f t="shared" si="5"/>
        <v>10</v>
      </c>
      <c r="AI149" s="90">
        <f t="shared" si="6"/>
        <v>1</v>
      </c>
    </row>
    <row r="150" spans="3:35" ht="29" x14ac:dyDescent="0.35">
      <c r="C150" s="96">
        <v>46066</v>
      </c>
      <c r="D150" s="97">
        <v>9</v>
      </c>
      <c r="E150" s="99" t="s">
        <v>893</v>
      </c>
      <c r="F150" s="10">
        <v>3</v>
      </c>
      <c r="G150" s="10">
        <v>3</v>
      </c>
      <c r="H150" s="10">
        <v>0</v>
      </c>
      <c r="I150" s="10">
        <v>2</v>
      </c>
      <c r="J150" s="74">
        <v>0</v>
      </c>
      <c r="K150" s="74">
        <v>1</v>
      </c>
      <c r="L150" s="74">
        <v>0</v>
      </c>
      <c r="M150" s="74">
        <v>1</v>
      </c>
      <c r="N150" s="74">
        <v>0</v>
      </c>
      <c r="O150" s="74">
        <v>0</v>
      </c>
      <c r="P150" s="74">
        <v>0</v>
      </c>
      <c r="Q150" s="74">
        <v>0</v>
      </c>
      <c r="R150" s="74">
        <v>0</v>
      </c>
      <c r="S150" s="97" t="s">
        <v>111</v>
      </c>
      <c r="T150" s="10">
        <v>2</v>
      </c>
      <c r="U150" s="10">
        <v>0</v>
      </c>
      <c r="V150" s="10">
        <v>0</v>
      </c>
      <c r="W150" s="10">
        <v>1</v>
      </c>
      <c r="X150" s="74">
        <v>0</v>
      </c>
      <c r="Y150" s="74">
        <v>0</v>
      </c>
      <c r="Z150" s="74">
        <v>0</v>
      </c>
      <c r="AA150" s="74">
        <v>0</v>
      </c>
      <c r="AB150" s="74">
        <v>0</v>
      </c>
      <c r="AC150" s="74">
        <v>0</v>
      </c>
      <c r="AD150" s="74">
        <v>0</v>
      </c>
      <c r="AE150" s="74">
        <v>0</v>
      </c>
      <c r="AF150" s="74">
        <v>0</v>
      </c>
      <c r="AG150" s="90">
        <f t="shared" si="4"/>
        <v>13</v>
      </c>
      <c r="AH150" s="90">
        <f t="shared" si="5"/>
        <v>11</v>
      </c>
      <c r="AI150" s="90">
        <f t="shared" si="6"/>
        <v>2</v>
      </c>
    </row>
    <row r="151" spans="3:35" x14ac:dyDescent="0.35">
      <c r="C151" s="96">
        <v>46070</v>
      </c>
      <c r="D151" s="97">
        <v>9</v>
      </c>
      <c r="E151" s="97" t="s">
        <v>904</v>
      </c>
      <c r="F151" s="10">
        <v>2</v>
      </c>
      <c r="G151" s="10">
        <v>1</v>
      </c>
      <c r="H151" s="10">
        <v>0</v>
      </c>
      <c r="I151" s="10">
        <v>0</v>
      </c>
      <c r="J151" s="74">
        <v>0</v>
      </c>
      <c r="K151" s="74">
        <v>2</v>
      </c>
      <c r="L151" s="74">
        <v>0</v>
      </c>
      <c r="M151" s="74">
        <v>0</v>
      </c>
      <c r="N151" s="74">
        <v>0</v>
      </c>
      <c r="O151" s="74">
        <v>0</v>
      </c>
      <c r="P151" s="74">
        <v>0</v>
      </c>
      <c r="Q151" s="74">
        <v>0</v>
      </c>
      <c r="R151" s="74">
        <v>0</v>
      </c>
      <c r="S151" s="97" t="s">
        <v>691</v>
      </c>
      <c r="T151" s="10">
        <v>2</v>
      </c>
      <c r="U151" s="10">
        <v>2</v>
      </c>
      <c r="V151" s="10">
        <v>0</v>
      </c>
      <c r="W151" s="10">
        <v>0</v>
      </c>
      <c r="X151" s="74">
        <v>0</v>
      </c>
      <c r="Y151" s="74">
        <v>0</v>
      </c>
      <c r="Z151" s="74">
        <v>0</v>
      </c>
      <c r="AA151" s="74">
        <v>0</v>
      </c>
      <c r="AB151" s="74">
        <v>0</v>
      </c>
      <c r="AC151" s="74">
        <v>0</v>
      </c>
      <c r="AD151" s="74">
        <v>0</v>
      </c>
      <c r="AE151" s="74">
        <v>0</v>
      </c>
      <c r="AF151" s="74">
        <v>0</v>
      </c>
      <c r="AG151" s="90">
        <f t="shared" si="4"/>
        <v>9</v>
      </c>
      <c r="AH151" s="90">
        <f t="shared" si="5"/>
        <v>7</v>
      </c>
      <c r="AI151" s="90">
        <f t="shared" si="6"/>
        <v>2</v>
      </c>
    </row>
    <row r="152" spans="3:35" x14ac:dyDescent="0.35">
      <c r="C152" s="96">
        <v>46074</v>
      </c>
      <c r="D152" s="97">
        <v>9</v>
      </c>
      <c r="E152" s="97" t="s">
        <v>926</v>
      </c>
      <c r="F152" s="10">
        <v>0</v>
      </c>
      <c r="G152" s="10">
        <v>0</v>
      </c>
      <c r="H152" s="10">
        <v>1</v>
      </c>
      <c r="I152" s="10">
        <v>0</v>
      </c>
      <c r="J152" s="74">
        <v>0</v>
      </c>
      <c r="K152" s="74">
        <v>1</v>
      </c>
      <c r="L152" s="74">
        <v>0</v>
      </c>
      <c r="M152" s="74">
        <v>0</v>
      </c>
      <c r="N152" s="74">
        <v>0</v>
      </c>
      <c r="O152" s="74">
        <v>0</v>
      </c>
      <c r="P152" s="74">
        <v>0</v>
      </c>
      <c r="Q152" s="74">
        <v>0</v>
      </c>
      <c r="R152" s="74">
        <v>0</v>
      </c>
      <c r="S152" s="97" t="s">
        <v>764</v>
      </c>
      <c r="T152" s="10">
        <v>4</v>
      </c>
      <c r="U152" s="10">
        <v>2</v>
      </c>
      <c r="V152" s="10">
        <v>0</v>
      </c>
      <c r="W152" s="10">
        <v>0</v>
      </c>
      <c r="X152" s="74">
        <v>0</v>
      </c>
      <c r="Y152" s="74">
        <v>0</v>
      </c>
      <c r="Z152" s="74">
        <v>0</v>
      </c>
      <c r="AA152" s="74">
        <v>0</v>
      </c>
      <c r="AB152" s="74">
        <v>0</v>
      </c>
      <c r="AC152" s="74">
        <v>1</v>
      </c>
      <c r="AD152" s="74">
        <v>0</v>
      </c>
      <c r="AE152" s="74">
        <v>0</v>
      </c>
      <c r="AF152" s="74">
        <v>0</v>
      </c>
      <c r="AG152" s="90">
        <f t="shared" si="4"/>
        <v>9</v>
      </c>
      <c r="AH152" s="90">
        <f t="shared" si="5"/>
        <v>7</v>
      </c>
      <c r="AI152" s="90">
        <f t="shared" si="6"/>
        <v>2</v>
      </c>
    </row>
    <row r="153" spans="3:35" x14ac:dyDescent="0.35">
      <c r="C153" s="96">
        <v>46077</v>
      </c>
      <c r="D153" s="97">
        <v>9</v>
      </c>
      <c r="E153" s="97" t="s">
        <v>947</v>
      </c>
      <c r="F153" s="10">
        <v>4</v>
      </c>
      <c r="G153" s="10">
        <v>4</v>
      </c>
      <c r="H153" s="10">
        <v>0</v>
      </c>
      <c r="I153" s="10">
        <v>0</v>
      </c>
      <c r="J153" s="74">
        <v>0</v>
      </c>
      <c r="K153" s="74">
        <v>1</v>
      </c>
      <c r="L153" s="74">
        <v>0</v>
      </c>
      <c r="M153" s="74">
        <v>0</v>
      </c>
      <c r="N153" s="74">
        <v>0</v>
      </c>
      <c r="O153" s="74">
        <v>0</v>
      </c>
      <c r="P153" s="74">
        <v>0</v>
      </c>
      <c r="Q153" s="74">
        <v>0</v>
      </c>
      <c r="R153" s="74">
        <v>0</v>
      </c>
      <c r="S153" s="97" t="s">
        <v>946</v>
      </c>
      <c r="T153" s="10">
        <v>1</v>
      </c>
      <c r="U153" s="10">
        <v>1</v>
      </c>
      <c r="V153" s="10">
        <v>0</v>
      </c>
      <c r="W153" s="10">
        <v>0</v>
      </c>
      <c r="X153" s="74">
        <v>1</v>
      </c>
      <c r="Y153" s="74">
        <v>0</v>
      </c>
      <c r="Z153" s="74">
        <v>0</v>
      </c>
      <c r="AA153" s="74">
        <v>1</v>
      </c>
      <c r="AB153" s="74">
        <v>0</v>
      </c>
      <c r="AC153" s="74">
        <v>0</v>
      </c>
      <c r="AD153" s="74">
        <v>0</v>
      </c>
      <c r="AE153" s="74">
        <v>0</v>
      </c>
      <c r="AF153" s="74">
        <v>0</v>
      </c>
      <c r="AG153" s="90">
        <f t="shared" si="4"/>
        <v>13</v>
      </c>
      <c r="AH153" s="90">
        <f t="shared" si="5"/>
        <v>10</v>
      </c>
      <c r="AI153" s="90">
        <f t="shared" si="6"/>
        <v>3</v>
      </c>
    </row>
    <row r="154" spans="3:35" x14ac:dyDescent="0.35">
      <c r="C154" s="96">
        <v>46080</v>
      </c>
      <c r="D154" s="97">
        <v>9</v>
      </c>
      <c r="E154" s="97" t="s">
        <v>964</v>
      </c>
      <c r="F154" s="10">
        <v>2</v>
      </c>
      <c r="G154" s="10">
        <v>1</v>
      </c>
      <c r="H154" s="10">
        <v>0</v>
      </c>
      <c r="I154" s="10">
        <v>1</v>
      </c>
      <c r="J154" s="74">
        <v>0</v>
      </c>
      <c r="K154" s="74">
        <v>0</v>
      </c>
      <c r="L154" s="74">
        <v>0</v>
      </c>
      <c r="M154" s="74">
        <v>1</v>
      </c>
      <c r="N154" s="74">
        <v>0</v>
      </c>
      <c r="O154" s="74">
        <v>0</v>
      </c>
      <c r="P154" s="74">
        <v>0</v>
      </c>
      <c r="Q154" s="74">
        <v>0</v>
      </c>
      <c r="R154" s="74">
        <v>0</v>
      </c>
      <c r="S154" s="97" t="s">
        <v>965</v>
      </c>
      <c r="T154" s="10">
        <v>4</v>
      </c>
      <c r="U154" s="10">
        <v>1</v>
      </c>
      <c r="V154" s="10">
        <v>0</v>
      </c>
      <c r="W154" s="10">
        <v>0</v>
      </c>
      <c r="X154" s="74">
        <v>2</v>
      </c>
      <c r="Y154" s="74">
        <v>0</v>
      </c>
      <c r="Z154" s="74">
        <v>0</v>
      </c>
      <c r="AA154" s="74">
        <v>0</v>
      </c>
      <c r="AB154" s="74">
        <v>0</v>
      </c>
      <c r="AC154" s="74">
        <v>0</v>
      </c>
      <c r="AD154" s="74">
        <v>0</v>
      </c>
      <c r="AE154" s="74">
        <v>0</v>
      </c>
      <c r="AF154" s="74">
        <v>0</v>
      </c>
      <c r="AG154" s="90">
        <f t="shared" si="4"/>
        <v>12</v>
      </c>
      <c r="AH154" s="90">
        <f t="shared" si="5"/>
        <v>9</v>
      </c>
      <c r="AI154" s="90">
        <f t="shared" si="6"/>
        <v>3</v>
      </c>
    </row>
    <row r="155" spans="3:35" x14ac:dyDescent="0.35">
      <c r="C155" s="96">
        <v>46084</v>
      </c>
      <c r="D155" s="97">
        <v>9</v>
      </c>
      <c r="E155" s="97" t="s">
        <v>208</v>
      </c>
      <c r="F155" s="10">
        <v>3</v>
      </c>
      <c r="G155" s="10">
        <v>2</v>
      </c>
      <c r="H155" s="10">
        <v>0</v>
      </c>
      <c r="I155" s="10">
        <v>0</v>
      </c>
      <c r="J155" s="74">
        <v>0</v>
      </c>
      <c r="K155" s="74">
        <v>1</v>
      </c>
      <c r="L155" s="74">
        <v>0</v>
      </c>
      <c r="M155" s="74">
        <v>0</v>
      </c>
      <c r="N155" s="74">
        <v>0</v>
      </c>
      <c r="O155" s="74">
        <v>0</v>
      </c>
      <c r="P155" s="74">
        <v>0</v>
      </c>
      <c r="Q155" s="74">
        <v>0</v>
      </c>
      <c r="R155" s="74">
        <v>0</v>
      </c>
      <c r="S155" s="97" t="s">
        <v>989</v>
      </c>
      <c r="T155" s="10">
        <v>4</v>
      </c>
      <c r="U155" s="10">
        <v>0</v>
      </c>
      <c r="V155" s="10">
        <v>0</v>
      </c>
      <c r="W155" s="10">
        <v>1</v>
      </c>
      <c r="X155" s="74">
        <v>0</v>
      </c>
      <c r="Y155" s="74">
        <v>1</v>
      </c>
      <c r="Z155" s="74">
        <v>0</v>
      </c>
      <c r="AA155" s="74">
        <v>0</v>
      </c>
      <c r="AB155" s="74">
        <v>0</v>
      </c>
      <c r="AC155" s="74">
        <v>0</v>
      </c>
      <c r="AD155" s="74">
        <v>0</v>
      </c>
      <c r="AE155" s="74">
        <v>0</v>
      </c>
      <c r="AF155" s="74">
        <v>0</v>
      </c>
      <c r="AG155" s="90">
        <f t="shared" si="4"/>
        <v>12</v>
      </c>
      <c r="AH155" s="90">
        <f t="shared" si="5"/>
        <v>10</v>
      </c>
      <c r="AI155" s="90">
        <f t="shared" si="6"/>
        <v>2</v>
      </c>
    </row>
    <row r="156" spans="3:35" x14ac:dyDescent="0.35">
      <c r="C156" s="96">
        <v>46088</v>
      </c>
      <c r="D156" s="97">
        <v>9</v>
      </c>
      <c r="E156" s="97" t="s">
        <v>577</v>
      </c>
      <c r="F156" s="10">
        <v>4</v>
      </c>
      <c r="G156" s="10">
        <v>2</v>
      </c>
      <c r="H156" s="10">
        <v>0</v>
      </c>
      <c r="I156" s="10">
        <v>1</v>
      </c>
      <c r="J156" s="74">
        <v>0</v>
      </c>
      <c r="K156" s="74">
        <v>0</v>
      </c>
      <c r="L156" s="74">
        <v>0</v>
      </c>
      <c r="M156" s="74">
        <v>0</v>
      </c>
      <c r="N156" s="74">
        <v>0</v>
      </c>
      <c r="O156" s="74">
        <v>0</v>
      </c>
      <c r="P156" s="74">
        <v>0</v>
      </c>
      <c r="Q156" s="74">
        <v>0</v>
      </c>
      <c r="R156" s="74">
        <v>0</v>
      </c>
      <c r="S156" s="97" t="s">
        <v>1020</v>
      </c>
      <c r="T156" s="10">
        <v>5</v>
      </c>
      <c r="U156" s="10">
        <v>4</v>
      </c>
      <c r="V156" s="10">
        <v>0</v>
      </c>
      <c r="W156" s="10">
        <v>2</v>
      </c>
      <c r="X156" s="74">
        <v>0</v>
      </c>
      <c r="Y156" s="74">
        <v>0</v>
      </c>
      <c r="Z156" s="74">
        <v>0</v>
      </c>
      <c r="AA156" s="74">
        <v>0</v>
      </c>
      <c r="AB156" s="74">
        <v>0</v>
      </c>
      <c r="AC156" s="74">
        <v>1</v>
      </c>
      <c r="AD156" s="74">
        <v>0</v>
      </c>
      <c r="AE156" s="74">
        <v>0</v>
      </c>
      <c r="AF156" s="74">
        <v>0</v>
      </c>
      <c r="AG156" s="90">
        <f t="shared" si="4"/>
        <v>19</v>
      </c>
      <c r="AH156" s="90">
        <f t="shared" si="5"/>
        <v>18</v>
      </c>
      <c r="AI156" s="90">
        <f t="shared" si="6"/>
        <v>1</v>
      </c>
    </row>
    <row r="157" spans="3:35" x14ac:dyDescent="0.35">
      <c r="C157" s="96">
        <v>46091</v>
      </c>
      <c r="D157" s="97">
        <v>9</v>
      </c>
      <c r="E157" s="97" t="s">
        <v>208</v>
      </c>
      <c r="F157" s="10">
        <v>3</v>
      </c>
      <c r="G157" s="10">
        <v>2</v>
      </c>
      <c r="H157" s="10">
        <v>0</v>
      </c>
      <c r="I157" s="10">
        <v>0</v>
      </c>
      <c r="J157" s="74">
        <v>0</v>
      </c>
      <c r="K157" s="74">
        <v>1</v>
      </c>
      <c r="L157" s="74">
        <v>0</v>
      </c>
      <c r="M157" s="74">
        <v>0</v>
      </c>
      <c r="N157" s="74">
        <v>0</v>
      </c>
      <c r="O157" s="74">
        <v>0</v>
      </c>
      <c r="P157" s="74">
        <v>0</v>
      </c>
      <c r="Q157" s="74">
        <v>0</v>
      </c>
      <c r="R157" s="74">
        <v>0</v>
      </c>
      <c r="S157" s="97" t="s">
        <v>1058</v>
      </c>
      <c r="T157" s="10">
        <v>3</v>
      </c>
      <c r="U157" s="10">
        <v>3</v>
      </c>
      <c r="V157" s="10">
        <v>0</v>
      </c>
      <c r="W157" s="10">
        <v>0</v>
      </c>
      <c r="X157" s="74">
        <v>0</v>
      </c>
      <c r="Y157" s="74">
        <v>2</v>
      </c>
      <c r="Z157" s="74">
        <v>0</v>
      </c>
      <c r="AA157" s="74">
        <v>1</v>
      </c>
      <c r="AB157" s="74">
        <v>0</v>
      </c>
      <c r="AC157" s="74">
        <v>0</v>
      </c>
      <c r="AD157" s="74">
        <v>0</v>
      </c>
      <c r="AE157" s="74">
        <v>0</v>
      </c>
      <c r="AF157" s="74">
        <v>0</v>
      </c>
      <c r="AG157" s="90">
        <f t="shared" si="4"/>
        <v>15</v>
      </c>
      <c r="AH157" s="90">
        <f t="shared" si="5"/>
        <v>11</v>
      </c>
      <c r="AI157" s="90">
        <f t="shared" si="6"/>
        <v>4</v>
      </c>
    </row>
    <row r="158" spans="3:35" x14ac:dyDescent="0.35">
      <c r="C158" s="96">
        <v>46098</v>
      </c>
      <c r="D158" s="97">
        <v>9</v>
      </c>
      <c r="E158" s="97" t="s">
        <v>648</v>
      </c>
      <c r="F158" s="10">
        <v>3</v>
      </c>
      <c r="G158" s="10">
        <v>1</v>
      </c>
      <c r="H158" s="10">
        <v>0</v>
      </c>
      <c r="I158" s="10">
        <v>0</v>
      </c>
      <c r="J158" s="74">
        <v>0</v>
      </c>
      <c r="K158" s="74">
        <v>1</v>
      </c>
      <c r="L158" s="74">
        <v>0</v>
      </c>
      <c r="M158" s="74">
        <v>0</v>
      </c>
      <c r="N158" s="74">
        <v>0</v>
      </c>
      <c r="O158" s="74">
        <v>0</v>
      </c>
      <c r="P158" s="74">
        <v>0</v>
      </c>
      <c r="Q158" s="74">
        <v>0</v>
      </c>
      <c r="R158" s="74">
        <v>0</v>
      </c>
      <c r="S158" s="97" t="s">
        <v>1091</v>
      </c>
      <c r="T158" s="10">
        <v>3</v>
      </c>
      <c r="U158" s="10">
        <v>2</v>
      </c>
      <c r="V158" s="10">
        <v>0</v>
      </c>
      <c r="W158" s="10">
        <v>0</v>
      </c>
      <c r="X158" s="74">
        <v>0</v>
      </c>
      <c r="Y158" s="74">
        <v>2</v>
      </c>
      <c r="Z158" s="74">
        <v>0</v>
      </c>
      <c r="AA158" s="74">
        <v>1</v>
      </c>
      <c r="AB158" s="74">
        <v>0</v>
      </c>
      <c r="AC158" s="74">
        <v>0</v>
      </c>
      <c r="AD158" s="74">
        <v>0</v>
      </c>
      <c r="AE158" s="74">
        <v>0</v>
      </c>
      <c r="AF158" s="74">
        <v>0</v>
      </c>
      <c r="AG158" s="90">
        <f t="shared" si="4"/>
        <v>13</v>
      </c>
      <c r="AH158" s="90">
        <f t="shared" si="5"/>
        <v>9</v>
      </c>
      <c r="AI158" s="90">
        <f t="shared" si="6"/>
        <v>4</v>
      </c>
    </row>
    <row r="159" spans="3:35" x14ac:dyDescent="0.35">
      <c r="C159" s="96">
        <v>46105</v>
      </c>
      <c r="D159" s="97">
        <v>9</v>
      </c>
      <c r="E159" s="97" t="s">
        <v>647</v>
      </c>
      <c r="F159" s="10">
        <v>0</v>
      </c>
      <c r="G159" s="10">
        <v>0</v>
      </c>
      <c r="H159" s="10">
        <v>0</v>
      </c>
      <c r="I159" s="10">
        <v>0</v>
      </c>
      <c r="J159" s="74">
        <v>0</v>
      </c>
      <c r="K159" s="74">
        <v>0</v>
      </c>
      <c r="L159" s="74">
        <v>0</v>
      </c>
      <c r="M159" s="74">
        <v>0</v>
      </c>
      <c r="N159" s="74">
        <v>0</v>
      </c>
      <c r="O159" s="74">
        <v>0</v>
      </c>
      <c r="P159" s="74">
        <v>0</v>
      </c>
      <c r="Q159" s="74">
        <v>0</v>
      </c>
      <c r="R159" s="74">
        <v>0</v>
      </c>
      <c r="S159" s="97" t="s">
        <v>647</v>
      </c>
      <c r="T159" s="10">
        <v>0</v>
      </c>
      <c r="U159" s="10">
        <v>0</v>
      </c>
      <c r="V159" s="10">
        <v>0</v>
      </c>
      <c r="W159" s="10">
        <v>0</v>
      </c>
      <c r="X159" s="74">
        <v>0</v>
      </c>
      <c r="Y159" s="74">
        <v>0</v>
      </c>
      <c r="Z159" s="74">
        <v>0</v>
      </c>
      <c r="AA159" s="74">
        <v>0</v>
      </c>
      <c r="AB159" s="74">
        <v>0</v>
      </c>
      <c r="AC159" s="74">
        <v>0</v>
      </c>
      <c r="AD159" s="74">
        <v>0</v>
      </c>
      <c r="AE159" s="74">
        <v>0</v>
      </c>
      <c r="AF159" s="74">
        <v>0</v>
      </c>
      <c r="AG159" s="90">
        <f t="shared" si="4"/>
        <v>0</v>
      </c>
      <c r="AH159" s="90">
        <f t="shared" si="5"/>
        <v>0</v>
      </c>
      <c r="AI159" s="90">
        <f t="shared" si="6"/>
        <v>0</v>
      </c>
    </row>
    <row r="160" spans="3:35" ht="29" x14ac:dyDescent="0.35">
      <c r="C160" s="96">
        <v>46108</v>
      </c>
      <c r="D160" s="97">
        <v>9</v>
      </c>
      <c r="E160" s="99" t="s">
        <v>1154</v>
      </c>
      <c r="F160" s="10">
        <v>4</v>
      </c>
      <c r="G160" s="10">
        <v>2</v>
      </c>
      <c r="H160" s="10">
        <v>0</v>
      </c>
      <c r="I160" s="10">
        <v>2</v>
      </c>
      <c r="J160" s="74">
        <v>0</v>
      </c>
      <c r="K160" s="74">
        <v>0</v>
      </c>
      <c r="L160" s="74">
        <v>0</v>
      </c>
      <c r="M160" s="74">
        <v>0</v>
      </c>
      <c r="N160" s="74">
        <v>1</v>
      </c>
      <c r="O160" s="74">
        <v>0</v>
      </c>
      <c r="P160" s="74">
        <v>0</v>
      </c>
      <c r="Q160" s="74">
        <v>0</v>
      </c>
      <c r="R160" s="74">
        <v>0</v>
      </c>
      <c r="S160" s="97" t="s">
        <v>362</v>
      </c>
      <c r="T160" s="10">
        <v>5</v>
      </c>
      <c r="U160" s="10">
        <v>0</v>
      </c>
      <c r="V160" s="10">
        <v>0</v>
      </c>
      <c r="W160" s="10">
        <v>0</v>
      </c>
      <c r="X160" s="74">
        <v>0</v>
      </c>
      <c r="Y160" s="74">
        <v>0</v>
      </c>
      <c r="Z160" s="74">
        <v>0</v>
      </c>
      <c r="AA160" s="74">
        <v>1</v>
      </c>
      <c r="AB160" s="74">
        <v>0</v>
      </c>
      <c r="AC160" s="74">
        <v>0</v>
      </c>
      <c r="AD160" s="74">
        <v>0</v>
      </c>
      <c r="AE160" s="74">
        <v>0</v>
      </c>
      <c r="AF160" s="74">
        <v>0</v>
      </c>
      <c r="AG160" s="90">
        <f t="shared" si="4"/>
        <v>15</v>
      </c>
      <c r="AH160" s="90">
        <f t="shared" si="5"/>
        <v>13</v>
      </c>
      <c r="AI160" s="90">
        <f t="shared" si="6"/>
        <v>2</v>
      </c>
    </row>
    <row r="161" spans="1:35" x14ac:dyDescent="0.35">
      <c r="C161" s="96">
        <v>46112</v>
      </c>
      <c r="D161" s="97">
        <v>9</v>
      </c>
      <c r="E161" s="97" t="s">
        <v>1182</v>
      </c>
      <c r="F161" s="10">
        <v>1</v>
      </c>
      <c r="G161" s="10">
        <v>2</v>
      </c>
      <c r="H161" s="10">
        <v>0</v>
      </c>
      <c r="I161" s="10">
        <v>1</v>
      </c>
      <c r="J161" s="74">
        <v>0</v>
      </c>
      <c r="K161" s="74">
        <v>2</v>
      </c>
      <c r="L161" s="74">
        <v>0</v>
      </c>
      <c r="M161" s="74">
        <v>0</v>
      </c>
      <c r="N161" s="74">
        <v>0</v>
      </c>
      <c r="O161" s="74">
        <v>0</v>
      </c>
      <c r="P161" s="74">
        <v>0</v>
      </c>
      <c r="Q161" s="74">
        <v>0</v>
      </c>
      <c r="R161" s="74">
        <v>0</v>
      </c>
      <c r="S161" s="97" t="s">
        <v>1181</v>
      </c>
      <c r="T161" s="10">
        <v>2</v>
      </c>
      <c r="U161" s="10">
        <v>6</v>
      </c>
      <c r="V161" s="10">
        <v>0</v>
      </c>
      <c r="W161" s="10">
        <v>0</v>
      </c>
      <c r="X161" s="74">
        <v>0</v>
      </c>
      <c r="Y161" s="74">
        <v>2</v>
      </c>
      <c r="Z161" s="74">
        <v>0</v>
      </c>
      <c r="AA161" s="74">
        <v>1</v>
      </c>
      <c r="AB161" s="74">
        <v>0</v>
      </c>
      <c r="AC161" s="74">
        <v>0</v>
      </c>
      <c r="AD161" s="74">
        <v>0</v>
      </c>
      <c r="AE161" s="74">
        <v>0</v>
      </c>
      <c r="AF161" s="74">
        <v>0</v>
      </c>
      <c r="AG161" s="90">
        <f t="shared" si="4"/>
        <v>17</v>
      </c>
      <c r="AH161" s="90">
        <f t="shared" si="5"/>
        <v>12</v>
      </c>
      <c r="AI161" s="90">
        <f t="shared" si="6"/>
        <v>5</v>
      </c>
    </row>
    <row r="162" spans="1:35" x14ac:dyDescent="0.35">
      <c r="C162" s="96"/>
    </row>
    <row r="163" spans="1:35" x14ac:dyDescent="0.35">
      <c r="A163" s="93">
        <v>8</v>
      </c>
      <c r="B163" s="95" t="s">
        <v>687</v>
      </c>
      <c r="C163" s="96">
        <v>46024</v>
      </c>
      <c r="D163" s="97">
        <v>21</v>
      </c>
      <c r="E163" s="97" t="s">
        <v>55</v>
      </c>
      <c r="F163" s="10">
        <v>0</v>
      </c>
      <c r="G163" s="10">
        <v>0</v>
      </c>
      <c r="H163" s="10">
        <v>0</v>
      </c>
      <c r="I163" s="10">
        <v>0</v>
      </c>
      <c r="J163" s="74">
        <v>0</v>
      </c>
      <c r="K163" s="74">
        <v>0</v>
      </c>
      <c r="L163" s="74">
        <v>0</v>
      </c>
      <c r="M163" s="74">
        <v>0</v>
      </c>
      <c r="N163" s="74">
        <v>0</v>
      </c>
      <c r="O163" s="74">
        <v>0</v>
      </c>
      <c r="P163" s="74">
        <v>0</v>
      </c>
      <c r="Q163" s="74">
        <v>0</v>
      </c>
      <c r="R163" s="74">
        <v>0</v>
      </c>
      <c r="S163" s="97" t="s">
        <v>711</v>
      </c>
      <c r="T163" s="10">
        <v>3</v>
      </c>
      <c r="U163" s="10">
        <v>0</v>
      </c>
      <c r="V163" s="10">
        <v>0</v>
      </c>
      <c r="W163" s="10">
        <v>1</v>
      </c>
      <c r="X163" s="74">
        <v>0</v>
      </c>
      <c r="Y163" s="74">
        <v>0</v>
      </c>
      <c r="Z163" s="74">
        <v>0</v>
      </c>
      <c r="AA163" s="74">
        <v>1</v>
      </c>
      <c r="AB163" s="74">
        <v>0</v>
      </c>
      <c r="AC163" s="74">
        <v>1</v>
      </c>
      <c r="AD163" s="74">
        <v>0</v>
      </c>
      <c r="AE163" s="74">
        <v>0</v>
      </c>
      <c r="AF163" s="74">
        <v>0</v>
      </c>
      <c r="AG163" s="90">
        <f t="shared" ref="AG163:AG318" si="7">F163+G163+H163+I163+J163+K163+L163+M163+N163+O163+P163+Q163+R163+T163+U163+V163+W163+X163+Y163+Z163+AA163+AB163+AC163+AD163+AE163+AF163</f>
        <v>6</v>
      </c>
      <c r="AH163" s="90">
        <f t="shared" ref="AH163:AH318" si="8">F163+G163+H163+I163+T163+U163+V163+W163</f>
        <v>4</v>
      </c>
      <c r="AI163" s="90">
        <f t="shared" ref="AI163:AI318" si="9">J163+K163+L163+M163+N163+O163+P163+Q163+R163+X163+Y163+Z163+AA163+AB163+AC163+AD163+AE163+AF163</f>
        <v>2</v>
      </c>
    </row>
    <row r="164" spans="1:35" ht="29" x14ac:dyDescent="0.35">
      <c r="C164" s="96">
        <v>46027</v>
      </c>
      <c r="D164" s="97">
        <v>21</v>
      </c>
      <c r="E164" s="99" t="s">
        <v>737</v>
      </c>
      <c r="F164" s="10">
        <v>5</v>
      </c>
      <c r="G164" s="10">
        <v>2</v>
      </c>
      <c r="H164" s="10">
        <v>0</v>
      </c>
      <c r="I164" s="10">
        <v>2</v>
      </c>
      <c r="J164" s="74">
        <v>0</v>
      </c>
      <c r="K164" s="74">
        <v>1</v>
      </c>
      <c r="L164" s="74">
        <v>0</v>
      </c>
      <c r="M164" s="74">
        <v>0</v>
      </c>
      <c r="N164" s="74">
        <v>0</v>
      </c>
      <c r="O164" s="74">
        <v>1</v>
      </c>
      <c r="P164" s="74">
        <v>0</v>
      </c>
      <c r="Q164" s="74">
        <v>0</v>
      </c>
      <c r="R164" s="74">
        <v>0</v>
      </c>
      <c r="S164" s="97" t="s">
        <v>727</v>
      </c>
      <c r="T164" s="10">
        <v>3</v>
      </c>
      <c r="U164" s="10">
        <v>1</v>
      </c>
      <c r="V164" s="10">
        <v>0</v>
      </c>
      <c r="W164" s="10">
        <v>0</v>
      </c>
      <c r="X164" s="74">
        <v>0</v>
      </c>
      <c r="Y164" s="74">
        <v>0</v>
      </c>
      <c r="Z164" s="74">
        <v>0</v>
      </c>
      <c r="AA164" s="74">
        <v>0</v>
      </c>
      <c r="AB164" s="74">
        <v>0</v>
      </c>
      <c r="AC164" s="74">
        <v>0</v>
      </c>
      <c r="AD164" s="74">
        <v>0</v>
      </c>
      <c r="AE164" s="74">
        <v>0</v>
      </c>
      <c r="AF164" s="74">
        <v>0</v>
      </c>
      <c r="AG164" s="90">
        <f t="shared" si="7"/>
        <v>15</v>
      </c>
      <c r="AH164" s="90">
        <f t="shared" si="8"/>
        <v>13</v>
      </c>
      <c r="AI164" s="90">
        <f t="shared" si="9"/>
        <v>2</v>
      </c>
    </row>
    <row r="165" spans="1:35" x14ac:dyDescent="0.35">
      <c r="C165" s="96">
        <v>46031</v>
      </c>
      <c r="D165" s="97">
        <v>21</v>
      </c>
      <c r="E165" s="97" t="s">
        <v>746</v>
      </c>
      <c r="F165" s="10">
        <v>3</v>
      </c>
      <c r="G165" s="10">
        <v>1</v>
      </c>
      <c r="H165" s="10">
        <v>0</v>
      </c>
      <c r="I165" s="10">
        <v>0</v>
      </c>
      <c r="J165" s="74">
        <v>0</v>
      </c>
      <c r="K165" s="74">
        <v>0</v>
      </c>
      <c r="L165" s="74">
        <v>0</v>
      </c>
      <c r="M165" s="74">
        <v>0</v>
      </c>
      <c r="N165" s="74">
        <v>0</v>
      </c>
      <c r="O165" s="74">
        <v>1</v>
      </c>
      <c r="P165" s="74">
        <v>1</v>
      </c>
      <c r="Q165" s="74">
        <v>0</v>
      </c>
      <c r="R165" s="74">
        <v>0</v>
      </c>
      <c r="S165" s="97" t="s">
        <v>98</v>
      </c>
      <c r="T165" s="10">
        <v>4</v>
      </c>
      <c r="U165" s="10">
        <v>0</v>
      </c>
      <c r="V165" s="10">
        <v>0</v>
      </c>
      <c r="W165" s="10">
        <v>0</v>
      </c>
      <c r="X165" s="74">
        <v>0</v>
      </c>
      <c r="Y165" s="74">
        <v>0</v>
      </c>
      <c r="Z165" s="74">
        <v>0</v>
      </c>
      <c r="AA165" s="74">
        <v>0</v>
      </c>
      <c r="AB165" s="74">
        <v>0</v>
      </c>
      <c r="AC165" s="74">
        <v>0</v>
      </c>
      <c r="AD165" s="74">
        <v>0</v>
      </c>
      <c r="AE165" s="74">
        <v>0</v>
      </c>
      <c r="AF165" s="74">
        <v>0</v>
      </c>
      <c r="AG165" s="90">
        <f t="shared" si="7"/>
        <v>10</v>
      </c>
      <c r="AH165" s="90">
        <f t="shared" si="8"/>
        <v>8</v>
      </c>
      <c r="AI165" s="90">
        <f t="shared" si="9"/>
        <v>2</v>
      </c>
    </row>
    <row r="166" spans="1:35" x14ac:dyDescent="0.35">
      <c r="C166" s="96">
        <v>46035</v>
      </c>
      <c r="D166" s="97">
        <v>21</v>
      </c>
      <c r="E166" s="97" t="s">
        <v>751</v>
      </c>
      <c r="F166" s="10">
        <v>1</v>
      </c>
      <c r="G166" s="10">
        <v>0</v>
      </c>
      <c r="H166" s="10">
        <v>0</v>
      </c>
      <c r="I166" s="10">
        <v>0</v>
      </c>
      <c r="J166" s="74">
        <v>0</v>
      </c>
      <c r="K166" s="74">
        <v>1</v>
      </c>
      <c r="L166" s="74">
        <v>0</v>
      </c>
      <c r="M166" s="74">
        <v>0</v>
      </c>
      <c r="N166" s="74">
        <v>0</v>
      </c>
      <c r="O166" s="74">
        <v>0</v>
      </c>
      <c r="P166" s="74">
        <v>0</v>
      </c>
      <c r="Q166" s="74">
        <v>0</v>
      </c>
      <c r="R166" s="74">
        <v>0</v>
      </c>
      <c r="S166" s="97" t="s">
        <v>199</v>
      </c>
      <c r="T166" s="10">
        <v>2</v>
      </c>
      <c r="U166" s="10">
        <v>0</v>
      </c>
      <c r="V166" s="10">
        <v>0</v>
      </c>
      <c r="W166" s="10">
        <v>1</v>
      </c>
      <c r="X166" s="74">
        <v>0</v>
      </c>
      <c r="Y166" s="74">
        <v>0</v>
      </c>
      <c r="Z166" s="74">
        <v>0</v>
      </c>
      <c r="AA166" s="74">
        <v>1</v>
      </c>
      <c r="AB166" s="74">
        <v>0</v>
      </c>
      <c r="AC166" s="74">
        <v>0</v>
      </c>
      <c r="AD166" s="74">
        <v>0</v>
      </c>
      <c r="AE166" s="74">
        <v>0</v>
      </c>
      <c r="AF166" s="74">
        <v>0</v>
      </c>
      <c r="AG166" s="90">
        <f t="shared" si="7"/>
        <v>6</v>
      </c>
      <c r="AH166" s="90">
        <f t="shared" si="8"/>
        <v>4</v>
      </c>
      <c r="AI166" s="90">
        <f t="shared" si="9"/>
        <v>2</v>
      </c>
    </row>
    <row r="167" spans="1:35" x14ac:dyDescent="0.35">
      <c r="C167" s="96">
        <v>46038</v>
      </c>
      <c r="D167" s="97">
        <v>21</v>
      </c>
      <c r="E167" s="97" t="s">
        <v>87</v>
      </c>
      <c r="F167" s="10">
        <v>3</v>
      </c>
      <c r="G167" s="10">
        <v>0</v>
      </c>
      <c r="H167" s="10">
        <v>0</v>
      </c>
      <c r="I167" s="10">
        <v>1</v>
      </c>
      <c r="J167" s="74">
        <v>0</v>
      </c>
      <c r="K167" s="74">
        <v>0</v>
      </c>
      <c r="L167" s="74">
        <v>0</v>
      </c>
      <c r="M167" s="74">
        <v>0</v>
      </c>
      <c r="N167" s="74">
        <v>0</v>
      </c>
      <c r="O167" s="74">
        <v>0</v>
      </c>
      <c r="P167" s="74">
        <v>0</v>
      </c>
      <c r="Q167" s="74">
        <v>0</v>
      </c>
      <c r="R167" s="74">
        <v>0</v>
      </c>
      <c r="S167" s="97" t="s">
        <v>766</v>
      </c>
      <c r="T167" s="10">
        <v>0</v>
      </c>
      <c r="U167" s="10">
        <v>2</v>
      </c>
      <c r="V167" s="10">
        <v>0</v>
      </c>
      <c r="W167" s="10">
        <v>0</v>
      </c>
      <c r="X167" s="74">
        <v>0</v>
      </c>
      <c r="Y167" s="74">
        <v>1</v>
      </c>
      <c r="Z167" s="74">
        <v>0</v>
      </c>
      <c r="AA167" s="74">
        <v>0</v>
      </c>
      <c r="AB167" s="74">
        <v>0</v>
      </c>
      <c r="AC167" s="74">
        <v>0</v>
      </c>
      <c r="AD167" s="74">
        <v>0</v>
      </c>
      <c r="AE167" s="74">
        <v>0</v>
      </c>
      <c r="AF167" s="74">
        <v>0</v>
      </c>
      <c r="AG167" s="90">
        <f t="shared" si="7"/>
        <v>7</v>
      </c>
      <c r="AH167" s="90">
        <f t="shared" si="8"/>
        <v>6</v>
      </c>
      <c r="AI167" s="90">
        <f t="shared" si="9"/>
        <v>1</v>
      </c>
    </row>
    <row r="168" spans="1:35" x14ac:dyDescent="0.35">
      <c r="C168" s="96">
        <v>46041</v>
      </c>
      <c r="D168" s="97">
        <v>21</v>
      </c>
      <c r="E168" s="97" t="s">
        <v>305</v>
      </c>
      <c r="F168" s="10">
        <v>4</v>
      </c>
      <c r="G168" s="10">
        <v>0</v>
      </c>
      <c r="H168" s="10">
        <v>0</v>
      </c>
      <c r="I168" s="10">
        <v>0</v>
      </c>
      <c r="J168" s="74">
        <v>0</v>
      </c>
      <c r="K168" s="74">
        <v>0</v>
      </c>
      <c r="L168" s="74">
        <v>0</v>
      </c>
      <c r="M168" s="74">
        <v>1</v>
      </c>
      <c r="N168" s="74">
        <v>0</v>
      </c>
      <c r="O168" s="74">
        <v>0</v>
      </c>
      <c r="P168" s="74">
        <v>0</v>
      </c>
      <c r="Q168" s="74">
        <v>0</v>
      </c>
      <c r="R168" s="74">
        <v>0</v>
      </c>
      <c r="S168" s="97" t="s">
        <v>505</v>
      </c>
      <c r="T168" s="10">
        <v>0</v>
      </c>
      <c r="U168" s="10">
        <v>0</v>
      </c>
      <c r="V168" s="10">
        <v>0</v>
      </c>
      <c r="W168" s="10">
        <v>0</v>
      </c>
      <c r="X168" s="74">
        <v>0</v>
      </c>
      <c r="Y168" s="74">
        <v>0</v>
      </c>
      <c r="Z168" s="74">
        <v>1</v>
      </c>
      <c r="AA168" s="74">
        <v>0</v>
      </c>
      <c r="AB168" s="74">
        <v>0</v>
      </c>
      <c r="AC168" s="74">
        <v>0</v>
      </c>
      <c r="AD168" s="74">
        <v>0</v>
      </c>
      <c r="AE168" s="74">
        <v>0</v>
      </c>
      <c r="AF168" s="74">
        <v>0</v>
      </c>
      <c r="AG168" s="90">
        <f t="shared" si="7"/>
        <v>6</v>
      </c>
      <c r="AH168" s="90">
        <f t="shared" si="8"/>
        <v>4</v>
      </c>
      <c r="AI168" s="90">
        <f t="shared" si="9"/>
        <v>2</v>
      </c>
    </row>
    <row r="169" spans="1:35" x14ac:dyDescent="0.35">
      <c r="C169" s="96">
        <v>46045</v>
      </c>
      <c r="D169" s="97">
        <v>21</v>
      </c>
      <c r="E169" s="97" t="s">
        <v>100</v>
      </c>
      <c r="F169" s="10">
        <v>6</v>
      </c>
      <c r="G169" s="10">
        <v>0</v>
      </c>
      <c r="H169" s="10">
        <v>0</v>
      </c>
      <c r="I169" s="10">
        <v>0</v>
      </c>
      <c r="J169" s="74">
        <v>0</v>
      </c>
      <c r="K169" s="74">
        <v>0</v>
      </c>
      <c r="L169" s="74">
        <v>0</v>
      </c>
      <c r="M169" s="74">
        <v>0</v>
      </c>
      <c r="N169" s="74">
        <v>0</v>
      </c>
      <c r="O169" s="74">
        <v>0</v>
      </c>
      <c r="P169" s="74">
        <v>0</v>
      </c>
      <c r="Q169" s="74">
        <v>0</v>
      </c>
      <c r="R169" s="74">
        <v>0</v>
      </c>
      <c r="S169" s="97" t="s">
        <v>226</v>
      </c>
      <c r="T169" s="10">
        <v>3</v>
      </c>
      <c r="U169" s="10">
        <v>1</v>
      </c>
      <c r="V169" s="10">
        <v>0</v>
      </c>
      <c r="W169" s="10">
        <v>1</v>
      </c>
      <c r="X169" s="74">
        <v>0</v>
      </c>
      <c r="Y169" s="74">
        <v>0</v>
      </c>
      <c r="Z169" s="74">
        <v>0</v>
      </c>
      <c r="AA169" s="74">
        <v>0</v>
      </c>
      <c r="AB169" s="74">
        <v>0</v>
      </c>
      <c r="AC169" s="74">
        <v>0</v>
      </c>
      <c r="AD169" s="74">
        <v>0</v>
      </c>
      <c r="AE169" s="74">
        <v>0</v>
      </c>
      <c r="AF169" s="74">
        <v>0</v>
      </c>
      <c r="AG169" s="90">
        <f t="shared" si="7"/>
        <v>11</v>
      </c>
      <c r="AH169" s="90">
        <f t="shared" si="8"/>
        <v>11</v>
      </c>
      <c r="AI169" s="90">
        <f t="shared" si="9"/>
        <v>0</v>
      </c>
    </row>
    <row r="170" spans="1:35" x14ac:dyDescent="0.35">
      <c r="C170" s="96">
        <v>46049</v>
      </c>
      <c r="D170" s="97">
        <v>21</v>
      </c>
      <c r="E170" s="97" t="s">
        <v>801</v>
      </c>
      <c r="F170" s="10">
        <v>3</v>
      </c>
      <c r="G170" s="10">
        <v>1</v>
      </c>
      <c r="H170" s="10">
        <v>0</v>
      </c>
      <c r="I170" s="10">
        <v>0</v>
      </c>
      <c r="J170" s="74">
        <v>0</v>
      </c>
      <c r="K170" s="74">
        <v>0</v>
      </c>
      <c r="L170" s="74">
        <v>0</v>
      </c>
      <c r="M170" s="74">
        <v>3</v>
      </c>
      <c r="N170" s="74">
        <v>0</v>
      </c>
      <c r="O170" s="74">
        <v>0</v>
      </c>
      <c r="P170" s="74">
        <v>0</v>
      </c>
      <c r="Q170" s="74">
        <v>0</v>
      </c>
      <c r="R170" s="74">
        <v>0</v>
      </c>
      <c r="S170" s="97" t="s">
        <v>802</v>
      </c>
      <c r="T170" s="10">
        <v>4</v>
      </c>
      <c r="U170" s="10">
        <v>0</v>
      </c>
      <c r="V170" s="10">
        <v>1</v>
      </c>
      <c r="W170" s="10">
        <v>0</v>
      </c>
      <c r="X170" s="74">
        <v>0</v>
      </c>
      <c r="Y170" s="74">
        <v>0</v>
      </c>
      <c r="Z170" s="74">
        <v>0</v>
      </c>
      <c r="AA170" s="74">
        <v>0</v>
      </c>
      <c r="AB170" s="74">
        <v>0</v>
      </c>
      <c r="AC170" s="74">
        <v>0</v>
      </c>
      <c r="AD170" s="74">
        <v>0</v>
      </c>
      <c r="AE170" s="74">
        <v>0</v>
      </c>
      <c r="AF170" s="74">
        <v>0</v>
      </c>
      <c r="AG170" s="90">
        <f t="shared" si="7"/>
        <v>12</v>
      </c>
      <c r="AH170" s="90">
        <f t="shared" si="8"/>
        <v>9</v>
      </c>
      <c r="AI170" s="90">
        <f t="shared" si="9"/>
        <v>3</v>
      </c>
    </row>
    <row r="171" spans="1:35" x14ac:dyDescent="0.35">
      <c r="C171" s="96">
        <v>46052</v>
      </c>
      <c r="D171" s="97">
        <v>21</v>
      </c>
      <c r="E171" s="97" t="s">
        <v>317</v>
      </c>
      <c r="F171" s="10">
        <v>4</v>
      </c>
      <c r="G171" s="10">
        <v>0</v>
      </c>
      <c r="H171" s="10">
        <v>0</v>
      </c>
      <c r="I171" s="10">
        <v>1</v>
      </c>
      <c r="J171" s="74">
        <v>0</v>
      </c>
      <c r="K171" s="74">
        <v>0</v>
      </c>
      <c r="L171" s="74">
        <v>0</v>
      </c>
      <c r="M171" s="74">
        <v>0</v>
      </c>
      <c r="N171" s="74">
        <v>0</v>
      </c>
      <c r="O171" s="74">
        <v>0</v>
      </c>
      <c r="P171" s="74">
        <v>0</v>
      </c>
      <c r="Q171" s="74">
        <v>0</v>
      </c>
      <c r="R171" s="74">
        <v>0</v>
      </c>
      <c r="S171" s="97" t="s">
        <v>130</v>
      </c>
      <c r="T171" s="10">
        <v>2</v>
      </c>
      <c r="U171" s="10">
        <v>0</v>
      </c>
      <c r="V171" s="10">
        <v>0</v>
      </c>
      <c r="W171" s="10">
        <v>0</v>
      </c>
      <c r="X171" s="74">
        <v>0</v>
      </c>
      <c r="Y171" s="74">
        <v>0</v>
      </c>
      <c r="Z171" s="74">
        <v>0</v>
      </c>
      <c r="AA171" s="74">
        <v>1</v>
      </c>
      <c r="AB171" s="74">
        <v>0</v>
      </c>
      <c r="AC171" s="74">
        <v>0</v>
      </c>
      <c r="AD171" s="74">
        <v>0</v>
      </c>
      <c r="AE171" s="74">
        <v>0</v>
      </c>
      <c r="AF171" s="74">
        <v>0</v>
      </c>
      <c r="AG171" s="90">
        <f t="shared" si="7"/>
        <v>8</v>
      </c>
      <c r="AH171" s="90">
        <f t="shared" si="8"/>
        <v>7</v>
      </c>
      <c r="AI171" s="90">
        <f t="shared" si="9"/>
        <v>1</v>
      </c>
    </row>
    <row r="172" spans="1:35" x14ac:dyDescent="0.35">
      <c r="C172" s="96">
        <v>46056</v>
      </c>
      <c r="D172" s="97">
        <v>21</v>
      </c>
      <c r="E172" s="97" t="s">
        <v>242</v>
      </c>
      <c r="F172" s="10">
        <v>2</v>
      </c>
      <c r="G172" s="10">
        <v>1</v>
      </c>
      <c r="H172" s="10">
        <v>0</v>
      </c>
      <c r="I172" s="10">
        <v>0</v>
      </c>
      <c r="J172" s="74">
        <v>0</v>
      </c>
      <c r="K172" s="74">
        <v>0</v>
      </c>
      <c r="L172" s="74">
        <v>0</v>
      </c>
      <c r="M172" s="74">
        <v>0</v>
      </c>
      <c r="N172" s="74">
        <v>0</v>
      </c>
      <c r="O172" s="74">
        <v>0</v>
      </c>
      <c r="P172" s="74">
        <v>0</v>
      </c>
      <c r="Q172" s="74">
        <v>0</v>
      </c>
      <c r="R172" s="74">
        <v>0</v>
      </c>
      <c r="S172" s="97" t="s">
        <v>98</v>
      </c>
      <c r="T172" s="10">
        <v>4</v>
      </c>
      <c r="U172" s="10">
        <v>0</v>
      </c>
      <c r="V172" s="10">
        <v>0</v>
      </c>
      <c r="W172" s="10">
        <v>0</v>
      </c>
      <c r="X172" s="74">
        <v>0</v>
      </c>
      <c r="Y172" s="74">
        <v>0</v>
      </c>
      <c r="Z172" s="74">
        <v>0</v>
      </c>
      <c r="AA172" s="74">
        <v>0</v>
      </c>
      <c r="AB172" s="74">
        <v>0</v>
      </c>
      <c r="AC172" s="74">
        <v>0</v>
      </c>
      <c r="AD172" s="74">
        <v>0</v>
      </c>
      <c r="AE172" s="74">
        <v>0</v>
      </c>
      <c r="AF172" s="74">
        <v>0</v>
      </c>
      <c r="AG172" s="90">
        <f t="shared" si="7"/>
        <v>7</v>
      </c>
      <c r="AH172" s="90">
        <f t="shared" si="8"/>
        <v>7</v>
      </c>
      <c r="AI172" s="90">
        <f t="shared" si="9"/>
        <v>0</v>
      </c>
    </row>
    <row r="173" spans="1:35" x14ac:dyDescent="0.35">
      <c r="C173" s="96">
        <v>46059</v>
      </c>
      <c r="D173" s="97">
        <v>21</v>
      </c>
      <c r="E173" s="97" t="s">
        <v>134</v>
      </c>
      <c r="F173" s="10">
        <v>3</v>
      </c>
      <c r="G173" s="10">
        <v>0</v>
      </c>
      <c r="H173" s="10">
        <v>0</v>
      </c>
      <c r="I173" s="10">
        <v>0</v>
      </c>
      <c r="J173" s="74">
        <v>0</v>
      </c>
      <c r="K173" s="74">
        <v>0</v>
      </c>
      <c r="L173" s="74">
        <v>0</v>
      </c>
      <c r="M173" s="74">
        <v>0</v>
      </c>
      <c r="N173" s="74">
        <v>0</v>
      </c>
      <c r="O173" s="74">
        <v>0</v>
      </c>
      <c r="P173" s="74">
        <v>0</v>
      </c>
      <c r="Q173" s="74">
        <v>0</v>
      </c>
      <c r="R173" s="74">
        <v>0</v>
      </c>
      <c r="S173" s="97" t="s">
        <v>186</v>
      </c>
      <c r="T173" s="10">
        <v>1</v>
      </c>
      <c r="U173" s="10">
        <v>0</v>
      </c>
      <c r="V173" s="10">
        <v>0</v>
      </c>
      <c r="W173" s="10">
        <v>0</v>
      </c>
      <c r="X173" s="74">
        <v>0</v>
      </c>
      <c r="Y173" s="74">
        <v>0</v>
      </c>
      <c r="Z173" s="74">
        <v>0</v>
      </c>
      <c r="AA173" s="74">
        <v>0</v>
      </c>
      <c r="AB173" s="74">
        <v>0</v>
      </c>
      <c r="AC173" s="74">
        <v>0</v>
      </c>
      <c r="AD173" s="74">
        <v>0</v>
      </c>
      <c r="AE173" s="74">
        <v>0</v>
      </c>
      <c r="AF173" s="74">
        <v>0</v>
      </c>
      <c r="AG173" s="90">
        <f t="shared" si="7"/>
        <v>4</v>
      </c>
      <c r="AH173" s="90">
        <f t="shared" si="8"/>
        <v>4</v>
      </c>
      <c r="AI173" s="90">
        <f t="shared" si="9"/>
        <v>0</v>
      </c>
    </row>
    <row r="174" spans="1:35" x14ac:dyDescent="0.35">
      <c r="C174" s="96">
        <v>46062</v>
      </c>
      <c r="D174" s="97">
        <v>21</v>
      </c>
      <c r="E174" s="97" t="s">
        <v>877</v>
      </c>
      <c r="F174" s="10">
        <v>0</v>
      </c>
      <c r="G174" s="10">
        <v>1</v>
      </c>
      <c r="H174" s="10">
        <v>0</v>
      </c>
      <c r="I174" s="10">
        <v>0</v>
      </c>
      <c r="J174" s="74">
        <v>0</v>
      </c>
      <c r="K174" s="74">
        <v>0</v>
      </c>
      <c r="L174" s="74">
        <v>0</v>
      </c>
      <c r="M174" s="74">
        <v>0</v>
      </c>
      <c r="N174" s="74">
        <v>0</v>
      </c>
      <c r="O174" s="74">
        <v>0</v>
      </c>
      <c r="P174" s="74">
        <v>0</v>
      </c>
      <c r="Q174" s="74">
        <v>0</v>
      </c>
      <c r="R174" s="74">
        <v>0</v>
      </c>
      <c r="S174" s="97" t="s">
        <v>878</v>
      </c>
      <c r="T174" s="10">
        <v>0</v>
      </c>
      <c r="U174" s="10">
        <v>1</v>
      </c>
      <c r="V174" s="10">
        <v>0</v>
      </c>
      <c r="W174" s="10">
        <v>1</v>
      </c>
      <c r="X174" s="74">
        <v>0</v>
      </c>
      <c r="Y174" s="74">
        <v>0</v>
      </c>
      <c r="Z174" s="74">
        <v>0</v>
      </c>
      <c r="AA174" s="74">
        <v>0</v>
      </c>
      <c r="AB174" s="74">
        <v>0</v>
      </c>
      <c r="AC174" s="74">
        <v>0</v>
      </c>
      <c r="AD174" s="74">
        <v>0</v>
      </c>
      <c r="AE174" s="74">
        <v>0</v>
      </c>
      <c r="AF174" s="74">
        <v>0</v>
      </c>
      <c r="AG174" s="90">
        <f t="shared" si="7"/>
        <v>3</v>
      </c>
      <c r="AH174" s="90">
        <f t="shared" si="8"/>
        <v>3</v>
      </c>
      <c r="AI174" s="90">
        <f t="shared" si="9"/>
        <v>0</v>
      </c>
    </row>
    <row r="175" spans="1:35" x14ac:dyDescent="0.35">
      <c r="C175" s="96">
        <v>46066</v>
      </c>
      <c r="D175" s="97">
        <v>21</v>
      </c>
      <c r="E175" s="97" t="s">
        <v>223</v>
      </c>
      <c r="F175" s="10">
        <v>0</v>
      </c>
      <c r="G175" s="10">
        <v>2</v>
      </c>
      <c r="H175" s="10">
        <v>0</v>
      </c>
      <c r="I175" s="10">
        <v>0</v>
      </c>
      <c r="J175" s="74">
        <v>0</v>
      </c>
      <c r="K175" s="74">
        <v>0</v>
      </c>
      <c r="L175" s="74">
        <v>0</v>
      </c>
      <c r="M175" s="74">
        <v>1</v>
      </c>
      <c r="N175" s="74">
        <v>0</v>
      </c>
      <c r="O175" s="74">
        <v>0</v>
      </c>
      <c r="P175" s="74">
        <v>0</v>
      </c>
      <c r="Q175" s="74">
        <v>0</v>
      </c>
      <c r="R175" s="74">
        <v>0</v>
      </c>
      <c r="S175" s="97" t="s">
        <v>887</v>
      </c>
      <c r="T175" s="10">
        <v>0</v>
      </c>
      <c r="U175" s="10">
        <v>1</v>
      </c>
      <c r="V175" s="10">
        <v>0</v>
      </c>
      <c r="W175" s="10">
        <v>0</v>
      </c>
      <c r="X175" s="74">
        <v>0</v>
      </c>
      <c r="Y175" s="74">
        <v>0</v>
      </c>
      <c r="Z175" s="74">
        <v>0</v>
      </c>
      <c r="AA175" s="74">
        <v>0</v>
      </c>
      <c r="AB175" s="74">
        <v>0</v>
      </c>
      <c r="AC175" s="74">
        <v>0</v>
      </c>
      <c r="AD175" s="74">
        <v>0</v>
      </c>
      <c r="AE175" s="74">
        <v>0</v>
      </c>
      <c r="AF175" s="74">
        <v>0</v>
      </c>
      <c r="AG175" s="90">
        <f t="shared" si="7"/>
        <v>4</v>
      </c>
      <c r="AH175" s="90">
        <f t="shared" si="8"/>
        <v>3</v>
      </c>
      <c r="AI175" s="90">
        <f t="shared" si="9"/>
        <v>1</v>
      </c>
    </row>
    <row r="176" spans="1:35" x14ac:dyDescent="0.35">
      <c r="C176" s="96">
        <v>46070</v>
      </c>
      <c r="D176" s="97">
        <v>21</v>
      </c>
      <c r="E176" s="97" t="s">
        <v>326</v>
      </c>
      <c r="F176" s="10">
        <v>0</v>
      </c>
      <c r="G176" s="10">
        <v>0</v>
      </c>
      <c r="H176" s="10">
        <v>0</v>
      </c>
      <c r="I176" s="10">
        <v>0</v>
      </c>
      <c r="J176" s="74">
        <v>0</v>
      </c>
      <c r="K176" s="74">
        <v>0</v>
      </c>
      <c r="L176" s="74">
        <v>0</v>
      </c>
      <c r="M176" s="74">
        <v>0</v>
      </c>
      <c r="N176" s="74">
        <v>0</v>
      </c>
      <c r="O176" s="74">
        <v>0</v>
      </c>
      <c r="P176" s="74">
        <v>0</v>
      </c>
      <c r="Q176" s="74">
        <v>0</v>
      </c>
      <c r="R176" s="74">
        <v>0</v>
      </c>
      <c r="S176" s="97" t="s">
        <v>657</v>
      </c>
      <c r="T176" s="10">
        <v>4</v>
      </c>
      <c r="U176" s="10">
        <v>1</v>
      </c>
      <c r="V176" s="10">
        <v>0</v>
      </c>
      <c r="W176" s="10">
        <v>0</v>
      </c>
      <c r="X176" s="74">
        <v>0</v>
      </c>
      <c r="Y176" s="74">
        <v>0</v>
      </c>
      <c r="Z176" s="74">
        <v>0</v>
      </c>
      <c r="AA176" s="74">
        <v>1</v>
      </c>
      <c r="AB176" s="74">
        <v>0</v>
      </c>
      <c r="AC176" s="74">
        <v>0</v>
      </c>
      <c r="AD176" s="74">
        <v>0</v>
      </c>
      <c r="AE176" s="74">
        <v>0</v>
      </c>
      <c r="AF176" s="74">
        <v>0</v>
      </c>
      <c r="AG176" s="90">
        <f t="shared" si="7"/>
        <v>6</v>
      </c>
      <c r="AH176" s="90">
        <f t="shared" si="8"/>
        <v>5</v>
      </c>
      <c r="AI176" s="90">
        <f t="shared" si="9"/>
        <v>1</v>
      </c>
    </row>
    <row r="177" spans="1:35" x14ac:dyDescent="0.35">
      <c r="C177" s="96">
        <v>46074</v>
      </c>
      <c r="D177" s="97">
        <v>21</v>
      </c>
      <c r="E177" s="97" t="s">
        <v>924</v>
      </c>
      <c r="F177" s="10">
        <v>3</v>
      </c>
      <c r="G177" s="10">
        <v>0</v>
      </c>
      <c r="H177" s="10">
        <v>0</v>
      </c>
      <c r="I177" s="10">
        <v>0</v>
      </c>
      <c r="J177" s="74">
        <v>0</v>
      </c>
      <c r="K177" s="74">
        <v>1</v>
      </c>
      <c r="L177" s="74">
        <v>0</v>
      </c>
      <c r="M177" s="74">
        <v>0</v>
      </c>
      <c r="N177" s="74">
        <v>0</v>
      </c>
      <c r="O177" s="74">
        <v>0</v>
      </c>
      <c r="P177" s="74">
        <v>1</v>
      </c>
      <c r="Q177" s="74">
        <v>0</v>
      </c>
      <c r="R177" s="74">
        <v>0</v>
      </c>
      <c r="S177" s="97" t="s">
        <v>871</v>
      </c>
      <c r="T177" s="10">
        <v>2</v>
      </c>
      <c r="U177" s="10">
        <v>2</v>
      </c>
      <c r="V177" s="10">
        <v>0</v>
      </c>
      <c r="W177" s="10">
        <v>0</v>
      </c>
      <c r="X177" s="74">
        <v>0</v>
      </c>
      <c r="Y177" s="74">
        <v>0</v>
      </c>
      <c r="Z177" s="74">
        <v>0</v>
      </c>
      <c r="AA177" s="74">
        <v>0</v>
      </c>
      <c r="AB177" s="74">
        <v>0</v>
      </c>
      <c r="AC177" s="74">
        <v>0</v>
      </c>
      <c r="AD177" s="74">
        <v>0</v>
      </c>
      <c r="AE177" s="74">
        <v>0</v>
      </c>
      <c r="AF177" s="74">
        <v>0</v>
      </c>
      <c r="AG177" s="90">
        <f t="shared" si="7"/>
        <v>9</v>
      </c>
      <c r="AH177" s="90">
        <f t="shared" si="8"/>
        <v>7</v>
      </c>
      <c r="AI177" s="90">
        <f t="shared" si="9"/>
        <v>2</v>
      </c>
    </row>
    <row r="178" spans="1:35" x14ac:dyDescent="0.35">
      <c r="C178" s="96">
        <v>46077</v>
      </c>
      <c r="D178" s="97">
        <v>21</v>
      </c>
      <c r="E178" s="97" t="s">
        <v>384</v>
      </c>
      <c r="F178" s="10">
        <v>0</v>
      </c>
      <c r="G178" s="10">
        <v>2</v>
      </c>
      <c r="H178" s="10">
        <v>0</v>
      </c>
      <c r="I178" s="10">
        <v>0</v>
      </c>
      <c r="J178" s="74">
        <v>0</v>
      </c>
      <c r="K178" s="74">
        <v>0</v>
      </c>
      <c r="L178" s="74">
        <v>0</v>
      </c>
      <c r="M178" s="74">
        <v>0</v>
      </c>
      <c r="N178" s="74">
        <v>0</v>
      </c>
      <c r="O178" s="74">
        <v>1</v>
      </c>
      <c r="P178" s="74">
        <v>0</v>
      </c>
      <c r="Q178" s="74">
        <v>0</v>
      </c>
      <c r="R178" s="74">
        <v>0</v>
      </c>
      <c r="S178" s="97" t="s">
        <v>247</v>
      </c>
      <c r="T178" s="10">
        <v>0</v>
      </c>
      <c r="U178" s="10">
        <v>1</v>
      </c>
      <c r="V178" s="10">
        <v>0</v>
      </c>
      <c r="W178" s="10">
        <v>1</v>
      </c>
      <c r="X178" s="74">
        <v>0</v>
      </c>
      <c r="Y178" s="74">
        <v>0</v>
      </c>
      <c r="Z178" s="74">
        <v>0</v>
      </c>
      <c r="AA178" s="74">
        <v>0</v>
      </c>
      <c r="AB178" s="74">
        <v>0</v>
      </c>
      <c r="AC178" s="74">
        <v>0</v>
      </c>
      <c r="AD178" s="74">
        <v>0</v>
      </c>
      <c r="AE178" s="74">
        <v>0</v>
      </c>
      <c r="AF178" s="74">
        <v>0</v>
      </c>
      <c r="AG178" s="90">
        <f t="shared" si="7"/>
        <v>5</v>
      </c>
      <c r="AH178" s="90">
        <f t="shared" si="8"/>
        <v>4</v>
      </c>
      <c r="AI178" s="90">
        <f t="shared" si="9"/>
        <v>1</v>
      </c>
    </row>
    <row r="179" spans="1:35" x14ac:dyDescent="0.35">
      <c r="C179" s="96">
        <v>46080</v>
      </c>
      <c r="D179" s="97">
        <v>21</v>
      </c>
      <c r="E179" s="97" t="s">
        <v>220</v>
      </c>
      <c r="F179" s="10">
        <v>3</v>
      </c>
      <c r="G179" s="10">
        <v>0</v>
      </c>
      <c r="H179" s="10">
        <v>0</v>
      </c>
      <c r="I179" s="10">
        <v>0</v>
      </c>
      <c r="J179" s="74">
        <v>0</v>
      </c>
      <c r="K179" s="74">
        <v>1</v>
      </c>
      <c r="L179" s="74">
        <v>0</v>
      </c>
      <c r="M179" s="74">
        <v>0</v>
      </c>
      <c r="N179" s="74">
        <v>0</v>
      </c>
      <c r="O179" s="74">
        <v>0</v>
      </c>
      <c r="P179" s="74">
        <v>0</v>
      </c>
      <c r="Q179" s="74">
        <v>0</v>
      </c>
      <c r="R179" s="74">
        <v>0</v>
      </c>
      <c r="S179" s="97" t="s">
        <v>232</v>
      </c>
      <c r="T179" s="10">
        <v>2</v>
      </c>
      <c r="U179" s="10">
        <v>1</v>
      </c>
      <c r="V179" s="10">
        <v>0</v>
      </c>
      <c r="W179" s="10">
        <v>0</v>
      </c>
      <c r="X179" s="74">
        <v>0</v>
      </c>
      <c r="Y179" s="74">
        <v>0</v>
      </c>
      <c r="Z179" s="74">
        <v>0</v>
      </c>
      <c r="AA179" s="74">
        <v>1</v>
      </c>
      <c r="AB179" s="74">
        <v>0</v>
      </c>
      <c r="AC179" s="74">
        <v>0</v>
      </c>
      <c r="AD179" s="74">
        <v>0</v>
      </c>
      <c r="AE179" s="74">
        <v>0</v>
      </c>
      <c r="AF179" s="74">
        <v>0</v>
      </c>
      <c r="AG179" s="90">
        <f t="shared" si="7"/>
        <v>8</v>
      </c>
      <c r="AH179" s="90">
        <f t="shared" si="8"/>
        <v>6</v>
      </c>
      <c r="AI179" s="90">
        <f t="shared" si="9"/>
        <v>2</v>
      </c>
    </row>
    <row r="180" spans="1:35" x14ac:dyDescent="0.35">
      <c r="C180" s="96">
        <v>46084</v>
      </c>
      <c r="D180" s="97">
        <v>21</v>
      </c>
      <c r="E180" s="97" t="s">
        <v>647</v>
      </c>
      <c r="F180" s="10">
        <v>0</v>
      </c>
      <c r="G180" s="10">
        <v>0</v>
      </c>
      <c r="H180" s="10">
        <v>0</v>
      </c>
      <c r="I180" s="10">
        <v>0</v>
      </c>
      <c r="J180" s="74">
        <v>0</v>
      </c>
      <c r="K180" s="74">
        <v>0</v>
      </c>
      <c r="L180" s="74">
        <v>0</v>
      </c>
      <c r="M180" s="74">
        <v>0</v>
      </c>
      <c r="N180" s="74">
        <v>0</v>
      </c>
      <c r="O180" s="74">
        <v>0</v>
      </c>
      <c r="P180" s="74">
        <v>0</v>
      </c>
      <c r="Q180" s="74">
        <v>0</v>
      </c>
      <c r="R180" s="74">
        <v>0</v>
      </c>
      <c r="S180" s="97" t="s">
        <v>995</v>
      </c>
      <c r="T180" s="10">
        <v>1</v>
      </c>
      <c r="U180" s="10">
        <v>0</v>
      </c>
      <c r="V180" s="10">
        <v>0</v>
      </c>
      <c r="W180" s="10">
        <v>0</v>
      </c>
      <c r="X180" s="74">
        <v>0</v>
      </c>
      <c r="Y180" s="74">
        <v>2</v>
      </c>
      <c r="Z180" s="74">
        <v>0</v>
      </c>
      <c r="AA180" s="74">
        <v>0</v>
      </c>
      <c r="AB180" s="74">
        <v>0</v>
      </c>
      <c r="AC180" s="74">
        <v>0</v>
      </c>
      <c r="AD180" s="74">
        <v>0</v>
      </c>
      <c r="AE180" s="74">
        <v>0</v>
      </c>
      <c r="AF180" s="74">
        <v>0</v>
      </c>
      <c r="AG180" s="90">
        <f t="shared" si="7"/>
        <v>3</v>
      </c>
      <c r="AH180" s="90">
        <f t="shared" si="8"/>
        <v>1</v>
      </c>
      <c r="AI180" s="90">
        <f t="shared" si="9"/>
        <v>2</v>
      </c>
    </row>
    <row r="181" spans="1:35" x14ac:dyDescent="0.35">
      <c r="C181" s="96">
        <v>46088</v>
      </c>
      <c r="D181" s="97">
        <v>21</v>
      </c>
      <c r="E181" s="97" t="s">
        <v>1010</v>
      </c>
      <c r="F181" s="10">
        <v>5</v>
      </c>
      <c r="G181" s="10">
        <v>2</v>
      </c>
      <c r="H181" s="10">
        <v>0</v>
      </c>
      <c r="I181" s="10">
        <v>1</v>
      </c>
      <c r="J181" s="74">
        <v>0</v>
      </c>
      <c r="K181" s="74">
        <v>0</v>
      </c>
      <c r="L181" s="74">
        <v>0</v>
      </c>
      <c r="M181" s="74">
        <v>0</v>
      </c>
      <c r="N181" s="74">
        <v>0</v>
      </c>
      <c r="O181" s="74">
        <v>0</v>
      </c>
      <c r="P181" s="74">
        <v>0</v>
      </c>
      <c r="Q181" s="74">
        <v>0</v>
      </c>
      <c r="R181" s="74">
        <v>0</v>
      </c>
      <c r="S181" s="97" t="s">
        <v>1009</v>
      </c>
      <c r="T181" s="10">
        <v>4</v>
      </c>
      <c r="U181" s="10">
        <v>3</v>
      </c>
      <c r="V181" s="10">
        <v>0</v>
      </c>
      <c r="W181" s="10">
        <v>0</v>
      </c>
      <c r="X181" s="74">
        <v>0</v>
      </c>
      <c r="Y181" s="74">
        <v>0</v>
      </c>
      <c r="Z181" s="74">
        <v>0</v>
      </c>
      <c r="AA181" s="74">
        <v>0</v>
      </c>
      <c r="AB181" s="74">
        <v>0</v>
      </c>
      <c r="AC181" s="74">
        <v>1</v>
      </c>
      <c r="AD181" s="74">
        <v>0</v>
      </c>
      <c r="AE181" s="74">
        <v>0</v>
      </c>
      <c r="AF181" s="74">
        <v>0</v>
      </c>
      <c r="AG181" s="90">
        <f t="shared" si="7"/>
        <v>16</v>
      </c>
      <c r="AH181" s="90">
        <f t="shared" si="8"/>
        <v>15</v>
      </c>
      <c r="AI181" s="90">
        <f t="shared" si="9"/>
        <v>1</v>
      </c>
    </row>
    <row r="182" spans="1:35" x14ac:dyDescent="0.35">
      <c r="C182" s="96">
        <v>46091</v>
      </c>
      <c r="D182" s="97">
        <v>21</v>
      </c>
      <c r="E182" s="97" t="s">
        <v>1073</v>
      </c>
      <c r="F182" s="10">
        <v>3</v>
      </c>
      <c r="G182" s="10">
        <v>3</v>
      </c>
      <c r="H182" s="10">
        <v>1</v>
      </c>
      <c r="I182" s="10">
        <v>0</v>
      </c>
      <c r="J182" s="74">
        <v>0</v>
      </c>
      <c r="K182" s="74">
        <v>0</v>
      </c>
      <c r="L182" s="74">
        <v>0</v>
      </c>
      <c r="M182" s="74">
        <v>0</v>
      </c>
      <c r="N182" s="74">
        <v>0</v>
      </c>
      <c r="O182" s="74">
        <v>1</v>
      </c>
      <c r="P182" s="74">
        <v>0</v>
      </c>
      <c r="Q182" s="74">
        <v>0</v>
      </c>
      <c r="R182" s="74">
        <v>0</v>
      </c>
      <c r="S182" s="97" t="s">
        <v>1072</v>
      </c>
      <c r="T182" s="10">
        <v>1</v>
      </c>
      <c r="U182" s="10">
        <v>4</v>
      </c>
      <c r="V182" s="10">
        <v>0</v>
      </c>
      <c r="W182" s="10">
        <v>0</v>
      </c>
      <c r="X182" s="74">
        <v>0</v>
      </c>
      <c r="Y182" s="74">
        <v>0</v>
      </c>
      <c r="Z182" s="74">
        <v>1</v>
      </c>
      <c r="AA182" s="74">
        <v>0</v>
      </c>
      <c r="AB182" s="74">
        <v>0</v>
      </c>
      <c r="AC182" s="74">
        <v>0</v>
      </c>
      <c r="AD182" s="74">
        <v>0</v>
      </c>
      <c r="AE182" s="74">
        <v>0</v>
      </c>
      <c r="AF182" s="74">
        <v>0</v>
      </c>
      <c r="AG182" s="90">
        <f t="shared" si="7"/>
        <v>14</v>
      </c>
      <c r="AH182" s="90">
        <f t="shared" si="8"/>
        <v>12</v>
      </c>
      <c r="AI182" s="90">
        <f t="shared" si="9"/>
        <v>2</v>
      </c>
    </row>
    <row r="183" spans="1:35" x14ac:dyDescent="0.35">
      <c r="C183" s="96">
        <v>46098</v>
      </c>
      <c r="D183" s="97">
        <v>21</v>
      </c>
      <c r="E183" s="97" t="s">
        <v>647</v>
      </c>
      <c r="F183" s="10">
        <v>0</v>
      </c>
      <c r="G183" s="10">
        <v>0</v>
      </c>
      <c r="H183" s="10">
        <v>0</v>
      </c>
      <c r="I183" s="10">
        <v>0</v>
      </c>
      <c r="J183" s="74">
        <v>0</v>
      </c>
      <c r="K183" s="74">
        <v>0</v>
      </c>
      <c r="L183" s="74">
        <v>0</v>
      </c>
      <c r="M183" s="74">
        <v>0</v>
      </c>
      <c r="N183" s="74">
        <v>0</v>
      </c>
      <c r="O183" s="74">
        <v>0</v>
      </c>
      <c r="P183" s="74">
        <v>0</v>
      </c>
      <c r="Q183" s="74">
        <v>0</v>
      </c>
      <c r="R183" s="74">
        <v>0</v>
      </c>
      <c r="S183" s="97" t="s">
        <v>298</v>
      </c>
      <c r="T183" s="10">
        <v>3</v>
      </c>
      <c r="U183" s="10">
        <v>0</v>
      </c>
      <c r="V183" s="10">
        <v>0</v>
      </c>
      <c r="W183" s="10">
        <v>2</v>
      </c>
      <c r="X183" s="74">
        <v>0</v>
      </c>
      <c r="Y183" s="74">
        <v>0</v>
      </c>
      <c r="Z183" s="74">
        <v>0</v>
      </c>
      <c r="AA183" s="74">
        <v>0</v>
      </c>
      <c r="AB183" s="74">
        <v>0</v>
      </c>
      <c r="AC183" s="74">
        <v>0</v>
      </c>
      <c r="AD183" s="74">
        <v>0</v>
      </c>
      <c r="AE183" s="74">
        <v>0</v>
      </c>
      <c r="AF183" s="74">
        <v>0</v>
      </c>
      <c r="AG183" s="90">
        <f t="shared" si="7"/>
        <v>5</v>
      </c>
      <c r="AH183" s="90">
        <f t="shared" si="8"/>
        <v>5</v>
      </c>
      <c r="AI183" s="90">
        <f t="shared" si="9"/>
        <v>0</v>
      </c>
    </row>
    <row r="184" spans="1:35" x14ac:dyDescent="0.35">
      <c r="C184" s="96">
        <v>46105</v>
      </c>
      <c r="D184" s="97">
        <v>21</v>
      </c>
      <c r="E184" s="97" t="s">
        <v>1126</v>
      </c>
      <c r="F184" s="10">
        <v>2</v>
      </c>
      <c r="G184" s="10">
        <v>3</v>
      </c>
      <c r="H184" s="10">
        <v>0</v>
      </c>
      <c r="I184" s="10">
        <v>0</v>
      </c>
      <c r="J184" s="74">
        <v>0</v>
      </c>
      <c r="K184" s="74">
        <v>0</v>
      </c>
      <c r="L184" s="74">
        <v>0</v>
      </c>
      <c r="M184" s="74">
        <v>2</v>
      </c>
      <c r="N184" s="74">
        <v>0</v>
      </c>
      <c r="O184" s="74">
        <v>0</v>
      </c>
      <c r="P184" s="74">
        <v>0</v>
      </c>
      <c r="Q184" s="74">
        <v>0</v>
      </c>
      <c r="R184" s="74">
        <v>0</v>
      </c>
      <c r="S184" s="97" t="s">
        <v>1125</v>
      </c>
      <c r="T184" s="10">
        <v>0</v>
      </c>
      <c r="U184" s="10">
        <v>0</v>
      </c>
      <c r="V184" s="10">
        <v>0</v>
      </c>
      <c r="W184" s="10">
        <v>1</v>
      </c>
      <c r="X184" s="74">
        <v>0</v>
      </c>
      <c r="Y184" s="74">
        <v>0</v>
      </c>
      <c r="Z184" s="74">
        <v>0</v>
      </c>
      <c r="AA184" s="74">
        <v>1</v>
      </c>
      <c r="AB184" s="74">
        <v>0</v>
      </c>
      <c r="AC184" s="74">
        <v>0</v>
      </c>
      <c r="AD184" s="74">
        <v>0</v>
      </c>
      <c r="AE184" s="74">
        <v>0</v>
      </c>
      <c r="AF184" s="74">
        <v>0</v>
      </c>
      <c r="AG184" s="90">
        <f t="shared" si="7"/>
        <v>9</v>
      </c>
      <c r="AH184" s="90">
        <f t="shared" si="8"/>
        <v>6</v>
      </c>
      <c r="AI184" s="90">
        <f t="shared" si="9"/>
        <v>3</v>
      </c>
    </row>
    <row r="185" spans="1:35" x14ac:dyDescent="0.35">
      <c r="C185" s="96">
        <v>46112</v>
      </c>
      <c r="D185" s="97">
        <v>21</v>
      </c>
      <c r="E185" s="97" t="s">
        <v>124</v>
      </c>
      <c r="F185" s="10">
        <v>4</v>
      </c>
      <c r="G185" s="10">
        <v>1</v>
      </c>
      <c r="H185" s="10">
        <v>0</v>
      </c>
      <c r="I185" s="10">
        <v>0</v>
      </c>
      <c r="J185" s="74">
        <v>0</v>
      </c>
      <c r="K185" s="74">
        <v>0</v>
      </c>
      <c r="L185" s="74">
        <v>0</v>
      </c>
      <c r="M185" s="74">
        <v>0</v>
      </c>
      <c r="N185" s="74">
        <v>0</v>
      </c>
      <c r="O185" s="74">
        <v>0</v>
      </c>
      <c r="P185" s="74">
        <v>0</v>
      </c>
      <c r="Q185" s="74">
        <v>0</v>
      </c>
      <c r="R185" s="74">
        <v>0</v>
      </c>
      <c r="S185" s="97" t="s">
        <v>130</v>
      </c>
      <c r="T185" s="10">
        <v>2</v>
      </c>
      <c r="U185" s="10">
        <v>0</v>
      </c>
      <c r="V185" s="10">
        <v>0</v>
      </c>
      <c r="W185" s="10">
        <v>0</v>
      </c>
      <c r="X185" s="74">
        <v>0</v>
      </c>
      <c r="Y185" s="74">
        <v>0</v>
      </c>
      <c r="Z185" s="74">
        <v>0</v>
      </c>
      <c r="AA185" s="74">
        <v>1</v>
      </c>
      <c r="AB185" s="74">
        <v>0</v>
      </c>
      <c r="AC185" s="74">
        <v>0</v>
      </c>
      <c r="AD185" s="74">
        <v>0</v>
      </c>
      <c r="AE185" s="74">
        <v>0</v>
      </c>
      <c r="AF185" s="74">
        <v>0</v>
      </c>
      <c r="AG185" s="90">
        <f t="shared" si="7"/>
        <v>8</v>
      </c>
      <c r="AH185" s="90">
        <f t="shared" si="8"/>
        <v>7</v>
      </c>
      <c r="AI185" s="90">
        <f t="shared" si="9"/>
        <v>1</v>
      </c>
    </row>
    <row r="187" spans="1:35" x14ac:dyDescent="0.35">
      <c r="A187" s="93">
        <v>9</v>
      </c>
      <c r="B187" s="95" t="s">
        <v>748</v>
      </c>
      <c r="C187" s="96">
        <v>46031</v>
      </c>
      <c r="D187" s="97">
        <v>7</v>
      </c>
      <c r="E187" s="97" t="s">
        <v>738</v>
      </c>
      <c r="F187" s="10">
        <v>3</v>
      </c>
      <c r="G187" s="10">
        <v>3</v>
      </c>
      <c r="H187" s="10">
        <v>0</v>
      </c>
      <c r="I187" s="10">
        <v>1</v>
      </c>
      <c r="J187" s="74">
        <v>0</v>
      </c>
      <c r="K187" s="74">
        <v>0</v>
      </c>
      <c r="L187" s="74">
        <v>0</v>
      </c>
      <c r="M187" s="74">
        <v>0</v>
      </c>
      <c r="N187" s="74">
        <v>0</v>
      </c>
      <c r="O187" s="74">
        <v>0</v>
      </c>
      <c r="P187" s="74">
        <v>0</v>
      </c>
      <c r="Q187" s="74">
        <v>0</v>
      </c>
      <c r="R187" s="74">
        <v>0</v>
      </c>
      <c r="S187" s="97" t="s">
        <v>55</v>
      </c>
      <c r="T187" s="10">
        <v>0</v>
      </c>
      <c r="U187" s="10">
        <v>0</v>
      </c>
      <c r="V187" s="10">
        <v>0</v>
      </c>
      <c r="W187" s="10">
        <v>0</v>
      </c>
      <c r="X187" s="74">
        <v>0</v>
      </c>
      <c r="Y187" s="74">
        <v>0</v>
      </c>
      <c r="Z187" s="74">
        <v>0</v>
      </c>
      <c r="AA187" s="74">
        <v>0</v>
      </c>
      <c r="AB187" s="74">
        <v>0</v>
      </c>
      <c r="AC187" s="74">
        <v>0</v>
      </c>
      <c r="AD187" s="74">
        <v>0</v>
      </c>
      <c r="AE187" s="74">
        <v>0</v>
      </c>
      <c r="AF187" s="74">
        <v>0</v>
      </c>
      <c r="AG187" s="90">
        <f t="shared" si="7"/>
        <v>7</v>
      </c>
      <c r="AH187" s="90">
        <f t="shared" si="8"/>
        <v>7</v>
      </c>
      <c r="AI187" s="90">
        <f t="shared" si="9"/>
        <v>0</v>
      </c>
    </row>
    <row r="188" spans="1:35" x14ac:dyDescent="0.35">
      <c r="C188" s="96">
        <v>46035</v>
      </c>
      <c r="D188" s="97">
        <v>7</v>
      </c>
      <c r="E188" s="97" t="s">
        <v>232</v>
      </c>
      <c r="F188" s="10">
        <v>2</v>
      </c>
      <c r="G188" s="10">
        <v>1</v>
      </c>
      <c r="H188" s="10">
        <v>0</v>
      </c>
      <c r="I188" s="10">
        <v>0</v>
      </c>
      <c r="J188" s="74">
        <v>0</v>
      </c>
      <c r="K188" s="74">
        <v>0</v>
      </c>
      <c r="L188" s="74">
        <v>0</v>
      </c>
      <c r="M188" s="74">
        <v>1</v>
      </c>
      <c r="N188" s="74">
        <v>0</v>
      </c>
      <c r="O188" s="74">
        <v>0</v>
      </c>
      <c r="P188" s="74">
        <v>0</v>
      </c>
      <c r="Q188" s="74">
        <v>0</v>
      </c>
      <c r="R188" s="74">
        <v>0</v>
      </c>
      <c r="S188" s="97" t="s">
        <v>88</v>
      </c>
      <c r="T188" s="10">
        <v>4</v>
      </c>
      <c r="U188" s="10">
        <v>2</v>
      </c>
      <c r="V188" s="10">
        <v>0</v>
      </c>
      <c r="W188" s="10">
        <v>0</v>
      </c>
      <c r="X188" s="74">
        <v>0</v>
      </c>
      <c r="Y188" s="74">
        <v>0</v>
      </c>
      <c r="Z188" s="74">
        <v>0</v>
      </c>
      <c r="AA188" s="74">
        <v>0</v>
      </c>
      <c r="AB188" s="74">
        <v>0</v>
      </c>
      <c r="AC188" s="74">
        <v>0</v>
      </c>
      <c r="AD188" s="74">
        <v>0</v>
      </c>
      <c r="AE188" s="74">
        <v>0</v>
      </c>
      <c r="AF188" s="74">
        <v>0</v>
      </c>
      <c r="AG188" s="90">
        <f t="shared" si="7"/>
        <v>10</v>
      </c>
      <c r="AH188" s="90">
        <f t="shared" si="8"/>
        <v>9</v>
      </c>
      <c r="AI188" s="90">
        <f t="shared" si="9"/>
        <v>1</v>
      </c>
    </row>
    <row r="189" spans="1:35" x14ac:dyDescent="0.35">
      <c r="C189" s="96">
        <v>46038</v>
      </c>
      <c r="D189" s="97">
        <v>7</v>
      </c>
      <c r="E189" s="97" t="s">
        <v>764</v>
      </c>
      <c r="F189" s="10">
        <v>4</v>
      </c>
      <c r="G189" s="10">
        <v>2</v>
      </c>
      <c r="H189" s="10">
        <v>0</v>
      </c>
      <c r="I189" s="10">
        <v>0</v>
      </c>
      <c r="J189" s="74">
        <v>0</v>
      </c>
      <c r="K189" s="74">
        <v>0</v>
      </c>
      <c r="L189" s="74">
        <v>0</v>
      </c>
      <c r="M189" s="74">
        <v>0</v>
      </c>
      <c r="N189" s="74">
        <v>0</v>
      </c>
      <c r="O189" s="74">
        <v>1</v>
      </c>
      <c r="P189" s="74">
        <v>0</v>
      </c>
      <c r="Q189" s="74">
        <v>0</v>
      </c>
      <c r="R189" s="74">
        <v>0</v>
      </c>
      <c r="S189" s="97" t="s">
        <v>154</v>
      </c>
      <c r="T189" s="10">
        <v>0</v>
      </c>
      <c r="U189" s="10">
        <v>3</v>
      </c>
      <c r="V189" s="10">
        <v>0</v>
      </c>
      <c r="W189" s="10">
        <v>0</v>
      </c>
      <c r="X189" s="74">
        <v>0</v>
      </c>
      <c r="Y189" s="74">
        <v>0</v>
      </c>
      <c r="Z189" s="74">
        <v>0</v>
      </c>
      <c r="AA189" s="74">
        <v>0</v>
      </c>
      <c r="AB189" s="74">
        <v>0</v>
      </c>
      <c r="AC189" s="74">
        <v>0</v>
      </c>
      <c r="AD189" s="74">
        <v>0</v>
      </c>
      <c r="AE189" s="74">
        <v>0</v>
      </c>
      <c r="AF189" s="74">
        <v>0</v>
      </c>
      <c r="AG189" s="90">
        <f t="shared" si="7"/>
        <v>10</v>
      </c>
      <c r="AH189" s="90">
        <f t="shared" si="8"/>
        <v>9</v>
      </c>
      <c r="AI189" s="90">
        <f t="shared" si="9"/>
        <v>1</v>
      </c>
    </row>
    <row r="190" spans="1:35" x14ac:dyDescent="0.35">
      <c r="C190" s="96">
        <v>46041</v>
      </c>
      <c r="D190" s="97">
        <v>7</v>
      </c>
      <c r="E190" s="97" t="s">
        <v>203</v>
      </c>
      <c r="F190" s="10">
        <v>3</v>
      </c>
      <c r="G190" s="10">
        <v>0</v>
      </c>
      <c r="H190" s="10">
        <v>0</v>
      </c>
      <c r="I190" s="10">
        <v>0</v>
      </c>
      <c r="J190" s="74">
        <v>0</v>
      </c>
      <c r="K190" s="74">
        <v>0</v>
      </c>
      <c r="L190" s="74">
        <v>0</v>
      </c>
      <c r="M190" s="74">
        <v>0</v>
      </c>
      <c r="N190" s="74">
        <v>0</v>
      </c>
      <c r="O190" s="74">
        <v>1</v>
      </c>
      <c r="P190" s="74">
        <v>0</v>
      </c>
      <c r="Q190" s="74">
        <v>0</v>
      </c>
      <c r="R190" s="74">
        <v>0</v>
      </c>
      <c r="S190" s="97" t="s">
        <v>721</v>
      </c>
      <c r="T190" s="10">
        <v>2</v>
      </c>
      <c r="U190" s="10">
        <v>2</v>
      </c>
      <c r="V190" s="10">
        <v>0</v>
      </c>
      <c r="W190" s="10">
        <v>1</v>
      </c>
      <c r="X190" s="74">
        <v>0</v>
      </c>
      <c r="Y190" s="74">
        <v>0</v>
      </c>
      <c r="Z190" s="74">
        <v>0</v>
      </c>
      <c r="AA190" s="74">
        <v>0</v>
      </c>
      <c r="AB190" s="74">
        <v>0</v>
      </c>
      <c r="AC190" s="74">
        <v>0</v>
      </c>
      <c r="AD190" s="74">
        <v>0</v>
      </c>
      <c r="AE190" s="74">
        <v>0</v>
      </c>
      <c r="AF190" s="74">
        <v>0</v>
      </c>
      <c r="AG190" s="90">
        <f t="shared" si="7"/>
        <v>9</v>
      </c>
      <c r="AH190" s="90">
        <f t="shared" si="8"/>
        <v>8</v>
      </c>
      <c r="AI190" s="90">
        <f t="shared" si="9"/>
        <v>1</v>
      </c>
    </row>
    <row r="191" spans="1:35" x14ac:dyDescent="0.35">
      <c r="C191" s="96">
        <v>46045</v>
      </c>
      <c r="D191" s="97">
        <v>7</v>
      </c>
      <c r="E191" s="97" t="s">
        <v>438</v>
      </c>
      <c r="F191" s="10">
        <v>2</v>
      </c>
      <c r="G191" s="10">
        <v>0</v>
      </c>
      <c r="H191" s="10">
        <v>0</v>
      </c>
      <c r="I191" s="10">
        <v>0</v>
      </c>
      <c r="J191" s="74">
        <v>0</v>
      </c>
      <c r="K191" s="74">
        <v>0</v>
      </c>
      <c r="L191" s="74">
        <v>1</v>
      </c>
      <c r="M191" s="74">
        <v>0</v>
      </c>
      <c r="N191" s="74">
        <v>0</v>
      </c>
      <c r="O191" s="74">
        <v>0</v>
      </c>
      <c r="P191" s="74">
        <v>0</v>
      </c>
      <c r="Q191" s="74">
        <v>0</v>
      </c>
      <c r="R191" s="74">
        <v>0</v>
      </c>
      <c r="S191" s="97" t="s">
        <v>791</v>
      </c>
      <c r="T191" s="10">
        <v>7</v>
      </c>
      <c r="U191" s="10">
        <v>2</v>
      </c>
      <c r="V191" s="10">
        <v>0</v>
      </c>
      <c r="W191" s="10">
        <v>0</v>
      </c>
      <c r="X191" s="74">
        <v>0</v>
      </c>
      <c r="Y191" s="74">
        <v>0</v>
      </c>
      <c r="Z191" s="74">
        <v>0</v>
      </c>
      <c r="AA191" s="74">
        <v>0</v>
      </c>
      <c r="AB191" s="74">
        <v>0</v>
      </c>
      <c r="AC191" s="74">
        <v>0</v>
      </c>
      <c r="AD191" s="74">
        <v>0</v>
      </c>
      <c r="AE191" s="74">
        <v>0</v>
      </c>
      <c r="AF191" s="74">
        <v>0</v>
      </c>
      <c r="AG191" s="90">
        <f t="shared" si="7"/>
        <v>12</v>
      </c>
      <c r="AH191" s="90">
        <f t="shared" si="8"/>
        <v>11</v>
      </c>
      <c r="AI191" s="90">
        <f t="shared" si="9"/>
        <v>1</v>
      </c>
    </row>
    <row r="192" spans="1:35" x14ac:dyDescent="0.35">
      <c r="C192" s="96">
        <v>46049</v>
      </c>
      <c r="D192" s="97">
        <v>7</v>
      </c>
      <c r="E192" s="97" t="s">
        <v>98</v>
      </c>
      <c r="F192" s="10">
        <v>4</v>
      </c>
      <c r="G192" s="10">
        <v>0</v>
      </c>
      <c r="H192" s="10">
        <v>0</v>
      </c>
      <c r="I192" s="10">
        <v>0</v>
      </c>
      <c r="J192" s="74">
        <v>0</v>
      </c>
      <c r="K192" s="74">
        <v>0</v>
      </c>
      <c r="L192" s="74">
        <v>0</v>
      </c>
      <c r="M192" s="74">
        <v>0</v>
      </c>
      <c r="N192" s="74">
        <v>0</v>
      </c>
      <c r="O192" s="74">
        <v>0</v>
      </c>
      <c r="P192" s="74">
        <v>0</v>
      </c>
      <c r="Q192" s="74">
        <v>0</v>
      </c>
      <c r="R192" s="74">
        <v>0</v>
      </c>
      <c r="S192" s="97" t="s">
        <v>803</v>
      </c>
      <c r="T192" s="10">
        <v>5</v>
      </c>
      <c r="U192" s="10">
        <v>0</v>
      </c>
      <c r="V192" s="10">
        <v>0</v>
      </c>
      <c r="W192" s="10">
        <v>0</v>
      </c>
      <c r="X192" s="74">
        <v>0</v>
      </c>
      <c r="Y192" s="74">
        <v>0</v>
      </c>
      <c r="Z192" s="74">
        <v>0</v>
      </c>
      <c r="AA192" s="74">
        <v>0</v>
      </c>
      <c r="AB192" s="74">
        <v>0</v>
      </c>
      <c r="AC192" s="74">
        <v>0</v>
      </c>
      <c r="AD192" s="74">
        <v>0</v>
      </c>
      <c r="AE192" s="74">
        <v>0</v>
      </c>
      <c r="AF192" s="74">
        <v>0</v>
      </c>
      <c r="AG192" s="90">
        <f t="shared" si="7"/>
        <v>9</v>
      </c>
      <c r="AH192" s="90">
        <f t="shared" si="8"/>
        <v>9</v>
      </c>
      <c r="AI192" s="90">
        <f t="shared" si="9"/>
        <v>0</v>
      </c>
    </row>
    <row r="193" spans="3:35" x14ac:dyDescent="0.35">
      <c r="C193" s="96">
        <v>46052</v>
      </c>
      <c r="D193" s="97">
        <v>7</v>
      </c>
      <c r="E193" s="97" t="s">
        <v>226</v>
      </c>
      <c r="F193" s="10">
        <v>3</v>
      </c>
      <c r="G193" s="10">
        <v>1</v>
      </c>
      <c r="H193" s="10">
        <v>0</v>
      </c>
      <c r="I193" s="10">
        <v>1</v>
      </c>
      <c r="J193" s="74">
        <v>0</v>
      </c>
      <c r="K193" s="74">
        <v>0</v>
      </c>
      <c r="L193" s="74">
        <v>0</v>
      </c>
      <c r="M193" s="74">
        <v>0</v>
      </c>
      <c r="N193" s="74">
        <v>0</v>
      </c>
      <c r="O193" s="74">
        <v>0</v>
      </c>
      <c r="P193" s="74">
        <v>0</v>
      </c>
      <c r="Q193" s="74">
        <v>0</v>
      </c>
      <c r="R193" s="74">
        <v>0</v>
      </c>
      <c r="S193" s="97" t="s">
        <v>817</v>
      </c>
      <c r="T193" s="10">
        <v>4</v>
      </c>
      <c r="U193" s="10">
        <v>0</v>
      </c>
      <c r="V193" s="10">
        <v>0</v>
      </c>
      <c r="W193" s="10">
        <v>0</v>
      </c>
      <c r="X193" s="74">
        <v>0</v>
      </c>
      <c r="Y193" s="74">
        <v>0</v>
      </c>
      <c r="Z193" s="74">
        <v>0</v>
      </c>
      <c r="AA193" s="74">
        <v>0</v>
      </c>
      <c r="AB193" s="74">
        <v>0</v>
      </c>
      <c r="AC193" s="74">
        <v>0</v>
      </c>
      <c r="AD193" s="74">
        <v>0</v>
      </c>
      <c r="AE193" s="74">
        <v>0</v>
      </c>
      <c r="AF193" s="74">
        <v>0</v>
      </c>
      <c r="AG193" s="90">
        <f t="shared" si="7"/>
        <v>9</v>
      </c>
      <c r="AH193" s="90">
        <f t="shared" si="8"/>
        <v>9</v>
      </c>
      <c r="AI193" s="90">
        <f t="shared" si="9"/>
        <v>0</v>
      </c>
    </row>
    <row r="194" spans="3:35" x14ac:dyDescent="0.35">
      <c r="C194" s="96">
        <v>46056</v>
      </c>
      <c r="D194" s="97">
        <v>7</v>
      </c>
      <c r="E194" s="97" t="s">
        <v>250</v>
      </c>
      <c r="F194" s="10">
        <v>1</v>
      </c>
      <c r="G194" s="10">
        <v>2</v>
      </c>
      <c r="H194" s="10">
        <v>0</v>
      </c>
      <c r="I194" s="10">
        <v>0</v>
      </c>
      <c r="J194" s="74">
        <v>0</v>
      </c>
      <c r="K194" s="74">
        <v>0</v>
      </c>
      <c r="L194" s="74">
        <v>0</v>
      </c>
      <c r="M194" s="74">
        <v>0</v>
      </c>
      <c r="N194" s="74">
        <v>0</v>
      </c>
      <c r="O194" s="74">
        <v>0</v>
      </c>
      <c r="P194" s="74">
        <v>0</v>
      </c>
      <c r="Q194" s="74">
        <v>0</v>
      </c>
      <c r="R194" s="74">
        <v>0</v>
      </c>
      <c r="S194" s="97" t="s">
        <v>242</v>
      </c>
      <c r="T194" s="10">
        <v>2</v>
      </c>
      <c r="U194" s="10">
        <v>1</v>
      </c>
      <c r="V194" s="10">
        <v>0</v>
      </c>
      <c r="W194" s="10">
        <v>0</v>
      </c>
      <c r="X194" s="74">
        <v>0</v>
      </c>
      <c r="Y194" s="74">
        <v>0</v>
      </c>
      <c r="Z194" s="74">
        <v>0</v>
      </c>
      <c r="AA194" s="74">
        <v>0</v>
      </c>
      <c r="AB194" s="74">
        <v>0</v>
      </c>
      <c r="AC194" s="74">
        <v>0</v>
      </c>
      <c r="AD194" s="74">
        <v>0</v>
      </c>
      <c r="AE194" s="74">
        <v>0</v>
      </c>
      <c r="AF194" s="74">
        <v>0</v>
      </c>
      <c r="AG194" s="90">
        <f t="shared" si="7"/>
        <v>6</v>
      </c>
      <c r="AH194" s="90">
        <f t="shared" si="8"/>
        <v>6</v>
      </c>
      <c r="AI194" s="90">
        <f t="shared" si="9"/>
        <v>0</v>
      </c>
    </row>
    <row r="195" spans="3:35" x14ac:dyDescent="0.35">
      <c r="C195" s="96">
        <v>46059</v>
      </c>
      <c r="D195" s="97">
        <v>7</v>
      </c>
      <c r="E195" s="97" t="s">
        <v>407</v>
      </c>
      <c r="F195" s="10">
        <v>2</v>
      </c>
      <c r="G195" s="10">
        <v>0</v>
      </c>
      <c r="H195" s="10">
        <v>0</v>
      </c>
      <c r="I195" s="10">
        <v>0</v>
      </c>
      <c r="J195" s="74">
        <v>0</v>
      </c>
      <c r="K195" s="74">
        <v>0</v>
      </c>
      <c r="L195" s="74">
        <v>0</v>
      </c>
      <c r="M195" s="74">
        <v>0</v>
      </c>
      <c r="N195" s="74">
        <v>0</v>
      </c>
      <c r="O195" s="74">
        <v>0</v>
      </c>
      <c r="P195" s="74">
        <v>0</v>
      </c>
      <c r="Q195" s="74">
        <v>0</v>
      </c>
      <c r="R195" s="74">
        <v>0</v>
      </c>
      <c r="S195" s="97" t="s">
        <v>186</v>
      </c>
      <c r="T195" s="10">
        <v>1</v>
      </c>
      <c r="U195" s="10">
        <v>0</v>
      </c>
      <c r="V195" s="10">
        <v>0</v>
      </c>
      <c r="W195" s="10">
        <v>0</v>
      </c>
      <c r="X195" s="74">
        <v>0</v>
      </c>
      <c r="Y195" s="74">
        <v>0</v>
      </c>
      <c r="Z195" s="74">
        <v>0</v>
      </c>
      <c r="AA195" s="74">
        <v>0</v>
      </c>
      <c r="AB195" s="74">
        <v>0</v>
      </c>
      <c r="AC195" s="74">
        <v>0</v>
      </c>
      <c r="AD195" s="74">
        <v>0</v>
      </c>
      <c r="AE195" s="74">
        <v>0</v>
      </c>
      <c r="AF195" s="74">
        <v>0</v>
      </c>
      <c r="AG195" s="90">
        <f t="shared" si="7"/>
        <v>3</v>
      </c>
      <c r="AH195" s="90">
        <f t="shared" si="8"/>
        <v>3</v>
      </c>
      <c r="AI195" s="90">
        <f t="shared" si="9"/>
        <v>0</v>
      </c>
    </row>
    <row r="196" spans="3:35" ht="29" x14ac:dyDescent="0.35">
      <c r="C196" s="96">
        <v>46062</v>
      </c>
      <c r="D196" s="97">
        <v>7</v>
      </c>
      <c r="E196" s="99" t="s">
        <v>869</v>
      </c>
      <c r="F196" s="10">
        <v>0</v>
      </c>
      <c r="G196" s="10">
        <v>0</v>
      </c>
      <c r="H196" s="10">
        <v>0</v>
      </c>
      <c r="I196" s="10">
        <v>0</v>
      </c>
      <c r="J196" s="74">
        <v>0</v>
      </c>
      <c r="K196" s="74">
        <v>0</v>
      </c>
      <c r="L196" s="74">
        <v>0</v>
      </c>
      <c r="M196" s="74">
        <v>0</v>
      </c>
      <c r="N196" s="74">
        <v>0</v>
      </c>
      <c r="O196" s="74">
        <v>0</v>
      </c>
      <c r="P196" s="74">
        <v>0</v>
      </c>
      <c r="Q196" s="74">
        <v>0</v>
      </c>
      <c r="R196" s="74">
        <v>0</v>
      </c>
      <c r="S196" s="97" t="s">
        <v>186</v>
      </c>
      <c r="T196" s="10">
        <v>1</v>
      </c>
      <c r="U196" s="10">
        <v>0</v>
      </c>
      <c r="V196" s="10">
        <v>0</v>
      </c>
      <c r="W196" s="10">
        <v>0</v>
      </c>
      <c r="X196" s="74">
        <v>0</v>
      </c>
      <c r="Y196" s="74">
        <v>0</v>
      </c>
      <c r="Z196" s="74">
        <v>0</v>
      </c>
      <c r="AA196" s="74">
        <v>0</v>
      </c>
      <c r="AB196" s="74">
        <v>0</v>
      </c>
      <c r="AC196" s="74">
        <v>0</v>
      </c>
      <c r="AD196" s="74">
        <v>0</v>
      </c>
      <c r="AE196" s="74">
        <v>0</v>
      </c>
      <c r="AF196" s="74">
        <v>0</v>
      </c>
      <c r="AG196" s="90">
        <f t="shared" si="7"/>
        <v>1</v>
      </c>
      <c r="AH196" s="90">
        <f t="shared" si="8"/>
        <v>1</v>
      </c>
      <c r="AI196" s="90">
        <f t="shared" si="9"/>
        <v>0</v>
      </c>
    </row>
    <row r="197" spans="3:35" x14ac:dyDescent="0.35">
      <c r="C197" s="96">
        <v>46066</v>
      </c>
      <c r="D197" s="97">
        <v>7</v>
      </c>
      <c r="E197" s="97" t="s">
        <v>242</v>
      </c>
      <c r="F197" s="10">
        <v>2</v>
      </c>
      <c r="G197" s="10">
        <v>1</v>
      </c>
      <c r="H197" s="10">
        <v>0</v>
      </c>
      <c r="I197" s="10">
        <v>0</v>
      </c>
      <c r="J197" s="74">
        <v>0</v>
      </c>
      <c r="K197" s="74">
        <v>0</v>
      </c>
      <c r="L197" s="74">
        <v>0</v>
      </c>
      <c r="M197" s="74">
        <v>0</v>
      </c>
      <c r="N197" s="74">
        <v>0</v>
      </c>
      <c r="O197" s="74">
        <v>0</v>
      </c>
      <c r="P197" s="74">
        <v>0</v>
      </c>
      <c r="Q197" s="74">
        <v>0</v>
      </c>
      <c r="R197" s="74">
        <v>0</v>
      </c>
      <c r="S197" s="97" t="s">
        <v>242</v>
      </c>
      <c r="T197" s="10">
        <v>2</v>
      </c>
      <c r="U197" s="10">
        <v>1</v>
      </c>
      <c r="V197" s="10">
        <v>0</v>
      </c>
      <c r="W197" s="10">
        <v>0</v>
      </c>
      <c r="X197" s="74">
        <v>0</v>
      </c>
      <c r="Y197" s="74">
        <v>0</v>
      </c>
      <c r="Z197" s="74">
        <v>0</v>
      </c>
      <c r="AA197" s="74">
        <v>0</v>
      </c>
      <c r="AB197" s="74">
        <v>0</v>
      </c>
      <c r="AC197" s="74">
        <v>0</v>
      </c>
      <c r="AD197" s="74">
        <v>0</v>
      </c>
      <c r="AE197" s="74">
        <v>0</v>
      </c>
      <c r="AF197" s="74">
        <v>0</v>
      </c>
      <c r="AG197" s="90">
        <f t="shared" si="7"/>
        <v>6</v>
      </c>
      <c r="AH197" s="90">
        <f t="shared" si="8"/>
        <v>6</v>
      </c>
      <c r="AI197" s="90">
        <f t="shared" si="9"/>
        <v>0</v>
      </c>
    </row>
    <row r="198" spans="3:35" x14ac:dyDescent="0.35">
      <c r="C198" s="96">
        <v>46070</v>
      </c>
      <c r="D198" s="97">
        <v>7</v>
      </c>
      <c r="E198" s="97" t="s">
        <v>691</v>
      </c>
      <c r="F198" s="10">
        <v>2</v>
      </c>
      <c r="G198" s="10">
        <v>2</v>
      </c>
      <c r="H198" s="10">
        <v>0</v>
      </c>
      <c r="I198" s="10">
        <v>0</v>
      </c>
      <c r="J198" s="74">
        <v>0</v>
      </c>
      <c r="K198" s="74">
        <v>0</v>
      </c>
      <c r="L198" s="74">
        <v>0</v>
      </c>
      <c r="M198" s="74">
        <v>0</v>
      </c>
      <c r="N198" s="74">
        <v>0</v>
      </c>
      <c r="O198" s="74">
        <v>0</v>
      </c>
      <c r="P198" s="74">
        <v>0</v>
      </c>
      <c r="Q198" s="74">
        <v>0</v>
      </c>
      <c r="R198" s="74">
        <v>0</v>
      </c>
      <c r="S198" s="97" t="s">
        <v>487</v>
      </c>
      <c r="T198" s="10">
        <v>1</v>
      </c>
      <c r="U198" s="10">
        <v>0</v>
      </c>
      <c r="V198" s="10">
        <v>0</v>
      </c>
      <c r="W198" s="10">
        <v>0</v>
      </c>
      <c r="X198" s="74">
        <v>1</v>
      </c>
      <c r="Y198" s="74">
        <v>0</v>
      </c>
      <c r="Z198" s="74">
        <v>0</v>
      </c>
      <c r="AA198" s="74">
        <v>0</v>
      </c>
      <c r="AB198" s="74">
        <v>0</v>
      </c>
      <c r="AC198" s="74">
        <v>0</v>
      </c>
      <c r="AD198" s="74">
        <v>0</v>
      </c>
      <c r="AE198" s="74">
        <v>0</v>
      </c>
      <c r="AF198" s="74">
        <v>0</v>
      </c>
      <c r="AG198" s="90">
        <f t="shared" si="7"/>
        <v>6</v>
      </c>
      <c r="AH198" s="90">
        <f t="shared" si="8"/>
        <v>5</v>
      </c>
      <c r="AI198" s="90">
        <f t="shared" si="9"/>
        <v>1</v>
      </c>
    </row>
    <row r="199" spans="3:35" x14ac:dyDescent="0.35">
      <c r="C199" s="96">
        <v>46074</v>
      </c>
      <c r="D199" s="97">
        <v>7</v>
      </c>
      <c r="E199" s="97" t="s">
        <v>923</v>
      </c>
      <c r="F199" s="10">
        <v>4</v>
      </c>
      <c r="G199" s="10">
        <v>2</v>
      </c>
      <c r="H199" s="10">
        <v>0</v>
      </c>
      <c r="I199" s="10">
        <v>0</v>
      </c>
      <c r="J199" s="74">
        <v>1</v>
      </c>
      <c r="K199" s="74">
        <v>0</v>
      </c>
      <c r="L199" s="74">
        <v>0</v>
      </c>
      <c r="M199" s="74">
        <v>0</v>
      </c>
      <c r="N199" s="74">
        <v>0</v>
      </c>
      <c r="O199" s="74">
        <v>0</v>
      </c>
      <c r="P199" s="74">
        <v>0</v>
      </c>
      <c r="Q199" s="74">
        <v>0</v>
      </c>
      <c r="R199" s="74">
        <v>0</v>
      </c>
      <c r="S199" s="97" t="s">
        <v>922</v>
      </c>
      <c r="T199" s="10">
        <v>0</v>
      </c>
      <c r="U199" s="10">
        <v>1</v>
      </c>
      <c r="V199" s="10">
        <v>0</v>
      </c>
      <c r="W199" s="10">
        <v>0</v>
      </c>
      <c r="X199" s="74">
        <v>1</v>
      </c>
      <c r="Y199" s="74">
        <v>0</v>
      </c>
      <c r="Z199" s="74">
        <v>0</v>
      </c>
      <c r="AA199" s="74">
        <v>0</v>
      </c>
      <c r="AB199" s="74">
        <v>0</v>
      </c>
      <c r="AC199" s="74">
        <v>0</v>
      </c>
      <c r="AD199" s="74">
        <v>0</v>
      </c>
      <c r="AE199" s="74">
        <v>0</v>
      </c>
      <c r="AF199" s="74">
        <v>0</v>
      </c>
      <c r="AG199" s="90">
        <f t="shared" si="7"/>
        <v>9</v>
      </c>
      <c r="AH199" s="90">
        <f t="shared" si="8"/>
        <v>7</v>
      </c>
      <c r="AI199" s="90">
        <f t="shared" si="9"/>
        <v>2</v>
      </c>
    </row>
    <row r="200" spans="3:35" x14ac:dyDescent="0.35">
      <c r="C200" s="96">
        <v>46077</v>
      </c>
      <c r="D200" s="97">
        <v>7</v>
      </c>
      <c r="E200" s="97" t="s">
        <v>945</v>
      </c>
      <c r="F200" s="10">
        <v>6</v>
      </c>
      <c r="G200" s="10">
        <v>3</v>
      </c>
      <c r="H200" s="10">
        <v>0</v>
      </c>
      <c r="I200" s="10">
        <v>1</v>
      </c>
      <c r="J200" s="74">
        <v>0</v>
      </c>
      <c r="K200" s="74">
        <v>0</v>
      </c>
      <c r="L200" s="74">
        <v>0</v>
      </c>
      <c r="M200" s="74">
        <v>2</v>
      </c>
      <c r="N200" s="74">
        <v>0</v>
      </c>
      <c r="O200" s="74">
        <v>0</v>
      </c>
      <c r="P200" s="74">
        <v>0</v>
      </c>
      <c r="Q200" s="74">
        <v>0</v>
      </c>
      <c r="R200" s="74">
        <v>0</v>
      </c>
      <c r="S200" s="97" t="s">
        <v>308</v>
      </c>
      <c r="T200" s="10">
        <v>2</v>
      </c>
      <c r="U200" s="10">
        <v>3</v>
      </c>
      <c r="V200" s="10">
        <v>0</v>
      </c>
      <c r="W200" s="10">
        <v>1</v>
      </c>
      <c r="X200" s="74">
        <v>0</v>
      </c>
      <c r="Y200" s="74">
        <v>0</v>
      </c>
      <c r="Z200" s="74">
        <v>0</v>
      </c>
      <c r="AA200" s="74">
        <v>0</v>
      </c>
      <c r="AB200" s="74">
        <v>0</v>
      </c>
      <c r="AC200" s="74">
        <v>0</v>
      </c>
      <c r="AD200" s="74">
        <v>0</v>
      </c>
      <c r="AE200" s="74">
        <v>0</v>
      </c>
      <c r="AF200" s="74">
        <v>0</v>
      </c>
      <c r="AG200" s="90">
        <f t="shared" si="7"/>
        <v>18</v>
      </c>
      <c r="AH200" s="90">
        <f t="shared" si="8"/>
        <v>16</v>
      </c>
      <c r="AI200" s="90">
        <f t="shared" si="9"/>
        <v>2</v>
      </c>
    </row>
    <row r="201" spans="3:35" x14ac:dyDescent="0.35">
      <c r="C201" s="96">
        <v>46080</v>
      </c>
      <c r="D201" s="97">
        <v>7</v>
      </c>
      <c r="E201" s="97" t="s">
        <v>379</v>
      </c>
      <c r="F201" s="10">
        <v>2</v>
      </c>
      <c r="G201" s="10">
        <v>1</v>
      </c>
      <c r="H201" s="10">
        <v>0</v>
      </c>
      <c r="I201" s="10">
        <v>0</v>
      </c>
      <c r="J201" s="74">
        <v>0</v>
      </c>
      <c r="K201" s="74">
        <v>1</v>
      </c>
      <c r="L201" s="74">
        <v>0</v>
      </c>
      <c r="M201" s="74">
        <v>1</v>
      </c>
      <c r="N201" s="74">
        <v>0</v>
      </c>
      <c r="O201" s="74">
        <v>0</v>
      </c>
      <c r="P201" s="74">
        <v>0</v>
      </c>
      <c r="Q201" s="74">
        <v>0</v>
      </c>
      <c r="R201" s="74">
        <v>0</v>
      </c>
      <c r="S201" s="97" t="s">
        <v>960</v>
      </c>
      <c r="T201" s="10">
        <v>2</v>
      </c>
      <c r="U201" s="10">
        <v>2</v>
      </c>
      <c r="V201" s="10">
        <v>0</v>
      </c>
      <c r="W201" s="10">
        <v>0</v>
      </c>
      <c r="X201" s="74">
        <v>0</v>
      </c>
      <c r="Y201" s="74">
        <v>0</v>
      </c>
      <c r="Z201" s="74">
        <v>0</v>
      </c>
      <c r="AA201" s="74">
        <v>0</v>
      </c>
      <c r="AB201" s="74">
        <v>0</v>
      </c>
      <c r="AC201" s="74">
        <v>1</v>
      </c>
      <c r="AD201" s="74">
        <v>0</v>
      </c>
      <c r="AE201" s="74">
        <v>0</v>
      </c>
      <c r="AF201" s="74">
        <v>0</v>
      </c>
      <c r="AG201" s="90">
        <f t="shared" si="7"/>
        <v>10</v>
      </c>
      <c r="AH201" s="90">
        <f t="shared" si="8"/>
        <v>7</v>
      </c>
      <c r="AI201" s="90">
        <f t="shared" si="9"/>
        <v>3</v>
      </c>
    </row>
    <row r="202" spans="3:35" x14ac:dyDescent="0.35">
      <c r="C202" s="96">
        <v>46084</v>
      </c>
      <c r="D202" s="97">
        <v>7</v>
      </c>
      <c r="E202" s="97" t="s">
        <v>990</v>
      </c>
      <c r="F202" s="10">
        <v>2</v>
      </c>
      <c r="G202" s="10">
        <v>0</v>
      </c>
      <c r="H202" s="10">
        <v>3</v>
      </c>
      <c r="I202" s="10">
        <v>0</v>
      </c>
      <c r="J202" s="74">
        <v>0</v>
      </c>
      <c r="K202" s="74">
        <v>0</v>
      </c>
      <c r="L202" s="74">
        <v>0</v>
      </c>
      <c r="M202" s="74">
        <v>0</v>
      </c>
      <c r="N202" s="74">
        <v>0</v>
      </c>
      <c r="O202" s="74">
        <v>0</v>
      </c>
      <c r="P202" s="74">
        <v>0</v>
      </c>
      <c r="Q202" s="74">
        <v>0</v>
      </c>
      <c r="R202" s="74">
        <v>0</v>
      </c>
      <c r="S202" s="97" t="s">
        <v>944</v>
      </c>
      <c r="T202" s="10">
        <v>4</v>
      </c>
      <c r="U202" s="10">
        <v>2</v>
      </c>
      <c r="V202" s="10">
        <v>0</v>
      </c>
      <c r="W202" s="10">
        <v>0</v>
      </c>
      <c r="X202" s="74">
        <v>0</v>
      </c>
      <c r="Y202" s="74">
        <v>1</v>
      </c>
      <c r="Z202" s="74">
        <v>0</v>
      </c>
      <c r="AA202" s="74">
        <v>0</v>
      </c>
      <c r="AB202" s="74">
        <v>0</v>
      </c>
      <c r="AC202" s="74">
        <v>0</v>
      </c>
      <c r="AD202" s="74">
        <v>0</v>
      </c>
      <c r="AE202" s="74">
        <v>0</v>
      </c>
      <c r="AF202" s="74">
        <v>0</v>
      </c>
      <c r="AG202" s="90">
        <f t="shared" si="7"/>
        <v>12</v>
      </c>
      <c r="AH202" s="90">
        <f t="shared" si="8"/>
        <v>11</v>
      </c>
      <c r="AI202" s="90">
        <f t="shared" si="9"/>
        <v>1</v>
      </c>
    </row>
    <row r="203" spans="3:35" x14ac:dyDescent="0.35">
      <c r="C203" s="96">
        <v>46088</v>
      </c>
      <c r="D203" s="97">
        <v>7</v>
      </c>
      <c r="E203" s="97" t="s">
        <v>134</v>
      </c>
      <c r="F203" s="10">
        <v>3</v>
      </c>
      <c r="G203" s="10">
        <v>0</v>
      </c>
      <c r="H203" s="10">
        <v>0</v>
      </c>
      <c r="I203" s="10">
        <v>0</v>
      </c>
      <c r="J203" s="74">
        <v>0</v>
      </c>
      <c r="K203" s="74">
        <v>0</v>
      </c>
      <c r="L203" s="74">
        <v>0</v>
      </c>
      <c r="M203" s="74">
        <v>0</v>
      </c>
      <c r="N203" s="74">
        <v>0</v>
      </c>
      <c r="O203" s="74">
        <v>0</v>
      </c>
      <c r="P203" s="74">
        <v>0</v>
      </c>
      <c r="Q203" s="74">
        <v>0</v>
      </c>
      <c r="R203" s="74">
        <v>0</v>
      </c>
      <c r="S203" s="97" t="s">
        <v>198</v>
      </c>
      <c r="T203" s="10">
        <v>0</v>
      </c>
      <c r="U203" s="10">
        <v>1</v>
      </c>
      <c r="V203" s="10">
        <v>0</v>
      </c>
      <c r="W203" s="10">
        <v>0</v>
      </c>
      <c r="X203" s="74">
        <v>0</v>
      </c>
      <c r="Y203" s="74">
        <v>1</v>
      </c>
      <c r="Z203" s="74">
        <v>0</v>
      </c>
      <c r="AA203" s="74">
        <v>1</v>
      </c>
      <c r="AB203" s="74">
        <v>0</v>
      </c>
      <c r="AC203" s="74">
        <v>0</v>
      </c>
      <c r="AD203" s="74">
        <v>0</v>
      </c>
      <c r="AE203" s="74">
        <v>0</v>
      </c>
      <c r="AF203" s="74">
        <v>0</v>
      </c>
      <c r="AG203" s="90">
        <f t="shared" si="7"/>
        <v>6</v>
      </c>
      <c r="AH203" s="90">
        <f t="shared" si="8"/>
        <v>4</v>
      </c>
      <c r="AI203" s="90">
        <f t="shared" si="9"/>
        <v>2</v>
      </c>
    </row>
    <row r="204" spans="3:35" x14ac:dyDescent="0.35">
      <c r="C204" s="96">
        <v>46091</v>
      </c>
      <c r="D204" s="97">
        <v>7</v>
      </c>
      <c r="E204" s="97" t="s">
        <v>492</v>
      </c>
      <c r="F204" s="10">
        <v>1</v>
      </c>
      <c r="G204" s="10">
        <v>2</v>
      </c>
      <c r="H204" s="10">
        <v>0</v>
      </c>
      <c r="I204" s="10">
        <v>1</v>
      </c>
      <c r="J204" s="74">
        <v>0</v>
      </c>
      <c r="K204" s="74">
        <v>0</v>
      </c>
      <c r="L204" s="74">
        <v>0</v>
      </c>
      <c r="M204" s="74">
        <v>0</v>
      </c>
      <c r="N204" s="74">
        <v>0</v>
      </c>
      <c r="O204" s="74">
        <v>0</v>
      </c>
      <c r="P204" s="74">
        <v>0</v>
      </c>
      <c r="Q204" s="74">
        <v>0</v>
      </c>
      <c r="R204" s="74">
        <v>0</v>
      </c>
      <c r="S204" s="97" t="s">
        <v>1061</v>
      </c>
      <c r="T204" s="10">
        <v>3</v>
      </c>
      <c r="U204" s="10">
        <v>1</v>
      </c>
      <c r="V204" s="10">
        <v>0</v>
      </c>
      <c r="W204" s="10">
        <v>1</v>
      </c>
      <c r="X204" s="74">
        <v>0</v>
      </c>
      <c r="Y204" s="74">
        <v>2</v>
      </c>
      <c r="Z204" s="74">
        <v>0</v>
      </c>
      <c r="AA204" s="74">
        <v>0</v>
      </c>
      <c r="AB204" s="74">
        <v>0</v>
      </c>
      <c r="AC204" s="74">
        <v>0</v>
      </c>
      <c r="AD204" s="74">
        <v>0</v>
      </c>
      <c r="AE204" s="74">
        <v>0</v>
      </c>
      <c r="AF204" s="74">
        <v>0</v>
      </c>
      <c r="AG204" s="90">
        <f t="shared" si="7"/>
        <v>11</v>
      </c>
      <c r="AH204" s="90">
        <f t="shared" si="8"/>
        <v>9</v>
      </c>
      <c r="AI204" s="90">
        <f t="shared" si="9"/>
        <v>2</v>
      </c>
    </row>
    <row r="205" spans="3:35" x14ac:dyDescent="0.35">
      <c r="C205" s="96">
        <v>46098</v>
      </c>
      <c r="D205" s="97">
        <v>7</v>
      </c>
      <c r="E205" s="97" t="s">
        <v>1098</v>
      </c>
      <c r="F205" s="10">
        <v>0</v>
      </c>
      <c r="G205" s="10">
        <v>0</v>
      </c>
      <c r="H205" s="10">
        <v>0</v>
      </c>
      <c r="I205" s="10">
        <v>3</v>
      </c>
      <c r="J205" s="74">
        <v>0</v>
      </c>
      <c r="K205" s="74">
        <v>0</v>
      </c>
      <c r="L205" s="74">
        <v>0</v>
      </c>
      <c r="M205" s="74">
        <v>1</v>
      </c>
      <c r="N205" s="74">
        <v>0</v>
      </c>
      <c r="O205" s="74">
        <v>0</v>
      </c>
      <c r="P205" s="74">
        <v>0</v>
      </c>
      <c r="Q205" s="74">
        <v>0</v>
      </c>
      <c r="R205" s="74">
        <v>0</v>
      </c>
      <c r="S205" s="97" t="s">
        <v>742</v>
      </c>
      <c r="T205" s="10">
        <v>1</v>
      </c>
      <c r="U205" s="10">
        <v>4</v>
      </c>
      <c r="V205" s="10">
        <v>0</v>
      </c>
      <c r="W205" s="10">
        <v>1</v>
      </c>
      <c r="X205" s="74">
        <v>0</v>
      </c>
      <c r="Y205" s="74">
        <v>0</v>
      </c>
      <c r="Z205" s="74">
        <v>0</v>
      </c>
      <c r="AA205" s="74">
        <v>1</v>
      </c>
      <c r="AB205" s="74">
        <v>0</v>
      </c>
      <c r="AC205" s="74">
        <v>0</v>
      </c>
      <c r="AD205" s="74">
        <v>0</v>
      </c>
      <c r="AE205" s="74">
        <v>0</v>
      </c>
      <c r="AF205" s="74">
        <v>0</v>
      </c>
      <c r="AG205" s="90">
        <f t="shared" si="7"/>
        <v>11</v>
      </c>
      <c r="AH205" s="90">
        <f t="shared" si="8"/>
        <v>9</v>
      </c>
      <c r="AI205" s="90">
        <f t="shared" si="9"/>
        <v>2</v>
      </c>
    </row>
    <row r="206" spans="3:35" ht="29" x14ac:dyDescent="0.35">
      <c r="C206" s="96">
        <v>46105</v>
      </c>
      <c r="D206" s="97">
        <v>7</v>
      </c>
      <c r="E206" s="97" t="s">
        <v>355</v>
      </c>
      <c r="F206" s="10">
        <v>5</v>
      </c>
      <c r="G206" s="10">
        <v>1</v>
      </c>
      <c r="H206" s="10">
        <v>0</v>
      </c>
      <c r="I206" s="10">
        <v>0</v>
      </c>
      <c r="J206" s="74">
        <v>0</v>
      </c>
      <c r="K206" s="74">
        <v>0</v>
      </c>
      <c r="L206" s="74">
        <v>0</v>
      </c>
      <c r="M206" s="74">
        <v>0</v>
      </c>
      <c r="N206" s="74">
        <v>0</v>
      </c>
      <c r="O206" s="74">
        <v>0</v>
      </c>
      <c r="P206" s="74">
        <v>0</v>
      </c>
      <c r="Q206" s="74">
        <v>0</v>
      </c>
      <c r="R206" s="74">
        <v>0</v>
      </c>
      <c r="S206" s="99" t="s">
        <v>1124</v>
      </c>
      <c r="T206" s="10">
        <v>1</v>
      </c>
      <c r="U206" s="10">
        <v>4</v>
      </c>
      <c r="V206" s="10">
        <v>0</v>
      </c>
      <c r="W206" s="10">
        <v>1</v>
      </c>
      <c r="X206" s="74">
        <v>0</v>
      </c>
      <c r="Y206" s="74">
        <v>1</v>
      </c>
      <c r="Z206" s="74">
        <v>0</v>
      </c>
      <c r="AA206" s="74">
        <v>2</v>
      </c>
      <c r="AB206" s="74">
        <v>0</v>
      </c>
      <c r="AC206" s="74">
        <v>0</v>
      </c>
      <c r="AD206" s="74">
        <v>0</v>
      </c>
      <c r="AE206" s="74">
        <v>0</v>
      </c>
      <c r="AF206" s="74">
        <v>0</v>
      </c>
      <c r="AG206" s="90">
        <f t="shared" si="7"/>
        <v>15</v>
      </c>
      <c r="AH206" s="90">
        <f t="shared" si="8"/>
        <v>12</v>
      </c>
      <c r="AI206" s="90">
        <f t="shared" si="9"/>
        <v>3</v>
      </c>
    </row>
    <row r="207" spans="3:35" ht="29" x14ac:dyDescent="0.35">
      <c r="C207" s="96">
        <v>46112</v>
      </c>
      <c r="D207" s="97">
        <v>7</v>
      </c>
      <c r="E207" s="97" t="s">
        <v>1172</v>
      </c>
      <c r="F207" s="10">
        <v>1</v>
      </c>
      <c r="G207" s="10">
        <v>0</v>
      </c>
      <c r="H207" s="10">
        <v>0</v>
      </c>
      <c r="I207" s="10">
        <v>0</v>
      </c>
      <c r="J207" s="74">
        <v>0</v>
      </c>
      <c r="K207" s="74">
        <v>0</v>
      </c>
      <c r="L207" s="74">
        <v>0</v>
      </c>
      <c r="M207" s="74">
        <v>0</v>
      </c>
      <c r="N207" s="74">
        <v>1</v>
      </c>
      <c r="O207" s="74">
        <v>0</v>
      </c>
      <c r="P207" s="74">
        <v>0</v>
      </c>
      <c r="Q207" s="74">
        <v>0</v>
      </c>
      <c r="R207" s="74">
        <v>0</v>
      </c>
      <c r="S207" s="99" t="s">
        <v>1173</v>
      </c>
      <c r="T207" s="10">
        <v>1</v>
      </c>
      <c r="U207" s="10">
        <v>1</v>
      </c>
      <c r="V207" s="10">
        <v>1</v>
      </c>
      <c r="W207" s="10">
        <v>0</v>
      </c>
      <c r="X207" s="74">
        <v>0</v>
      </c>
      <c r="Y207" s="74">
        <v>1</v>
      </c>
      <c r="Z207" s="74">
        <v>0</v>
      </c>
      <c r="AA207" s="74">
        <v>0</v>
      </c>
      <c r="AB207" s="74">
        <v>1</v>
      </c>
      <c r="AC207" s="74">
        <v>0</v>
      </c>
      <c r="AD207" s="74">
        <v>0</v>
      </c>
      <c r="AE207" s="74">
        <v>0</v>
      </c>
      <c r="AF207" s="74">
        <v>0</v>
      </c>
      <c r="AG207" s="90">
        <f t="shared" si="7"/>
        <v>7</v>
      </c>
      <c r="AH207" s="90">
        <f t="shared" si="8"/>
        <v>4</v>
      </c>
      <c r="AI207" s="90">
        <f t="shared" si="9"/>
        <v>3</v>
      </c>
    </row>
    <row r="209" spans="1:35" x14ac:dyDescent="0.35">
      <c r="A209" s="93">
        <v>10</v>
      </c>
      <c r="B209" s="95" t="s">
        <v>758</v>
      </c>
      <c r="C209" s="96">
        <v>46041</v>
      </c>
      <c r="D209" s="97">
        <v>12</v>
      </c>
      <c r="E209" s="97" t="s">
        <v>133</v>
      </c>
      <c r="F209" s="10">
        <v>5</v>
      </c>
      <c r="G209" s="10">
        <v>0</v>
      </c>
      <c r="H209" s="10">
        <v>0</v>
      </c>
      <c r="I209" s="10">
        <v>0</v>
      </c>
      <c r="J209" s="74">
        <v>0</v>
      </c>
      <c r="K209" s="74">
        <v>0</v>
      </c>
      <c r="L209" s="74">
        <v>0</v>
      </c>
      <c r="M209" s="74">
        <v>0</v>
      </c>
      <c r="N209" s="74">
        <v>0</v>
      </c>
      <c r="O209" s="74">
        <v>0</v>
      </c>
      <c r="P209" s="74">
        <v>0</v>
      </c>
      <c r="Q209" s="74">
        <v>0</v>
      </c>
      <c r="R209" s="74">
        <v>0</v>
      </c>
      <c r="S209" s="97" t="s">
        <v>111</v>
      </c>
      <c r="T209" s="10">
        <v>2</v>
      </c>
      <c r="U209" s="10">
        <v>0</v>
      </c>
      <c r="V209" s="10">
        <v>0</v>
      </c>
      <c r="W209" s="10">
        <v>1</v>
      </c>
      <c r="X209" s="74">
        <v>0</v>
      </c>
      <c r="Y209" s="74">
        <v>0</v>
      </c>
      <c r="Z209" s="74">
        <v>0</v>
      </c>
      <c r="AA209" s="74">
        <v>0</v>
      </c>
      <c r="AB209" s="74">
        <v>0</v>
      </c>
      <c r="AC209" s="74">
        <v>0</v>
      </c>
      <c r="AD209" s="74">
        <v>0</v>
      </c>
      <c r="AE209" s="74">
        <v>0</v>
      </c>
      <c r="AF209" s="74">
        <v>0</v>
      </c>
      <c r="AG209" s="90">
        <f t="shared" si="7"/>
        <v>8</v>
      </c>
      <c r="AH209" s="90">
        <f t="shared" si="8"/>
        <v>8</v>
      </c>
      <c r="AI209" s="90">
        <f t="shared" si="9"/>
        <v>0</v>
      </c>
    </row>
    <row r="210" spans="1:35" x14ac:dyDescent="0.35">
      <c r="C210" s="96">
        <v>46045</v>
      </c>
      <c r="D210" s="97">
        <v>12</v>
      </c>
      <c r="E210" s="97" t="s">
        <v>793</v>
      </c>
      <c r="F210" s="10">
        <v>6</v>
      </c>
      <c r="G210" s="10">
        <v>4</v>
      </c>
      <c r="H210" s="10">
        <v>0</v>
      </c>
      <c r="I210" s="10">
        <v>0</v>
      </c>
      <c r="J210" s="74">
        <v>0</v>
      </c>
      <c r="K210" s="74">
        <v>0</v>
      </c>
      <c r="L210" s="74">
        <v>0</v>
      </c>
      <c r="M210" s="74">
        <v>0</v>
      </c>
      <c r="N210" s="74">
        <v>0</v>
      </c>
      <c r="O210" s="74">
        <v>0</v>
      </c>
      <c r="P210" s="74">
        <v>0</v>
      </c>
      <c r="Q210" s="74">
        <v>0</v>
      </c>
      <c r="R210" s="74">
        <v>0</v>
      </c>
      <c r="S210" s="97" t="s">
        <v>792</v>
      </c>
      <c r="T210" s="10">
        <v>8</v>
      </c>
      <c r="U210" s="10">
        <v>6</v>
      </c>
      <c r="V210" s="10">
        <v>0</v>
      </c>
      <c r="W210" s="10">
        <v>0</v>
      </c>
      <c r="X210" s="74">
        <v>0</v>
      </c>
      <c r="Y210" s="74">
        <v>0</v>
      </c>
      <c r="Z210" s="74">
        <v>0</v>
      </c>
      <c r="AA210" s="74">
        <v>0</v>
      </c>
      <c r="AB210" s="74">
        <v>0</v>
      </c>
      <c r="AC210" s="74">
        <v>0</v>
      </c>
      <c r="AD210" s="74">
        <v>0</v>
      </c>
      <c r="AE210" s="74">
        <v>0</v>
      </c>
      <c r="AF210" s="74">
        <v>0</v>
      </c>
      <c r="AG210" s="90">
        <f t="shared" si="7"/>
        <v>24</v>
      </c>
      <c r="AH210" s="90">
        <f t="shared" si="8"/>
        <v>24</v>
      </c>
      <c r="AI210" s="90">
        <f t="shared" si="9"/>
        <v>0</v>
      </c>
    </row>
    <row r="211" spans="1:35" x14ac:dyDescent="0.35">
      <c r="C211" s="96">
        <v>46049</v>
      </c>
      <c r="D211" s="97">
        <v>12</v>
      </c>
      <c r="E211" s="97" t="s">
        <v>235</v>
      </c>
      <c r="F211" s="10">
        <v>6</v>
      </c>
      <c r="G211" s="10">
        <v>1</v>
      </c>
      <c r="H211" s="10">
        <v>0</v>
      </c>
      <c r="I211" s="10">
        <v>0</v>
      </c>
      <c r="J211" s="74">
        <v>0</v>
      </c>
      <c r="K211" s="74">
        <v>0</v>
      </c>
      <c r="L211" s="74">
        <v>0</v>
      </c>
      <c r="M211" s="74">
        <v>0</v>
      </c>
      <c r="N211" s="74">
        <v>0</v>
      </c>
      <c r="O211" s="74">
        <v>0</v>
      </c>
      <c r="P211" s="74">
        <v>0</v>
      </c>
      <c r="Q211" s="74">
        <v>0</v>
      </c>
      <c r="R211" s="74">
        <v>0</v>
      </c>
      <c r="S211" s="97" t="s">
        <v>804</v>
      </c>
      <c r="T211" s="10">
        <v>5</v>
      </c>
      <c r="U211" s="10">
        <v>3</v>
      </c>
      <c r="V211" s="10">
        <v>0</v>
      </c>
      <c r="W211" s="10">
        <v>0</v>
      </c>
      <c r="X211" s="74">
        <v>0</v>
      </c>
      <c r="Y211" s="74">
        <v>1</v>
      </c>
      <c r="Z211" s="74">
        <v>0</v>
      </c>
      <c r="AA211" s="74">
        <v>0</v>
      </c>
      <c r="AB211" s="74">
        <v>0</v>
      </c>
      <c r="AC211" s="74">
        <v>0</v>
      </c>
      <c r="AD211" s="74">
        <v>0</v>
      </c>
      <c r="AE211" s="74">
        <v>0</v>
      </c>
      <c r="AF211" s="74">
        <v>0</v>
      </c>
      <c r="AG211" s="90">
        <f t="shared" si="7"/>
        <v>16</v>
      </c>
      <c r="AH211" s="90">
        <f t="shared" si="8"/>
        <v>15</v>
      </c>
      <c r="AI211" s="90">
        <f t="shared" si="9"/>
        <v>1</v>
      </c>
    </row>
    <row r="212" spans="1:35" x14ac:dyDescent="0.35">
      <c r="C212" s="96">
        <v>46052</v>
      </c>
      <c r="D212" s="97">
        <v>12</v>
      </c>
      <c r="E212" s="97" t="s">
        <v>242</v>
      </c>
      <c r="F212" s="10">
        <v>2</v>
      </c>
      <c r="G212" s="10">
        <v>1</v>
      </c>
      <c r="H212" s="10">
        <v>0</v>
      </c>
      <c r="I212" s="10">
        <v>0</v>
      </c>
      <c r="J212" s="74">
        <v>0</v>
      </c>
      <c r="K212" s="74">
        <v>0</v>
      </c>
      <c r="L212" s="74">
        <v>0</v>
      </c>
      <c r="M212" s="74">
        <v>0</v>
      </c>
      <c r="N212" s="74">
        <v>0</v>
      </c>
      <c r="O212" s="74">
        <v>0</v>
      </c>
      <c r="P212" s="74">
        <v>0</v>
      </c>
      <c r="Q212" s="74">
        <v>0</v>
      </c>
      <c r="R212" s="74">
        <v>0</v>
      </c>
      <c r="S212" s="97" t="s">
        <v>820</v>
      </c>
      <c r="T212" s="10">
        <v>2</v>
      </c>
      <c r="U212" s="10">
        <v>0</v>
      </c>
      <c r="V212" s="10">
        <v>2</v>
      </c>
      <c r="W212" s="10">
        <v>0</v>
      </c>
      <c r="X212" s="74">
        <v>0</v>
      </c>
      <c r="Y212" s="74">
        <v>0</v>
      </c>
      <c r="Z212" s="74">
        <v>0</v>
      </c>
      <c r="AA212" s="74">
        <v>0</v>
      </c>
      <c r="AB212" s="74">
        <v>0</v>
      </c>
      <c r="AC212" s="74">
        <v>0</v>
      </c>
      <c r="AD212" s="74">
        <v>0</v>
      </c>
      <c r="AE212" s="74">
        <v>0</v>
      </c>
      <c r="AF212" s="74">
        <v>0</v>
      </c>
      <c r="AG212" s="90">
        <f t="shared" si="7"/>
        <v>7</v>
      </c>
      <c r="AH212" s="90">
        <f t="shared" si="8"/>
        <v>7</v>
      </c>
      <c r="AI212" s="90">
        <f t="shared" si="9"/>
        <v>0</v>
      </c>
    </row>
    <row r="213" spans="1:35" x14ac:dyDescent="0.35">
      <c r="C213" s="96">
        <v>46056</v>
      </c>
      <c r="D213" s="97">
        <v>12</v>
      </c>
      <c r="E213" s="97" t="s">
        <v>101</v>
      </c>
      <c r="F213" s="10">
        <v>8</v>
      </c>
      <c r="G213" s="10">
        <v>0</v>
      </c>
      <c r="H213" s="10">
        <v>0</v>
      </c>
      <c r="I213" s="10">
        <v>0</v>
      </c>
      <c r="J213" s="74">
        <v>0</v>
      </c>
      <c r="K213" s="74">
        <v>0</v>
      </c>
      <c r="L213" s="74">
        <v>0</v>
      </c>
      <c r="M213" s="74">
        <v>0</v>
      </c>
      <c r="N213" s="74">
        <v>0</v>
      </c>
      <c r="O213" s="74">
        <v>0</v>
      </c>
      <c r="P213" s="74">
        <v>0</v>
      </c>
      <c r="Q213" s="74">
        <v>0</v>
      </c>
      <c r="R213" s="74">
        <v>0</v>
      </c>
      <c r="S213" s="97" t="s">
        <v>434</v>
      </c>
      <c r="T213" s="10">
        <v>2</v>
      </c>
      <c r="U213" s="10">
        <v>1</v>
      </c>
      <c r="V213" s="10">
        <v>2</v>
      </c>
      <c r="W213" s="10">
        <v>0</v>
      </c>
      <c r="X213" s="74">
        <v>0</v>
      </c>
      <c r="Y213" s="74">
        <v>0</v>
      </c>
      <c r="Z213" s="74">
        <v>0</v>
      </c>
      <c r="AA213" s="74">
        <v>0</v>
      </c>
      <c r="AB213" s="74">
        <v>0</v>
      </c>
      <c r="AC213" s="74">
        <v>0</v>
      </c>
      <c r="AD213" s="74">
        <v>0</v>
      </c>
      <c r="AE213" s="74">
        <v>0</v>
      </c>
      <c r="AF213" s="74">
        <v>0</v>
      </c>
      <c r="AG213" s="90">
        <f t="shared" si="7"/>
        <v>13</v>
      </c>
      <c r="AH213" s="90">
        <f t="shared" si="8"/>
        <v>13</v>
      </c>
      <c r="AI213" s="90">
        <f t="shared" si="9"/>
        <v>0</v>
      </c>
    </row>
    <row r="214" spans="1:35" x14ac:dyDescent="0.35">
      <c r="C214" s="96">
        <v>46059</v>
      </c>
      <c r="D214" s="97">
        <v>12</v>
      </c>
      <c r="E214" s="97" t="s">
        <v>235</v>
      </c>
      <c r="F214" s="10">
        <v>6</v>
      </c>
      <c r="G214" s="10">
        <v>1</v>
      </c>
      <c r="H214" s="10">
        <v>0</v>
      </c>
      <c r="I214" s="10">
        <v>0</v>
      </c>
      <c r="J214" s="74">
        <v>0</v>
      </c>
      <c r="K214" s="74">
        <v>0</v>
      </c>
      <c r="L214" s="74">
        <v>0</v>
      </c>
      <c r="M214" s="74">
        <v>0</v>
      </c>
      <c r="N214" s="74">
        <v>0</v>
      </c>
      <c r="O214" s="74">
        <v>0</v>
      </c>
      <c r="P214" s="74">
        <v>0</v>
      </c>
      <c r="Q214" s="74">
        <v>0</v>
      </c>
      <c r="R214" s="74">
        <v>0</v>
      </c>
      <c r="S214" s="97" t="s">
        <v>691</v>
      </c>
      <c r="T214" s="10">
        <v>2</v>
      </c>
      <c r="U214" s="10">
        <v>2</v>
      </c>
      <c r="V214" s="10">
        <v>0</v>
      </c>
      <c r="W214" s="10">
        <v>0</v>
      </c>
      <c r="X214" s="74">
        <v>0</v>
      </c>
      <c r="Y214" s="74">
        <v>0</v>
      </c>
      <c r="Z214" s="74">
        <v>0</v>
      </c>
      <c r="AA214" s="74">
        <v>0</v>
      </c>
      <c r="AB214" s="74">
        <v>0</v>
      </c>
      <c r="AC214" s="74">
        <v>0</v>
      </c>
      <c r="AD214" s="74">
        <v>0</v>
      </c>
      <c r="AE214" s="74">
        <v>0</v>
      </c>
      <c r="AF214" s="74">
        <v>0</v>
      </c>
      <c r="AG214" s="90">
        <f t="shared" si="7"/>
        <v>11</v>
      </c>
      <c r="AH214" s="90">
        <f t="shared" si="8"/>
        <v>11</v>
      </c>
      <c r="AI214" s="90">
        <f t="shared" si="9"/>
        <v>0</v>
      </c>
    </row>
    <row r="215" spans="1:35" x14ac:dyDescent="0.35">
      <c r="C215" s="96">
        <v>46062</v>
      </c>
      <c r="D215" s="97">
        <v>12</v>
      </c>
      <c r="E215" s="97" t="s">
        <v>98</v>
      </c>
      <c r="F215" s="10">
        <v>4</v>
      </c>
      <c r="G215" s="10">
        <v>0</v>
      </c>
      <c r="H215" s="10">
        <v>0</v>
      </c>
      <c r="I215" s="10">
        <v>0</v>
      </c>
      <c r="J215" s="74">
        <v>0</v>
      </c>
      <c r="K215" s="74">
        <v>0</v>
      </c>
      <c r="L215" s="74">
        <v>0</v>
      </c>
      <c r="M215" s="74">
        <v>0</v>
      </c>
      <c r="N215" s="74">
        <v>0</v>
      </c>
      <c r="O215" s="74">
        <v>0</v>
      </c>
      <c r="P215" s="74">
        <v>0</v>
      </c>
      <c r="Q215" s="74">
        <v>0</v>
      </c>
      <c r="R215" s="74">
        <v>0</v>
      </c>
      <c r="S215" s="97" t="s">
        <v>134</v>
      </c>
      <c r="T215" s="10">
        <v>3</v>
      </c>
      <c r="U215" s="10">
        <v>0</v>
      </c>
      <c r="V215" s="10">
        <v>0</v>
      </c>
      <c r="W215" s="10">
        <v>0</v>
      </c>
      <c r="X215" s="74">
        <v>0</v>
      </c>
      <c r="Y215" s="74">
        <v>0</v>
      </c>
      <c r="Z215" s="74">
        <v>0</v>
      </c>
      <c r="AA215" s="74">
        <v>0</v>
      </c>
      <c r="AB215" s="74">
        <v>0</v>
      </c>
      <c r="AC215" s="74">
        <v>0</v>
      </c>
      <c r="AD215" s="74">
        <v>0</v>
      </c>
      <c r="AE215" s="74">
        <v>0</v>
      </c>
      <c r="AF215" s="74">
        <v>0</v>
      </c>
      <c r="AG215" s="90">
        <f t="shared" si="7"/>
        <v>7</v>
      </c>
      <c r="AH215" s="90">
        <f t="shared" si="8"/>
        <v>7</v>
      </c>
      <c r="AI215" s="90">
        <f t="shared" si="9"/>
        <v>0</v>
      </c>
    </row>
    <row r="216" spans="1:35" x14ac:dyDescent="0.35">
      <c r="C216" s="96">
        <v>46066</v>
      </c>
      <c r="D216" s="97">
        <v>12</v>
      </c>
      <c r="E216" s="97" t="s">
        <v>299</v>
      </c>
      <c r="F216" s="10">
        <v>2</v>
      </c>
      <c r="G216" s="10">
        <v>3</v>
      </c>
      <c r="H216" s="10">
        <v>0</v>
      </c>
      <c r="I216" s="10">
        <v>0</v>
      </c>
      <c r="J216" s="74">
        <v>0</v>
      </c>
      <c r="K216" s="74">
        <v>0</v>
      </c>
      <c r="L216" s="74">
        <v>0</v>
      </c>
      <c r="M216" s="74">
        <v>0</v>
      </c>
      <c r="N216" s="74">
        <v>0</v>
      </c>
      <c r="O216" s="74">
        <v>0</v>
      </c>
      <c r="P216" s="74">
        <v>0</v>
      </c>
      <c r="Q216" s="74">
        <v>0</v>
      </c>
      <c r="R216" s="74">
        <v>0</v>
      </c>
      <c r="S216" s="97" t="s">
        <v>894</v>
      </c>
      <c r="T216" s="10">
        <v>4</v>
      </c>
      <c r="U216" s="10">
        <v>3</v>
      </c>
      <c r="V216" s="10">
        <v>0</v>
      </c>
      <c r="W216" s="10">
        <v>0</v>
      </c>
      <c r="X216" s="74">
        <v>1</v>
      </c>
      <c r="Y216" s="74">
        <v>1</v>
      </c>
      <c r="Z216" s="74">
        <v>0</v>
      </c>
      <c r="AA216" s="74">
        <v>0</v>
      </c>
      <c r="AB216" s="74">
        <v>0</v>
      </c>
      <c r="AC216" s="74">
        <v>0</v>
      </c>
      <c r="AD216" s="74">
        <v>0</v>
      </c>
      <c r="AE216" s="74">
        <v>0</v>
      </c>
      <c r="AF216" s="74">
        <v>0</v>
      </c>
      <c r="AG216" s="90">
        <f t="shared" si="7"/>
        <v>14</v>
      </c>
      <c r="AH216" s="90">
        <f t="shared" si="8"/>
        <v>12</v>
      </c>
      <c r="AI216" s="90">
        <f t="shared" si="9"/>
        <v>2</v>
      </c>
    </row>
    <row r="217" spans="1:35" x14ac:dyDescent="0.35">
      <c r="C217" s="96">
        <v>46070</v>
      </c>
      <c r="D217" s="97">
        <v>12</v>
      </c>
      <c r="E217" s="97" t="s">
        <v>131</v>
      </c>
      <c r="F217" s="10">
        <v>3</v>
      </c>
      <c r="G217" s="10">
        <v>1</v>
      </c>
      <c r="H217" s="10">
        <v>0</v>
      </c>
      <c r="I217" s="10">
        <v>0</v>
      </c>
      <c r="J217" s="74">
        <v>0</v>
      </c>
      <c r="K217" s="74">
        <v>0</v>
      </c>
      <c r="L217" s="74">
        <v>0</v>
      </c>
      <c r="M217" s="74">
        <v>0</v>
      </c>
      <c r="N217" s="74">
        <v>0</v>
      </c>
      <c r="O217" s="74">
        <v>0</v>
      </c>
      <c r="P217" s="74">
        <v>0</v>
      </c>
      <c r="Q217" s="74">
        <v>0</v>
      </c>
      <c r="R217" s="74">
        <v>0</v>
      </c>
      <c r="S217" s="97" t="s">
        <v>122</v>
      </c>
      <c r="T217" s="10">
        <v>4</v>
      </c>
      <c r="U217" s="10">
        <v>3</v>
      </c>
      <c r="V217" s="10">
        <v>0</v>
      </c>
      <c r="W217" s="10">
        <v>0</v>
      </c>
      <c r="X217" s="74">
        <v>0</v>
      </c>
      <c r="Y217" s="74">
        <v>1</v>
      </c>
      <c r="Z217" s="74">
        <v>0</v>
      </c>
      <c r="AA217" s="74">
        <v>0</v>
      </c>
      <c r="AB217" s="74">
        <v>0</v>
      </c>
      <c r="AC217" s="74">
        <v>0</v>
      </c>
      <c r="AD217" s="74">
        <v>0</v>
      </c>
      <c r="AE217" s="74">
        <v>0</v>
      </c>
      <c r="AF217" s="74">
        <v>0</v>
      </c>
      <c r="AG217" s="90">
        <f t="shared" si="7"/>
        <v>12</v>
      </c>
      <c r="AH217" s="90">
        <f t="shared" si="8"/>
        <v>11</v>
      </c>
      <c r="AI217" s="90">
        <f t="shared" si="9"/>
        <v>1</v>
      </c>
    </row>
    <row r="218" spans="1:35" x14ac:dyDescent="0.35">
      <c r="C218" s="96">
        <v>46074</v>
      </c>
      <c r="D218" s="97">
        <v>12</v>
      </c>
      <c r="E218" s="97" t="s">
        <v>920</v>
      </c>
      <c r="F218" s="10">
        <v>5</v>
      </c>
      <c r="G218" s="10">
        <v>1</v>
      </c>
      <c r="H218" s="10">
        <v>0</v>
      </c>
      <c r="I218" s="10">
        <v>2</v>
      </c>
      <c r="J218" s="74">
        <v>0</v>
      </c>
      <c r="K218" s="74">
        <v>2</v>
      </c>
      <c r="L218" s="74">
        <v>0</v>
      </c>
      <c r="M218" s="74">
        <v>0</v>
      </c>
      <c r="N218" s="74">
        <v>0</v>
      </c>
      <c r="O218" s="74">
        <v>0</v>
      </c>
      <c r="P218" s="74">
        <v>0</v>
      </c>
      <c r="Q218" s="74">
        <v>0</v>
      </c>
      <c r="R218" s="74">
        <v>0</v>
      </c>
      <c r="S218" s="97" t="s">
        <v>919</v>
      </c>
      <c r="T218" s="10">
        <v>6</v>
      </c>
      <c r="U218" s="10">
        <v>3</v>
      </c>
      <c r="V218" s="10">
        <v>0</v>
      </c>
      <c r="W218" s="10">
        <v>1</v>
      </c>
      <c r="X218" s="74">
        <v>1</v>
      </c>
      <c r="Y218" s="74">
        <v>0</v>
      </c>
      <c r="Z218" s="74">
        <v>0</v>
      </c>
      <c r="AA218" s="74">
        <v>0</v>
      </c>
      <c r="AB218" s="74">
        <v>0</v>
      </c>
      <c r="AC218" s="74">
        <v>0</v>
      </c>
      <c r="AD218" s="74">
        <v>0</v>
      </c>
      <c r="AE218" s="74">
        <v>0</v>
      </c>
      <c r="AF218" s="74">
        <v>0</v>
      </c>
      <c r="AG218" s="90">
        <f t="shared" si="7"/>
        <v>21</v>
      </c>
      <c r="AH218" s="90">
        <f t="shared" si="8"/>
        <v>18</v>
      </c>
      <c r="AI218" s="90">
        <f t="shared" si="9"/>
        <v>3</v>
      </c>
    </row>
    <row r="219" spans="1:35" x14ac:dyDescent="0.35">
      <c r="C219" s="96">
        <v>46077</v>
      </c>
      <c r="D219" s="97">
        <v>12</v>
      </c>
      <c r="E219" s="97" t="s">
        <v>131</v>
      </c>
      <c r="F219" s="10">
        <v>3</v>
      </c>
      <c r="G219" s="10">
        <v>1</v>
      </c>
      <c r="H219" s="10">
        <v>0</v>
      </c>
      <c r="I219" s="10">
        <v>0</v>
      </c>
      <c r="J219" s="74">
        <v>0</v>
      </c>
      <c r="K219" s="74">
        <v>0</v>
      </c>
      <c r="L219" s="74">
        <v>0</v>
      </c>
      <c r="M219" s="74">
        <v>0</v>
      </c>
      <c r="N219" s="74">
        <v>0</v>
      </c>
      <c r="O219" s="74">
        <v>0</v>
      </c>
      <c r="P219" s="74">
        <v>0</v>
      </c>
      <c r="Q219" s="74">
        <v>0</v>
      </c>
      <c r="R219" s="74">
        <v>0</v>
      </c>
      <c r="S219" s="97" t="s">
        <v>942</v>
      </c>
      <c r="T219" s="10">
        <v>4</v>
      </c>
      <c r="U219" s="10">
        <v>0</v>
      </c>
      <c r="V219" s="10">
        <v>1</v>
      </c>
      <c r="W219" s="10">
        <v>1</v>
      </c>
      <c r="X219" s="74">
        <v>0</v>
      </c>
      <c r="Y219" s="74">
        <v>0</v>
      </c>
      <c r="Z219" s="74">
        <v>0</v>
      </c>
      <c r="AA219" s="74">
        <v>0</v>
      </c>
      <c r="AB219" s="74">
        <v>0</v>
      </c>
      <c r="AC219" s="74">
        <v>1</v>
      </c>
      <c r="AD219" s="74">
        <v>0</v>
      </c>
      <c r="AE219" s="74">
        <v>0</v>
      </c>
      <c r="AF219" s="74">
        <v>0</v>
      </c>
      <c r="AG219" s="90">
        <f t="shared" si="7"/>
        <v>11</v>
      </c>
      <c r="AH219" s="90">
        <f t="shared" si="8"/>
        <v>10</v>
      </c>
      <c r="AI219" s="90">
        <f t="shared" si="9"/>
        <v>1</v>
      </c>
    </row>
    <row r="220" spans="1:35" ht="29" x14ac:dyDescent="0.35">
      <c r="C220" s="96">
        <v>46080</v>
      </c>
      <c r="D220" s="97">
        <v>12</v>
      </c>
      <c r="E220" s="97" t="s">
        <v>299</v>
      </c>
      <c r="F220" s="10">
        <v>2</v>
      </c>
      <c r="G220" s="10">
        <v>3</v>
      </c>
      <c r="H220" s="10">
        <v>0</v>
      </c>
      <c r="I220" s="10">
        <v>0</v>
      </c>
      <c r="J220" s="74">
        <v>0</v>
      </c>
      <c r="K220" s="74">
        <v>0</v>
      </c>
      <c r="L220" s="74">
        <v>0</v>
      </c>
      <c r="M220" s="74">
        <v>0</v>
      </c>
      <c r="N220" s="74">
        <v>0</v>
      </c>
      <c r="O220" s="74">
        <v>0</v>
      </c>
      <c r="P220" s="74">
        <v>0</v>
      </c>
      <c r="Q220" s="74">
        <v>0</v>
      </c>
      <c r="R220" s="74">
        <v>0</v>
      </c>
      <c r="S220" s="99" t="s">
        <v>986</v>
      </c>
      <c r="T220" s="10">
        <v>2</v>
      </c>
      <c r="U220" s="10">
        <v>2</v>
      </c>
      <c r="V220" s="10">
        <v>0</v>
      </c>
      <c r="W220" s="10">
        <v>2</v>
      </c>
      <c r="X220" s="74">
        <v>0</v>
      </c>
      <c r="Y220" s="74">
        <v>0</v>
      </c>
      <c r="Z220" s="74">
        <v>0</v>
      </c>
      <c r="AA220" s="74">
        <v>1</v>
      </c>
      <c r="AB220" s="74">
        <v>0</v>
      </c>
      <c r="AC220" s="74">
        <v>0</v>
      </c>
      <c r="AD220" s="74">
        <v>0</v>
      </c>
      <c r="AE220" s="74">
        <v>0</v>
      </c>
      <c r="AF220" s="74">
        <v>0</v>
      </c>
      <c r="AG220" s="90">
        <f t="shared" si="7"/>
        <v>12</v>
      </c>
      <c r="AH220" s="90">
        <f t="shared" si="8"/>
        <v>11</v>
      </c>
      <c r="AI220" s="90">
        <f t="shared" si="9"/>
        <v>1</v>
      </c>
    </row>
    <row r="221" spans="1:35" x14ac:dyDescent="0.35">
      <c r="C221" s="96">
        <v>46084</v>
      </c>
      <c r="D221" s="97">
        <v>12</v>
      </c>
      <c r="E221" s="97" t="s">
        <v>959</v>
      </c>
      <c r="F221" s="10">
        <v>4</v>
      </c>
      <c r="G221" s="10">
        <v>5</v>
      </c>
      <c r="H221" s="10">
        <v>0</v>
      </c>
      <c r="I221" s="10">
        <v>0</v>
      </c>
      <c r="J221" s="74">
        <v>0</v>
      </c>
      <c r="K221" s="74">
        <v>0</v>
      </c>
      <c r="L221" s="74">
        <v>0</v>
      </c>
      <c r="M221" s="74">
        <v>0</v>
      </c>
      <c r="N221" s="74">
        <v>0</v>
      </c>
      <c r="O221" s="74">
        <v>0</v>
      </c>
      <c r="P221" s="74">
        <v>0</v>
      </c>
      <c r="Q221" s="74">
        <v>0</v>
      </c>
      <c r="R221" s="74">
        <v>0</v>
      </c>
      <c r="S221" s="97" t="s">
        <v>988</v>
      </c>
      <c r="T221" s="10">
        <v>3</v>
      </c>
      <c r="U221" s="10">
        <v>8</v>
      </c>
      <c r="V221" s="10">
        <v>0</v>
      </c>
      <c r="W221" s="10">
        <v>1</v>
      </c>
      <c r="X221" s="74">
        <v>0</v>
      </c>
      <c r="Y221" s="74">
        <v>0</v>
      </c>
      <c r="Z221" s="74">
        <v>0</v>
      </c>
      <c r="AA221" s="74">
        <v>1</v>
      </c>
      <c r="AB221" s="74">
        <v>0</v>
      </c>
      <c r="AC221" s="74">
        <v>0</v>
      </c>
      <c r="AD221" s="74">
        <v>0</v>
      </c>
      <c r="AE221" s="74">
        <v>0</v>
      </c>
      <c r="AF221" s="74">
        <v>0</v>
      </c>
      <c r="AG221" s="90">
        <f t="shared" si="7"/>
        <v>22</v>
      </c>
      <c r="AH221" s="90">
        <f t="shared" si="8"/>
        <v>21</v>
      </c>
      <c r="AI221" s="90">
        <f t="shared" si="9"/>
        <v>1</v>
      </c>
    </row>
    <row r="222" spans="1:35" ht="29" x14ac:dyDescent="0.35">
      <c r="C222" s="96">
        <v>46088</v>
      </c>
      <c r="D222" s="97">
        <v>12</v>
      </c>
      <c r="E222" s="99" t="s">
        <v>1008</v>
      </c>
      <c r="F222" s="10">
        <v>5</v>
      </c>
      <c r="G222" s="10">
        <v>3</v>
      </c>
      <c r="H222" s="10">
        <v>0</v>
      </c>
      <c r="I222" s="10">
        <v>1</v>
      </c>
      <c r="J222" s="74">
        <v>2</v>
      </c>
      <c r="K222" s="74">
        <v>0</v>
      </c>
      <c r="L222" s="74">
        <v>0</v>
      </c>
      <c r="M222" s="74">
        <v>0</v>
      </c>
      <c r="N222" s="74">
        <v>0</v>
      </c>
      <c r="O222" s="74">
        <v>0</v>
      </c>
      <c r="P222" s="74">
        <v>0</v>
      </c>
      <c r="Q222" s="74">
        <v>0</v>
      </c>
      <c r="R222" s="74">
        <v>0</v>
      </c>
      <c r="S222" s="97" t="s">
        <v>989</v>
      </c>
      <c r="T222" s="10">
        <v>4</v>
      </c>
      <c r="U222" s="10">
        <v>0</v>
      </c>
      <c r="V222" s="10">
        <v>0</v>
      </c>
      <c r="W222" s="10">
        <v>1</v>
      </c>
      <c r="X222" s="74">
        <v>0</v>
      </c>
      <c r="Y222" s="74">
        <v>1</v>
      </c>
      <c r="Z222" s="74">
        <v>0</v>
      </c>
      <c r="AA222" s="74">
        <v>0</v>
      </c>
      <c r="AB222" s="74">
        <v>0</v>
      </c>
      <c r="AC222" s="74">
        <v>0</v>
      </c>
      <c r="AD222" s="74">
        <v>0</v>
      </c>
      <c r="AE222" s="74">
        <v>0</v>
      </c>
      <c r="AF222" s="74">
        <v>0</v>
      </c>
      <c r="AG222" s="90">
        <f t="shared" si="7"/>
        <v>17</v>
      </c>
      <c r="AH222" s="90">
        <f t="shared" si="8"/>
        <v>14</v>
      </c>
      <c r="AI222" s="90">
        <f t="shared" si="9"/>
        <v>3</v>
      </c>
    </row>
    <row r="223" spans="1:35" x14ac:dyDescent="0.35">
      <c r="C223" s="96">
        <v>46091</v>
      </c>
      <c r="D223" s="97">
        <v>12</v>
      </c>
      <c r="E223" s="97" t="s">
        <v>1053</v>
      </c>
      <c r="F223" s="10">
        <v>2</v>
      </c>
      <c r="G223" s="10">
        <v>5</v>
      </c>
      <c r="H223" s="10">
        <v>0</v>
      </c>
      <c r="I223" s="10">
        <v>1</v>
      </c>
      <c r="J223" s="74">
        <v>0</v>
      </c>
      <c r="K223" s="74">
        <v>0</v>
      </c>
      <c r="L223" s="74">
        <v>1</v>
      </c>
      <c r="M223" s="74">
        <v>0</v>
      </c>
      <c r="N223" s="74">
        <v>0</v>
      </c>
      <c r="O223" s="74">
        <v>0</v>
      </c>
      <c r="P223" s="74">
        <v>0</v>
      </c>
      <c r="Q223" s="74">
        <v>0</v>
      </c>
      <c r="R223" s="74">
        <v>0</v>
      </c>
      <c r="S223" s="97" t="s">
        <v>1052</v>
      </c>
      <c r="T223" s="10">
        <v>5</v>
      </c>
      <c r="U223" s="10">
        <v>6</v>
      </c>
      <c r="V223" s="10">
        <v>0</v>
      </c>
      <c r="W223" s="10">
        <v>0</v>
      </c>
      <c r="X223" s="74">
        <v>0</v>
      </c>
      <c r="Y223" s="74">
        <v>1</v>
      </c>
      <c r="Z223" s="74">
        <v>0</v>
      </c>
      <c r="AA223" s="74">
        <v>0</v>
      </c>
      <c r="AB223" s="74">
        <v>0</v>
      </c>
      <c r="AC223" s="74">
        <v>0</v>
      </c>
      <c r="AD223" s="74">
        <v>0</v>
      </c>
      <c r="AE223" s="74">
        <v>0</v>
      </c>
      <c r="AF223" s="74">
        <v>0</v>
      </c>
      <c r="AG223" s="90">
        <f t="shared" si="7"/>
        <v>21</v>
      </c>
      <c r="AH223" s="90">
        <f t="shared" si="8"/>
        <v>19</v>
      </c>
      <c r="AI223" s="90">
        <f t="shared" si="9"/>
        <v>2</v>
      </c>
    </row>
    <row r="224" spans="1:35" ht="29" x14ac:dyDescent="0.35">
      <c r="C224" s="96">
        <v>46098</v>
      </c>
      <c r="D224" s="97">
        <v>12</v>
      </c>
      <c r="E224" s="97" t="s">
        <v>397</v>
      </c>
      <c r="F224" s="10">
        <v>4</v>
      </c>
      <c r="G224" s="10">
        <v>1</v>
      </c>
      <c r="H224" s="10">
        <v>0</v>
      </c>
      <c r="I224" s="10">
        <v>1</v>
      </c>
      <c r="J224" s="74">
        <v>0</v>
      </c>
      <c r="K224" s="74">
        <v>0</v>
      </c>
      <c r="L224" s="74">
        <v>0</v>
      </c>
      <c r="M224" s="74">
        <v>0</v>
      </c>
      <c r="N224" s="74">
        <v>0</v>
      </c>
      <c r="O224" s="74">
        <v>0</v>
      </c>
      <c r="P224" s="74">
        <v>0</v>
      </c>
      <c r="Q224" s="74">
        <v>0</v>
      </c>
      <c r="R224" s="74">
        <v>0</v>
      </c>
      <c r="S224" s="99" t="s">
        <v>1099</v>
      </c>
      <c r="T224" s="10">
        <v>2</v>
      </c>
      <c r="U224" s="10">
        <v>2</v>
      </c>
      <c r="V224" s="10">
        <v>3</v>
      </c>
      <c r="W224" s="10">
        <v>0</v>
      </c>
      <c r="X224" s="74">
        <v>0</v>
      </c>
      <c r="Y224" s="74">
        <v>0</v>
      </c>
      <c r="Z224" s="74">
        <v>0</v>
      </c>
      <c r="AA224" s="74">
        <v>1</v>
      </c>
      <c r="AB224" s="74">
        <v>0</v>
      </c>
      <c r="AC224" s="74">
        <v>0</v>
      </c>
      <c r="AD224" s="74">
        <v>0</v>
      </c>
      <c r="AE224" s="74">
        <v>0</v>
      </c>
      <c r="AF224" s="74">
        <v>0</v>
      </c>
      <c r="AG224" s="90">
        <f t="shared" si="7"/>
        <v>14</v>
      </c>
      <c r="AH224" s="90">
        <f t="shared" si="8"/>
        <v>13</v>
      </c>
      <c r="AI224" s="90">
        <f t="shared" si="9"/>
        <v>1</v>
      </c>
    </row>
    <row r="225" spans="1:35" x14ac:dyDescent="0.35">
      <c r="C225" s="96">
        <v>46105</v>
      </c>
      <c r="D225" s="97">
        <v>12</v>
      </c>
      <c r="E225" s="97" t="s">
        <v>200</v>
      </c>
      <c r="F225" s="10">
        <v>4</v>
      </c>
      <c r="G225" s="10">
        <v>3</v>
      </c>
      <c r="H225" s="10">
        <v>0</v>
      </c>
      <c r="I225" s="10">
        <v>0</v>
      </c>
      <c r="J225" s="74">
        <v>0</v>
      </c>
      <c r="K225" s="74">
        <v>0</v>
      </c>
      <c r="L225" s="74">
        <v>0</v>
      </c>
      <c r="M225" s="74">
        <v>0</v>
      </c>
      <c r="N225" s="74">
        <v>0</v>
      </c>
      <c r="O225" s="74">
        <v>0</v>
      </c>
      <c r="P225" s="74">
        <v>0</v>
      </c>
      <c r="Q225" s="74">
        <v>0</v>
      </c>
      <c r="R225" s="74">
        <v>0</v>
      </c>
      <c r="S225" s="97" t="s">
        <v>1123</v>
      </c>
      <c r="T225" s="10">
        <v>5</v>
      </c>
      <c r="U225" s="10">
        <v>4</v>
      </c>
      <c r="V225" s="10">
        <v>0</v>
      </c>
      <c r="W225" s="10">
        <v>0</v>
      </c>
      <c r="X225" s="74">
        <v>0</v>
      </c>
      <c r="Y225" s="74">
        <v>0</v>
      </c>
      <c r="Z225" s="74">
        <v>0</v>
      </c>
      <c r="AA225" s="74">
        <v>0</v>
      </c>
      <c r="AB225" s="74">
        <v>0</v>
      </c>
      <c r="AC225" s="74">
        <v>0</v>
      </c>
      <c r="AD225" s="74">
        <v>0</v>
      </c>
      <c r="AE225" s="74">
        <v>1</v>
      </c>
      <c r="AF225" s="74">
        <v>0</v>
      </c>
      <c r="AG225" s="90">
        <f t="shared" si="7"/>
        <v>17</v>
      </c>
      <c r="AH225" s="90">
        <f t="shared" si="8"/>
        <v>16</v>
      </c>
      <c r="AI225" s="90">
        <f t="shared" si="9"/>
        <v>1</v>
      </c>
    </row>
    <row r="226" spans="1:35" x14ac:dyDescent="0.35">
      <c r="C226" s="96">
        <v>46112</v>
      </c>
      <c r="D226" s="97">
        <v>12</v>
      </c>
      <c r="E226" s="97" t="s">
        <v>134</v>
      </c>
      <c r="F226" s="10">
        <v>3</v>
      </c>
      <c r="G226" s="10">
        <v>0</v>
      </c>
      <c r="H226" s="10">
        <v>0</v>
      </c>
      <c r="I226" s="10">
        <v>0</v>
      </c>
      <c r="J226" s="74">
        <v>0</v>
      </c>
      <c r="K226" s="74">
        <v>0</v>
      </c>
      <c r="L226" s="74">
        <v>0</v>
      </c>
      <c r="M226" s="74">
        <v>0</v>
      </c>
      <c r="N226" s="74">
        <v>0</v>
      </c>
      <c r="O226" s="74">
        <v>0</v>
      </c>
      <c r="P226" s="74">
        <v>0</v>
      </c>
      <c r="Q226" s="74">
        <v>0</v>
      </c>
      <c r="R226" s="74">
        <v>0</v>
      </c>
      <c r="S226" s="97" t="s">
        <v>1188</v>
      </c>
      <c r="T226" s="10">
        <v>5</v>
      </c>
      <c r="U226" s="10">
        <v>2</v>
      </c>
      <c r="V226" s="10">
        <v>0</v>
      </c>
      <c r="W226" s="10">
        <v>0</v>
      </c>
      <c r="X226" s="74">
        <v>0</v>
      </c>
      <c r="Y226" s="74">
        <v>0</v>
      </c>
      <c r="Z226" s="74">
        <v>0</v>
      </c>
      <c r="AA226" s="74">
        <v>1</v>
      </c>
      <c r="AB226" s="74">
        <v>0</v>
      </c>
      <c r="AC226" s="74">
        <v>0</v>
      </c>
      <c r="AD226" s="74">
        <v>0</v>
      </c>
      <c r="AE226" s="74">
        <v>0</v>
      </c>
      <c r="AF226" s="74">
        <v>0</v>
      </c>
      <c r="AG226" s="90">
        <f t="shared" si="7"/>
        <v>11</v>
      </c>
      <c r="AH226" s="90">
        <f t="shared" si="8"/>
        <v>10</v>
      </c>
      <c r="AI226" s="90">
        <f t="shared" si="9"/>
        <v>1</v>
      </c>
    </row>
    <row r="228" spans="1:35" x14ac:dyDescent="0.35">
      <c r="A228" s="93">
        <v>11</v>
      </c>
      <c r="B228" s="137" t="s">
        <v>759</v>
      </c>
      <c r="C228" s="96">
        <v>46035</v>
      </c>
      <c r="D228" s="97">
        <v>10</v>
      </c>
      <c r="E228" s="97" t="s">
        <v>749</v>
      </c>
      <c r="F228" s="10">
        <v>3</v>
      </c>
      <c r="G228" s="10">
        <v>2</v>
      </c>
      <c r="H228" s="10">
        <v>0</v>
      </c>
      <c r="I228" s="10">
        <v>0</v>
      </c>
      <c r="J228" s="74">
        <v>0</v>
      </c>
      <c r="K228" s="74">
        <v>0</v>
      </c>
      <c r="L228" s="74">
        <v>0</v>
      </c>
      <c r="M228" s="74">
        <v>0</v>
      </c>
      <c r="N228" s="74">
        <v>0</v>
      </c>
      <c r="O228" s="74">
        <v>1</v>
      </c>
      <c r="P228" s="74">
        <v>0</v>
      </c>
      <c r="Q228" s="74">
        <v>0</v>
      </c>
      <c r="R228" s="74">
        <v>0</v>
      </c>
      <c r="S228" s="97" t="s">
        <v>82</v>
      </c>
      <c r="T228" s="10">
        <v>3</v>
      </c>
      <c r="U228" s="10">
        <v>0</v>
      </c>
      <c r="V228" s="10">
        <v>1</v>
      </c>
      <c r="W228" s="10">
        <v>0</v>
      </c>
      <c r="X228" s="74">
        <v>0</v>
      </c>
      <c r="Y228" s="74">
        <v>0</v>
      </c>
      <c r="Z228" s="74">
        <v>0</v>
      </c>
      <c r="AA228" s="74">
        <v>0</v>
      </c>
      <c r="AB228" s="74">
        <v>0</v>
      </c>
      <c r="AC228" s="74">
        <v>0</v>
      </c>
      <c r="AD228" s="74">
        <v>0</v>
      </c>
      <c r="AE228" s="74">
        <v>0</v>
      </c>
      <c r="AF228" s="74">
        <v>0</v>
      </c>
      <c r="AG228" s="90">
        <f t="shared" si="7"/>
        <v>10</v>
      </c>
      <c r="AH228" s="90">
        <f t="shared" si="8"/>
        <v>9</v>
      </c>
      <c r="AI228" s="90">
        <f t="shared" si="9"/>
        <v>1</v>
      </c>
    </row>
    <row r="229" spans="1:35" ht="29" x14ac:dyDescent="0.35">
      <c r="C229" s="96">
        <v>46038</v>
      </c>
      <c r="D229" s="97">
        <v>10</v>
      </c>
      <c r="E229" s="97" t="s">
        <v>773</v>
      </c>
      <c r="F229" s="10">
        <v>0</v>
      </c>
      <c r="G229" s="10">
        <v>1</v>
      </c>
      <c r="H229" s="10">
        <v>0</v>
      </c>
      <c r="I229" s="10">
        <v>1</v>
      </c>
      <c r="J229" s="74">
        <v>0</v>
      </c>
      <c r="K229" s="74">
        <v>0</v>
      </c>
      <c r="L229" s="74">
        <v>0</v>
      </c>
      <c r="M229" s="74">
        <v>0</v>
      </c>
      <c r="N229" s="74">
        <v>0</v>
      </c>
      <c r="O229" s="74">
        <v>0</v>
      </c>
      <c r="P229" s="74">
        <v>0</v>
      </c>
      <c r="Q229" s="74">
        <v>0</v>
      </c>
      <c r="R229" s="74">
        <v>0</v>
      </c>
      <c r="S229" s="99" t="s">
        <v>774</v>
      </c>
      <c r="T229" s="10">
        <v>0</v>
      </c>
      <c r="U229" s="10">
        <v>2</v>
      </c>
      <c r="V229" s="10">
        <v>0</v>
      </c>
      <c r="W229" s="10">
        <v>0</v>
      </c>
      <c r="X229" s="74">
        <v>1</v>
      </c>
      <c r="Y229" s="74">
        <v>0</v>
      </c>
      <c r="Z229" s="74">
        <v>0</v>
      </c>
      <c r="AA229" s="74">
        <v>0</v>
      </c>
      <c r="AB229" s="74">
        <v>0</v>
      </c>
      <c r="AC229" s="74">
        <v>0</v>
      </c>
      <c r="AD229" s="74">
        <v>0</v>
      </c>
      <c r="AE229" s="74">
        <v>0</v>
      </c>
      <c r="AF229" s="74">
        <v>0</v>
      </c>
      <c r="AG229" s="90">
        <f t="shared" si="7"/>
        <v>5</v>
      </c>
      <c r="AH229" s="90">
        <f t="shared" si="8"/>
        <v>4</v>
      </c>
      <c r="AI229" s="90">
        <f t="shared" si="9"/>
        <v>1</v>
      </c>
    </row>
    <row r="230" spans="1:35" ht="29" x14ac:dyDescent="0.35">
      <c r="C230" s="96">
        <v>46041</v>
      </c>
      <c r="D230" s="97">
        <v>10</v>
      </c>
      <c r="E230" s="97" t="s">
        <v>154</v>
      </c>
      <c r="F230" s="10">
        <v>0</v>
      </c>
      <c r="G230" s="10">
        <v>3</v>
      </c>
      <c r="H230" s="10">
        <v>0</v>
      </c>
      <c r="I230" s="10">
        <v>0</v>
      </c>
      <c r="J230" s="74">
        <v>0</v>
      </c>
      <c r="K230" s="74">
        <v>0</v>
      </c>
      <c r="L230" s="74">
        <v>0</v>
      </c>
      <c r="M230" s="74">
        <v>0</v>
      </c>
      <c r="N230" s="74">
        <v>0</v>
      </c>
      <c r="O230" s="74">
        <v>0</v>
      </c>
      <c r="P230" s="74">
        <v>0</v>
      </c>
      <c r="Q230" s="74">
        <v>0</v>
      </c>
      <c r="R230" s="74">
        <v>0</v>
      </c>
      <c r="S230" s="99" t="s">
        <v>781</v>
      </c>
      <c r="T230" s="10">
        <v>0</v>
      </c>
      <c r="U230" s="10">
        <v>1</v>
      </c>
      <c r="V230" s="10">
        <v>0</v>
      </c>
      <c r="W230" s="10">
        <v>0</v>
      </c>
      <c r="X230" s="74">
        <v>0</v>
      </c>
      <c r="Y230" s="74">
        <v>0</v>
      </c>
      <c r="Z230" s="74">
        <v>0</v>
      </c>
      <c r="AA230" s="74">
        <v>0</v>
      </c>
      <c r="AB230" s="74">
        <v>0</v>
      </c>
      <c r="AC230" s="74">
        <v>0</v>
      </c>
      <c r="AD230" s="74">
        <v>1</v>
      </c>
      <c r="AE230" s="74">
        <v>0</v>
      </c>
      <c r="AF230" s="74">
        <v>0</v>
      </c>
      <c r="AG230" s="90">
        <f t="shared" si="7"/>
        <v>5</v>
      </c>
      <c r="AH230" s="90">
        <f t="shared" si="8"/>
        <v>4</v>
      </c>
      <c r="AI230" s="90">
        <f t="shared" si="9"/>
        <v>1</v>
      </c>
    </row>
    <row r="231" spans="1:35" x14ac:dyDescent="0.35">
      <c r="C231" s="96">
        <v>46045</v>
      </c>
      <c r="D231" s="97">
        <v>10</v>
      </c>
      <c r="E231" s="97" t="s">
        <v>741</v>
      </c>
      <c r="F231" s="10">
        <v>3</v>
      </c>
      <c r="G231" s="10">
        <v>1</v>
      </c>
      <c r="H231" s="10">
        <v>0</v>
      </c>
      <c r="I231" s="10">
        <v>0</v>
      </c>
      <c r="J231" s="74">
        <v>0</v>
      </c>
      <c r="K231" s="74">
        <v>0</v>
      </c>
      <c r="L231" s="74">
        <v>0</v>
      </c>
      <c r="M231" s="74">
        <v>1</v>
      </c>
      <c r="N231" s="74">
        <v>0</v>
      </c>
      <c r="O231" s="74">
        <v>0</v>
      </c>
      <c r="P231" s="74">
        <v>0</v>
      </c>
      <c r="Q231" s="74">
        <v>0</v>
      </c>
      <c r="R231" s="74">
        <v>0</v>
      </c>
      <c r="S231" s="97" t="s">
        <v>795</v>
      </c>
      <c r="T231" s="10">
        <v>5</v>
      </c>
      <c r="U231" s="10">
        <v>1</v>
      </c>
      <c r="V231" s="10">
        <v>0</v>
      </c>
      <c r="W231" s="10">
        <v>1</v>
      </c>
      <c r="X231" s="74">
        <v>0</v>
      </c>
      <c r="Y231" s="74">
        <v>1</v>
      </c>
      <c r="Z231" s="74">
        <v>0</v>
      </c>
      <c r="AA231" s="74">
        <v>0</v>
      </c>
      <c r="AB231" s="74">
        <v>0</v>
      </c>
      <c r="AC231" s="74">
        <v>0</v>
      </c>
      <c r="AD231" s="74">
        <v>0</v>
      </c>
      <c r="AE231" s="74">
        <v>0</v>
      </c>
      <c r="AF231" s="74">
        <v>0</v>
      </c>
      <c r="AG231" s="90">
        <f t="shared" si="7"/>
        <v>13</v>
      </c>
      <c r="AH231" s="90">
        <f t="shared" si="8"/>
        <v>11</v>
      </c>
      <c r="AI231" s="90">
        <f t="shared" si="9"/>
        <v>2</v>
      </c>
    </row>
    <row r="232" spans="1:35" x14ac:dyDescent="0.35">
      <c r="C232" s="96">
        <v>46049</v>
      </c>
      <c r="D232" s="97">
        <v>10</v>
      </c>
      <c r="E232" s="97" t="s">
        <v>267</v>
      </c>
      <c r="F232" s="10">
        <v>3</v>
      </c>
      <c r="G232" s="10">
        <v>0</v>
      </c>
      <c r="H232" s="10">
        <v>0</v>
      </c>
      <c r="I232" s="10">
        <v>0</v>
      </c>
      <c r="J232" s="74">
        <v>0</v>
      </c>
      <c r="K232" s="74">
        <v>0</v>
      </c>
      <c r="L232" s="74">
        <v>0</v>
      </c>
      <c r="M232" s="74">
        <v>1</v>
      </c>
      <c r="N232" s="74">
        <v>0</v>
      </c>
      <c r="O232" s="74">
        <v>0</v>
      </c>
      <c r="P232" s="74">
        <v>0</v>
      </c>
      <c r="Q232" s="74">
        <v>0</v>
      </c>
      <c r="R232" s="74">
        <v>0</v>
      </c>
      <c r="S232" s="97" t="s">
        <v>249</v>
      </c>
      <c r="T232" s="10">
        <v>5</v>
      </c>
      <c r="U232" s="10">
        <v>2</v>
      </c>
      <c r="V232" s="10">
        <v>0</v>
      </c>
      <c r="W232" s="10">
        <v>0</v>
      </c>
      <c r="X232" s="74">
        <v>0</v>
      </c>
      <c r="Y232" s="74">
        <v>1</v>
      </c>
      <c r="Z232" s="74">
        <v>0</v>
      </c>
      <c r="AA232" s="74">
        <v>0</v>
      </c>
      <c r="AB232" s="74">
        <v>0</v>
      </c>
      <c r="AC232" s="74">
        <v>0</v>
      </c>
      <c r="AD232" s="74">
        <v>0</v>
      </c>
      <c r="AE232" s="74">
        <v>0</v>
      </c>
      <c r="AF232" s="74">
        <v>0</v>
      </c>
      <c r="AG232" s="90">
        <f t="shared" si="7"/>
        <v>12</v>
      </c>
      <c r="AH232" s="90">
        <f t="shared" si="8"/>
        <v>10</v>
      </c>
      <c r="AI232" s="90">
        <f t="shared" si="9"/>
        <v>2</v>
      </c>
    </row>
    <row r="233" spans="1:35" x14ac:dyDescent="0.35">
      <c r="C233" s="96">
        <v>46052</v>
      </c>
      <c r="D233" s="97">
        <v>10</v>
      </c>
      <c r="E233" s="97" t="s">
        <v>220</v>
      </c>
      <c r="F233" s="10">
        <v>3</v>
      </c>
      <c r="G233" s="10">
        <v>0</v>
      </c>
      <c r="H233" s="10">
        <v>0</v>
      </c>
      <c r="I233" s="10">
        <v>0</v>
      </c>
      <c r="J233" s="74">
        <v>0</v>
      </c>
      <c r="K233" s="74">
        <v>1</v>
      </c>
      <c r="L233" s="74">
        <v>0</v>
      </c>
      <c r="M233" s="74">
        <v>0</v>
      </c>
      <c r="N233" s="74">
        <v>0</v>
      </c>
      <c r="O233" s="74">
        <v>0</v>
      </c>
      <c r="P233" s="74">
        <v>0</v>
      </c>
      <c r="Q233" s="74">
        <v>0</v>
      </c>
      <c r="R233" s="74">
        <v>0</v>
      </c>
      <c r="S233" s="97" t="s">
        <v>203</v>
      </c>
      <c r="T233" s="10">
        <v>3</v>
      </c>
      <c r="U233" s="10">
        <v>0</v>
      </c>
      <c r="V233" s="10">
        <v>0</v>
      </c>
      <c r="W233" s="10">
        <v>0</v>
      </c>
      <c r="X233" s="74">
        <v>0</v>
      </c>
      <c r="Y233" s="74">
        <v>0</v>
      </c>
      <c r="Z233" s="74">
        <v>0</v>
      </c>
      <c r="AA233" s="74">
        <v>0</v>
      </c>
      <c r="AB233" s="74">
        <v>0</v>
      </c>
      <c r="AC233" s="74">
        <v>1</v>
      </c>
      <c r="AD233" s="74">
        <v>0</v>
      </c>
      <c r="AE233" s="74">
        <v>0</v>
      </c>
      <c r="AF233" s="74">
        <v>0</v>
      </c>
      <c r="AG233" s="90">
        <f t="shared" si="7"/>
        <v>8</v>
      </c>
      <c r="AH233" s="90">
        <f t="shared" si="8"/>
        <v>6</v>
      </c>
      <c r="AI233" s="90">
        <f t="shared" si="9"/>
        <v>2</v>
      </c>
    </row>
    <row r="234" spans="1:35" x14ac:dyDescent="0.35">
      <c r="C234" s="96">
        <v>46056</v>
      </c>
      <c r="D234" s="97">
        <v>10</v>
      </c>
      <c r="E234" s="97" t="s">
        <v>157</v>
      </c>
      <c r="F234" s="10">
        <v>4</v>
      </c>
      <c r="G234" s="10">
        <v>0</v>
      </c>
      <c r="H234" s="10">
        <v>0</v>
      </c>
      <c r="I234" s="10">
        <v>0</v>
      </c>
      <c r="J234" s="74">
        <v>1</v>
      </c>
      <c r="K234" s="74">
        <v>0</v>
      </c>
      <c r="L234" s="74">
        <v>0</v>
      </c>
      <c r="M234" s="74">
        <v>0</v>
      </c>
      <c r="N234" s="74">
        <v>0</v>
      </c>
      <c r="O234" s="74">
        <v>0</v>
      </c>
      <c r="P234" s="74">
        <v>0</v>
      </c>
      <c r="Q234" s="74">
        <v>0</v>
      </c>
      <c r="R234" s="74">
        <v>0</v>
      </c>
      <c r="S234" s="97" t="s">
        <v>232</v>
      </c>
      <c r="T234" s="10">
        <v>2</v>
      </c>
      <c r="U234" s="10">
        <v>1</v>
      </c>
      <c r="V234" s="10">
        <v>0</v>
      </c>
      <c r="W234" s="10">
        <v>0</v>
      </c>
      <c r="X234" s="74">
        <v>0</v>
      </c>
      <c r="Y234" s="74">
        <v>0</v>
      </c>
      <c r="Z234" s="74">
        <v>0</v>
      </c>
      <c r="AA234" s="74">
        <v>1</v>
      </c>
      <c r="AB234" s="74">
        <v>0</v>
      </c>
      <c r="AC234" s="74">
        <v>0</v>
      </c>
      <c r="AD234" s="74">
        <v>0</v>
      </c>
      <c r="AE234" s="74">
        <v>0</v>
      </c>
      <c r="AF234" s="74">
        <v>0</v>
      </c>
      <c r="AG234" s="90">
        <f t="shared" si="7"/>
        <v>9</v>
      </c>
      <c r="AH234" s="90">
        <f t="shared" si="8"/>
        <v>7</v>
      </c>
      <c r="AI234" s="90">
        <f t="shared" si="9"/>
        <v>2</v>
      </c>
    </row>
    <row r="235" spans="1:35" x14ac:dyDescent="0.35">
      <c r="C235" s="96">
        <v>46059</v>
      </c>
      <c r="D235" s="97">
        <v>10</v>
      </c>
      <c r="E235" s="97" t="s">
        <v>854</v>
      </c>
      <c r="F235" s="10">
        <v>1</v>
      </c>
      <c r="G235" s="10">
        <v>0</v>
      </c>
      <c r="H235" s="10">
        <v>0</v>
      </c>
      <c r="I235" s="10">
        <v>0</v>
      </c>
      <c r="J235" s="74">
        <v>0</v>
      </c>
      <c r="K235" s="74">
        <v>1</v>
      </c>
      <c r="L235" s="74">
        <v>0</v>
      </c>
      <c r="M235" s="74">
        <v>0</v>
      </c>
      <c r="N235" s="74">
        <v>0</v>
      </c>
      <c r="O235" s="74">
        <v>0</v>
      </c>
      <c r="P235" s="74">
        <v>0</v>
      </c>
      <c r="Q235" s="74">
        <v>0</v>
      </c>
      <c r="R235" s="74">
        <v>0</v>
      </c>
      <c r="S235" s="97" t="s">
        <v>82</v>
      </c>
      <c r="T235" s="10">
        <v>3</v>
      </c>
      <c r="U235" s="10">
        <v>0</v>
      </c>
      <c r="V235" s="10">
        <v>1</v>
      </c>
      <c r="W235" s="10">
        <v>0</v>
      </c>
      <c r="X235" s="74">
        <v>0</v>
      </c>
      <c r="Y235" s="74">
        <v>0</v>
      </c>
      <c r="Z235" s="74">
        <v>0</v>
      </c>
      <c r="AA235" s="74">
        <v>0</v>
      </c>
      <c r="AB235" s="74">
        <v>0</v>
      </c>
      <c r="AC235" s="74">
        <v>0</v>
      </c>
      <c r="AD235" s="74">
        <v>0</v>
      </c>
      <c r="AE235" s="74">
        <v>0</v>
      </c>
      <c r="AF235" s="74">
        <v>0</v>
      </c>
      <c r="AG235" s="90">
        <f t="shared" si="7"/>
        <v>6</v>
      </c>
      <c r="AH235" s="90">
        <f t="shared" si="8"/>
        <v>5</v>
      </c>
      <c r="AI235" s="90">
        <f t="shared" si="9"/>
        <v>1</v>
      </c>
    </row>
    <row r="236" spans="1:35" x14ac:dyDescent="0.35">
      <c r="C236" s="96">
        <v>46062</v>
      </c>
      <c r="D236" s="97">
        <v>10</v>
      </c>
      <c r="E236" s="97" t="s">
        <v>134</v>
      </c>
      <c r="F236" s="10">
        <v>3</v>
      </c>
      <c r="G236" s="10">
        <v>0</v>
      </c>
      <c r="H236" s="10">
        <v>0</v>
      </c>
      <c r="I236" s="10">
        <v>0</v>
      </c>
      <c r="J236" s="74">
        <v>0</v>
      </c>
      <c r="K236" s="74">
        <v>0</v>
      </c>
      <c r="L236" s="74">
        <v>0</v>
      </c>
      <c r="M236" s="74">
        <v>0</v>
      </c>
      <c r="N236" s="74">
        <v>0</v>
      </c>
      <c r="O236" s="74">
        <v>0</v>
      </c>
      <c r="P236" s="74">
        <v>0</v>
      </c>
      <c r="Q236" s="74">
        <v>0</v>
      </c>
      <c r="R236" s="74">
        <v>0</v>
      </c>
      <c r="S236" s="97" t="s">
        <v>186</v>
      </c>
      <c r="T236" s="10">
        <v>1</v>
      </c>
      <c r="U236" s="10">
        <v>0</v>
      </c>
      <c r="V236" s="10">
        <v>0</v>
      </c>
      <c r="W236" s="10">
        <v>0</v>
      </c>
      <c r="X236" s="74">
        <v>0</v>
      </c>
      <c r="Y236" s="74">
        <v>0</v>
      </c>
      <c r="Z236" s="74">
        <v>0</v>
      </c>
      <c r="AA236" s="74">
        <v>0</v>
      </c>
      <c r="AB236" s="74">
        <v>0</v>
      </c>
      <c r="AC236" s="74">
        <v>0</v>
      </c>
      <c r="AD236" s="74">
        <v>0</v>
      </c>
      <c r="AE236" s="74">
        <v>0</v>
      </c>
      <c r="AF236" s="74">
        <v>0</v>
      </c>
      <c r="AG236" s="90">
        <f t="shared" si="7"/>
        <v>4</v>
      </c>
      <c r="AH236" s="90">
        <f t="shared" si="8"/>
        <v>4</v>
      </c>
      <c r="AI236" s="90">
        <f t="shared" si="9"/>
        <v>0</v>
      </c>
    </row>
    <row r="237" spans="1:35" x14ac:dyDescent="0.35">
      <c r="C237" s="96">
        <v>46066</v>
      </c>
      <c r="D237" s="97">
        <v>10</v>
      </c>
      <c r="E237" s="97" t="s">
        <v>356</v>
      </c>
      <c r="F237" s="10">
        <v>10</v>
      </c>
      <c r="G237" s="10">
        <v>0</v>
      </c>
      <c r="H237" s="10">
        <v>0</v>
      </c>
      <c r="I237" s="10">
        <v>0</v>
      </c>
      <c r="J237" s="74">
        <v>0</v>
      </c>
      <c r="K237" s="74">
        <v>0</v>
      </c>
      <c r="L237" s="74">
        <v>0</v>
      </c>
      <c r="M237" s="74">
        <v>0</v>
      </c>
      <c r="N237" s="74">
        <v>0</v>
      </c>
      <c r="O237" s="74">
        <v>0</v>
      </c>
      <c r="P237" s="74">
        <v>0</v>
      </c>
      <c r="Q237" s="74">
        <v>0</v>
      </c>
      <c r="R237" s="74">
        <v>0</v>
      </c>
      <c r="S237" s="97" t="s">
        <v>407</v>
      </c>
      <c r="T237" s="10">
        <v>2</v>
      </c>
      <c r="U237" s="10">
        <v>0</v>
      </c>
      <c r="V237" s="10">
        <v>0</v>
      </c>
      <c r="W237" s="10">
        <v>0</v>
      </c>
      <c r="X237" s="74">
        <v>0</v>
      </c>
      <c r="Y237" s="74">
        <v>0</v>
      </c>
      <c r="Z237" s="74">
        <v>0</v>
      </c>
      <c r="AA237" s="74">
        <v>0</v>
      </c>
      <c r="AB237" s="74">
        <v>0</v>
      </c>
      <c r="AC237" s="74">
        <v>0</v>
      </c>
      <c r="AD237" s="74">
        <v>0</v>
      </c>
      <c r="AE237" s="74">
        <v>0</v>
      </c>
      <c r="AF237" s="74">
        <v>0</v>
      </c>
      <c r="AG237" s="90">
        <f t="shared" si="7"/>
        <v>12</v>
      </c>
      <c r="AH237" s="90">
        <f t="shared" si="8"/>
        <v>12</v>
      </c>
      <c r="AI237" s="90">
        <f t="shared" si="9"/>
        <v>0</v>
      </c>
    </row>
    <row r="238" spans="1:35" x14ac:dyDescent="0.35">
      <c r="C238" s="96">
        <v>46070</v>
      </c>
      <c r="D238" s="97">
        <v>10</v>
      </c>
      <c r="E238" s="97" t="s">
        <v>899</v>
      </c>
      <c r="F238" s="10">
        <v>2</v>
      </c>
      <c r="G238" s="10">
        <v>2</v>
      </c>
      <c r="H238" s="10">
        <v>0</v>
      </c>
      <c r="I238" s="10">
        <v>0</v>
      </c>
      <c r="J238" s="74">
        <v>0</v>
      </c>
      <c r="K238" s="74">
        <v>0</v>
      </c>
      <c r="L238" s="74">
        <v>0</v>
      </c>
      <c r="M238" s="74">
        <v>0</v>
      </c>
      <c r="N238" s="74">
        <v>0</v>
      </c>
      <c r="O238" s="74">
        <v>0</v>
      </c>
      <c r="P238" s="74">
        <v>0</v>
      </c>
      <c r="Q238" s="74">
        <v>0</v>
      </c>
      <c r="R238" s="74">
        <v>0</v>
      </c>
      <c r="S238" s="97" t="s">
        <v>218</v>
      </c>
      <c r="T238" s="10">
        <v>2</v>
      </c>
      <c r="U238" s="10">
        <v>0</v>
      </c>
      <c r="V238" s="10">
        <v>0</v>
      </c>
      <c r="W238" s="10">
        <v>0</v>
      </c>
      <c r="X238" s="74">
        <v>0</v>
      </c>
      <c r="Y238" s="74">
        <v>1</v>
      </c>
      <c r="Z238" s="74">
        <v>0</v>
      </c>
      <c r="AA238" s="74">
        <v>0</v>
      </c>
      <c r="AB238" s="74">
        <v>0</v>
      </c>
      <c r="AC238" s="74">
        <v>0</v>
      </c>
      <c r="AD238" s="74">
        <v>0</v>
      </c>
      <c r="AE238" s="74">
        <v>0</v>
      </c>
      <c r="AF238" s="74">
        <v>0</v>
      </c>
      <c r="AG238" s="90">
        <f t="shared" si="7"/>
        <v>7</v>
      </c>
      <c r="AH238" s="90">
        <f t="shared" si="8"/>
        <v>6</v>
      </c>
      <c r="AI238" s="90">
        <f t="shared" si="9"/>
        <v>1</v>
      </c>
    </row>
    <row r="239" spans="1:35" x14ac:dyDescent="0.35">
      <c r="C239" s="96">
        <v>46074</v>
      </c>
      <c r="D239" s="97">
        <v>10</v>
      </c>
      <c r="E239" s="97" t="s">
        <v>925</v>
      </c>
      <c r="F239" s="10">
        <v>2</v>
      </c>
      <c r="G239" s="10">
        <v>0</v>
      </c>
      <c r="H239" s="10">
        <v>0</v>
      </c>
      <c r="I239" s="10">
        <v>1</v>
      </c>
      <c r="J239" s="74">
        <v>0</v>
      </c>
      <c r="K239" s="74">
        <v>1</v>
      </c>
      <c r="L239" s="74">
        <v>0</v>
      </c>
      <c r="M239" s="74">
        <v>0</v>
      </c>
      <c r="N239" s="74">
        <v>0</v>
      </c>
      <c r="O239" s="74">
        <v>0</v>
      </c>
      <c r="P239" s="74">
        <v>0</v>
      </c>
      <c r="Q239" s="74">
        <v>0</v>
      </c>
      <c r="R239" s="74">
        <v>0</v>
      </c>
      <c r="S239" s="97" t="s">
        <v>828</v>
      </c>
      <c r="T239" s="10">
        <v>2</v>
      </c>
      <c r="U239" s="10">
        <v>1</v>
      </c>
      <c r="V239" s="10">
        <v>0</v>
      </c>
      <c r="W239" s="10">
        <v>0</v>
      </c>
      <c r="X239" s="74">
        <v>0</v>
      </c>
      <c r="Y239" s="74">
        <v>1</v>
      </c>
      <c r="Z239" s="74">
        <v>0</v>
      </c>
      <c r="AA239" s="74">
        <v>0</v>
      </c>
      <c r="AB239" s="74">
        <v>0</v>
      </c>
      <c r="AC239" s="74">
        <v>0</v>
      </c>
      <c r="AD239" s="74">
        <v>0</v>
      </c>
      <c r="AE239" s="74">
        <v>0</v>
      </c>
      <c r="AF239" s="74">
        <v>0</v>
      </c>
      <c r="AG239" s="90">
        <f t="shared" si="7"/>
        <v>8</v>
      </c>
      <c r="AH239" s="90">
        <f t="shared" si="8"/>
        <v>6</v>
      </c>
      <c r="AI239" s="90">
        <f t="shared" si="9"/>
        <v>2</v>
      </c>
    </row>
    <row r="241" spans="1:35" x14ac:dyDescent="0.35">
      <c r="A241" s="93">
        <v>12</v>
      </c>
      <c r="B241" s="95" t="s">
        <v>760</v>
      </c>
      <c r="C241" s="96">
        <v>46035</v>
      </c>
      <c r="D241" s="97">
        <v>9</v>
      </c>
      <c r="E241" s="97" t="s">
        <v>85</v>
      </c>
      <c r="F241" s="10">
        <v>5</v>
      </c>
      <c r="G241" s="10">
        <v>2</v>
      </c>
      <c r="H241" s="10">
        <v>0</v>
      </c>
      <c r="I241" s="10">
        <v>0</v>
      </c>
      <c r="J241" s="74">
        <v>0</v>
      </c>
      <c r="K241" s="74">
        <v>0</v>
      </c>
      <c r="L241" s="74">
        <v>0</v>
      </c>
      <c r="M241" s="74">
        <v>0</v>
      </c>
      <c r="N241" s="74">
        <v>0</v>
      </c>
      <c r="O241" s="74">
        <v>0</v>
      </c>
      <c r="P241" s="74">
        <v>0</v>
      </c>
      <c r="Q241" s="74">
        <v>0</v>
      </c>
      <c r="R241" s="74">
        <v>0</v>
      </c>
      <c r="S241" s="97" t="s">
        <v>139</v>
      </c>
      <c r="T241" s="10">
        <v>12</v>
      </c>
      <c r="U241" s="10">
        <v>0</v>
      </c>
      <c r="V241" s="10">
        <v>0</v>
      </c>
      <c r="W241" s="10">
        <v>0</v>
      </c>
      <c r="X241" s="74">
        <v>0</v>
      </c>
      <c r="Y241" s="74">
        <v>0</v>
      </c>
      <c r="Z241" s="74">
        <v>0</v>
      </c>
      <c r="AA241" s="74">
        <v>0</v>
      </c>
      <c r="AB241" s="74">
        <v>0</v>
      </c>
      <c r="AC241" s="74">
        <v>0</v>
      </c>
      <c r="AD241" s="74">
        <v>0</v>
      </c>
      <c r="AE241" s="74">
        <v>0</v>
      </c>
      <c r="AF241" s="74">
        <v>0</v>
      </c>
      <c r="AG241" s="90">
        <f t="shared" si="7"/>
        <v>19</v>
      </c>
      <c r="AH241" s="90">
        <f t="shared" si="8"/>
        <v>19</v>
      </c>
      <c r="AI241" s="90">
        <f t="shared" si="9"/>
        <v>0</v>
      </c>
    </row>
    <row r="242" spans="1:35" x14ac:dyDescent="0.35">
      <c r="C242" s="96">
        <v>46038</v>
      </c>
      <c r="D242" s="97">
        <v>9</v>
      </c>
      <c r="E242" s="97" t="s">
        <v>55</v>
      </c>
      <c r="F242" s="10">
        <v>0</v>
      </c>
      <c r="G242" s="10">
        <v>0</v>
      </c>
      <c r="H242" s="10">
        <v>0</v>
      </c>
      <c r="I242" s="10">
        <v>0</v>
      </c>
      <c r="J242" s="74">
        <v>0</v>
      </c>
      <c r="K242" s="74">
        <v>0</v>
      </c>
      <c r="L242" s="74">
        <v>0</v>
      </c>
      <c r="M242" s="74">
        <v>0</v>
      </c>
      <c r="N242" s="74">
        <v>0</v>
      </c>
      <c r="O242" s="74">
        <v>0</v>
      </c>
      <c r="P242" s="74">
        <v>0</v>
      </c>
      <c r="Q242" s="74">
        <v>0</v>
      </c>
      <c r="R242" s="74">
        <v>0</v>
      </c>
      <c r="S242" s="97" t="s">
        <v>770</v>
      </c>
      <c r="T242" s="10">
        <v>3</v>
      </c>
      <c r="U242" s="10">
        <v>3</v>
      </c>
      <c r="V242" s="10">
        <v>0</v>
      </c>
      <c r="W242" s="10">
        <v>0</v>
      </c>
      <c r="X242" s="74">
        <v>0</v>
      </c>
      <c r="Y242" s="74">
        <v>0</v>
      </c>
      <c r="Z242" s="74">
        <v>0</v>
      </c>
      <c r="AA242" s="74">
        <v>0</v>
      </c>
      <c r="AB242" s="74">
        <v>0</v>
      </c>
      <c r="AC242" s="74">
        <v>0</v>
      </c>
      <c r="AD242" s="74">
        <v>0</v>
      </c>
      <c r="AE242" s="74">
        <v>0</v>
      </c>
      <c r="AF242" s="74">
        <v>0</v>
      </c>
      <c r="AG242" s="90">
        <f t="shared" si="7"/>
        <v>6</v>
      </c>
      <c r="AH242" s="90">
        <f t="shared" si="8"/>
        <v>6</v>
      </c>
      <c r="AI242" s="90">
        <f t="shared" si="9"/>
        <v>0</v>
      </c>
    </row>
    <row r="243" spans="1:35" x14ac:dyDescent="0.35">
      <c r="C243" s="96">
        <v>46041</v>
      </c>
      <c r="D243" s="97">
        <v>9</v>
      </c>
      <c r="E243" s="97" t="s">
        <v>786</v>
      </c>
      <c r="F243" s="10">
        <v>5</v>
      </c>
      <c r="G243" s="10">
        <v>3</v>
      </c>
      <c r="H243" s="10">
        <v>1</v>
      </c>
      <c r="I243" s="10">
        <v>0</v>
      </c>
      <c r="J243" s="74">
        <v>0</v>
      </c>
      <c r="K243" s="74">
        <v>0</v>
      </c>
      <c r="L243" s="74">
        <v>0</v>
      </c>
      <c r="M243" s="74">
        <v>0</v>
      </c>
      <c r="N243" s="74">
        <v>0</v>
      </c>
      <c r="O243" s="74">
        <v>0</v>
      </c>
      <c r="P243" s="74">
        <v>0</v>
      </c>
      <c r="Q243" s="74">
        <v>0</v>
      </c>
      <c r="R243" s="74">
        <v>0</v>
      </c>
      <c r="S243" s="97" t="s">
        <v>126</v>
      </c>
      <c r="T243" s="10">
        <v>6</v>
      </c>
      <c r="U243" s="10">
        <v>3</v>
      </c>
      <c r="V243" s="10">
        <v>0</v>
      </c>
      <c r="W243" s="10">
        <v>0</v>
      </c>
      <c r="X243" s="74">
        <v>0</v>
      </c>
      <c r="Y243" s="74">
        <v>0</v>
      </c>
      <c r="Z243" s="74">
        <v>0</v>
      </c>
      <c r="AA243" s="74">
        <v>0</v>
      </c>
      <c r="AB243" s="74">
        <v>0</v>
      </c>
      <c r="AC243" s="74">
        <v>0</v>
      </c>
      <c r="AD243" s="74">
        <v>0</v>
      </c>
      <c r="AE243" s="74">
        <v>0</v>
      </c>
      <c r="AF243" s="74">
        <v>0</v>
      </c>
      <c r="AG243" s="90">
        <f t="shared" si="7"/>
        <v>18</v>
      </c>
      <c r="AH243" s="90">
        <f t="shared" si="8"/>
        <v>18</v>
      </c>
      <c r="AI243" s="90">
        <f t="shared" si="9"/>
        <v>0</v>
      </c>
    </row>
    <row r="244" spans="1:35" x14ac:dyDescent="0.35">
      <c r="C244" s="96">
        <v>46045</v>
      </c>
      <c r="D244" s="97">
        <v>9</v>
      </c>
      <c r="E244" s="97" t="s">
        <v>496</v>
      </c>
      <c r="F244" s="10">
        <v>8</v>
      </c>
      <c r="G244" s="10">
        <v>1</v>
      </c>
      <c r="H244" s="10">
        <v>0</v>
      </c>
      <c r="I244" s="10">
        <v>0</v>
      </c>
      <c r="J244" s="74">
        <v>0</v>
      </c>
      <c r="K244" s="74">
        <v>0</v>
      </c>
      <c r="L244" s="74">
        <v>0</v>
      </c>
      <c r="M244" s="74">
        <v>0</v>
      </c>
      <c r="N244" s="74">
        <v>0</v>
      </c>
      <c r="O244" s="74">
        <v>0</v>
      </c>
      <c r="P244" s="74">
        <v>0</v>
      </c>
      <c r="Q244" s="74">
        <v>0</v>
      </c>
      <c r="R244" s="74">
        <v>0</v>
      </c>
      <c r="S244" s="97" t="s">
        <v>131</v>
      </c>
      <c r="T244" s="10">
        <v>3</v>
      </c>
      <c r="U244" s="10">
        <v>1</v>
      </c>
      <c r="V244" s="10">
        <v>0</v>
      </c>
      <c r="W244" s="10">
        <v>0</v>
      </c>
      <c r="X244" s="74">
        <v>0</v>
      </c>
      <c r="Y244" s="74">
        <v>0</v>
      </c>
      <c r="Z244" s="74">
        <v>0</v>
      </c>
      <c r="AA244" s="74">
        <v>0</v>
      </c>
      <c r="AB244" s="74">
        <v>0</v>
      </c>
      <c r="AC244" s="74">
        <v>0</v>
      </c>
      <c r="AD244" s="74">
        <v>0</v>
      </c>
      <c r="AE244" s="74">
        <v>0</v>
      </c>
      <c r="AF244" s="74">
        <v>0</v>
      </c>
      <c r="AG244" s="90">
        <f t="shared" si="7"/>
        <v>13</v>
      </c>
      <c r="AH244" s="90">
        <f t="shared" si="8"/>
        <v>13</v>
      </c>
      <c r="AI244" s="90">
        <f t="shared" si="9"/>
        <v>0</v>
      </c>
    </row>
    <row r="245" spans="1:35" x14ac:dyDescent="0.35">
      <c r="C245" s="96">
        <v>46049</v>
      </c>
      <c r="D245" s="97">
        <v>9</v>
      </c>
      <c r="E245" s="97" t="s">
        <v>809</v>
      </c>
      <c r="F245" s="10">
        <v>8</v>
      </c>
      <c r="G245" s="10">
        <v>4</v>
      </c>
      <c r="H245" s="10">
        <v>0</v>
      </c>
      <c r="I245" s="10">
        <v>0</v>
      </c>
      <c r="J245" s="74">
        <v>0</v>
      </c>
      <c r="K245" s="74">
        <v>0</v>
      </c>
      <c r="L245" s="74">
        <v>0</v>
      </c>
      <c r="M245" s="74">
        <v>0</v>
      </c>
      <c r="N245" s="74">
        <v>0</v>
      </c>
      <c r="O245" s="74">
        <v>0</v>
      </c>
      <c r="P245" s="74">
        <v>0</v>
      </c>
      <c r="Q245" s="74">
        <v>0</v>
      </c>
      <c r="R245" s="74">
        <v>0</v>
      </c>
      <c r="S245" s="97" t="s">
        <v>88</v>
      </c>
      <c r="T245" s="10">
        <v>4</v>
      </c>
      <c r="U245" s="10">
        <v>2</v>
      </c>
      <c r="V245" s="10">
        <v>0</v>
      </c>
      <c r="W245" s="10">
        <v>0</v>
      </c>
      <c r="X245" s="74">
        <v>0</v>
      </c>
      <c r="Y245" s="74">
        <v>0</v>
      </c>
      <c r="Z245" s="74">
        <v>0</v>
      </c>
      <c r="AA245" s="74">
        <v>0</v>
      </c>
      <c r="AB245" s="74">
        <v>0</v>
      </c>
      <c r="AC245" s="74">
        <v>0</v>
      </c>
      <c r="AD245" s="74">
        <v>0</v>
      </c>
      <c r="AE245" s="74">
        <v>0</v>
      </c>
      <c r="AF245" s="74">
        <v>0</v>
      </c>
      <c r="AG245" s="90">
        <f t="shared" si="7"/>
        <v>18</v>
      </c>
      <c r="AH245" s="90">
        <f t="shared" si="8"/>
        <v>18</v>
      </c>
      <c r="AI245" s="90">
        <f t="shared" si="9"/>
        <v>0</v>
      </c>
    </row>
    <row r="246" spans="1:35" x14ac:dyDescent="0.35">
      <c r="C246" s="96">
        <v>46052</v>
      </c>
      <c r="D246" s="97">
        <v>9</v>
      </c>
      <c r="E246" s="97" t="s">
        <v>818</v>
      </c>
      <c r="F246" s="10">
        <v>7</v>
      </c>
      <c r="G246" s="10">
        <v>0</v>
      </c>
      <c r="H246" s="10">
        <v>0</v>
      </c>
      <c r="I246" s="10">
        <v>1</v>
      </c>
      <c r="J246" s="74">
        <v>0</v>
      </c>
      <c r="K246" s="74">
        <v>0</v>
      </c>
      <c r="L246" s="74">
        <v>0</v>
      </c>
      <c r="M246" s="74">
        <v>0</v>
      </c>
      <c r="N246" s="74">
        <v>0</v>
      </c>
      <c r="O246" s="74">
        <v>0</v>
      </c>
      <c r="P246" s="74">
        <v>0</v>
      </c>
      <c r="Q246" s="74">
        <v>0</v>
      </c>
      <c r="R246" s="74">
        <v>0</v>
      </c>
      <c r="S246" s="97" t="s">
        <v>88</v>
      </c>
      <c r="T246" s="10">
        <v>4</v>
      </c>
      <c r="U246" s="10">
        <v>2</v>
      </c>
      <c r="V246" s="10">
        <v>0</v>
      </c>
      <c r="W246" s="10">
        <v>0</v>
      </c>
      <c r="X246" s="74">
        <v>0</v>
      </c>
      <c r="Y246" s="74">
        <v>0</v>
      </c>
      <c r="Z246" s="74">
        <v>0</v>
      </c>
      <c r="AA246" s="74">
        <v>0</v>
      </c>
      <c r="AB246" s="74">
        <v>0</v>
      </c>
      <c r="AC246" s="74">
        <v>0</v>
      </c>
      <c r="AD246" s="74">
        <v>0</v>
      </c>
      <c r="AE246" s="74">
        <v>0</v>
      </c>
      <c r="AF246" s="74">
        <v>0</v>
      </c>
      <c r="AG246" s="90">
        <f t="shared" si="7"/>
        <v>14</v>
      </c>
      <c r="AH246" s="90">
        <f t="shared" si="8"/>
        <v>14</v>
      </c>
      <c r="AI246" s="90">
        <f t="shared" si="9"/>
        <v>0</v>
      </c>
    </row>
    <row r="247" spans="1:35" x14ac:dyDescent="0.35">
      <c r="C247" s="96">
        <v>46056</v>
      </c>
      <c r="D247" s="97">
        <v>9</v>
      </c>
      <c r="E247" s="97" t="s">
        <v>110</v>
      </c>
      <c r="F247" s="10">
        <v>10</v>
      </c>
      <c r="G247" s="10">
        <v>2</v>
      </c>
      <c r="H247" s="10">
        <v>0</v>
      </c>
      <c r="I247" s="10">
        <v>0</v>
      </c>
      <c r="J247" s="74">
        <v>0</v>
      </c>
      <c r="K247" s="74">
        <v>0</v>
      </c>
      <c r="L247" s="74">
        <v>0</v>
      </c>
      <c r="M247" s="74">
        <v>0</v>
      </c>
      <c r="N247" s="74">
        <v>0</v>
      </c>
      <c r="O247" s="74">
        <v>0</v>
      </c>
      <c r="P247" s="74">
        <v>0</v>
      </c>
      <c r="Q247" s="74">
        <v>0</v>
      </c>
      <c r="R247" s="74">
        <v>0</v>
      </c>
      <c r="S247" s="97" t="s">
        <v>723</v>
      </c>
      <c r="T247" s="10">
        <v>4</v>
      </c>
      <c r="U247" s="10">
        <v>3</v>
      </c>
      <c r="V247" s="10">
        <v>0</v>
      </c>
      <c r="W247" s="10">
        <v>0</v>
      </c>
      <c r="X247" s="74">
        <v>0</v>
      </c>
      <c r="Y247" s="74">
        <v>0</v>
      </c>
      <c r="Z247" s="74">
        <v>0</v>
      </c>
      <c r="AA247" s="74">
        <v>1</v>
      </c>
      <c r="AB247" s="74">
        <v>0</v>
      </c>
      <c r="AC247" s="74">
        <v>0</v>
      </c>
      <c r="AD247" s="74">
        <v>0</v>
      </c>
      <c r="AE247" s="74">
        <v>0</v>
      </c>
      <c r="AF247" s="74">
        <v>0</v>
      </c>
      <c r="AG247" s="90">
        <f t="shared" si="7"/>
        <v>20</v>
      </c>
      <c r="AH247" s="90">
        <f t="shared" si="8"/>
        <v>19</v>
      </c>
      <c r="AI247" s="90">
        <f t="shared" si="9"/>
        <v>1</v>
      </c>
    </row>
    <row r="248" spans="1:35" x14ac:dyDescent="0.35">
      <c r="C248" s="96">
        <v>46059</v>
      </c>
      <c r="D248" s="97">
        <v>9</v>
      </c>
      <c r="E248" s="97" t="s">
        <v>218</v>
      </c>
      <c r="F248" s="10">
        <v>2</v>
      </c>
      <c r="G248" s="10">
        <v>0</v>
      </c>
      <c r="H248" s="10">
        <v>0</v>
      </c>
      <c r="I248" s="10">
        <v>0</v>
      </c>
      <c r="J248" s="74">
        <v>0</v>
      </c>
      <c r="K248" s="74">
        <v>1</v>
      </c>
      <c r="L248" s="74">
        <v>0</v>
      </c>
      <c r="M248" s="74">
        <v>0</v>
      </c>
      <c r="N248" s="74">
        <v>0</v>
      </c>
      <c r="O248" s="74">
        <v>0</v>
      </c>
      <c r="P248" s="74">
        <v>0</v>
      </c>
      <c r="Q248" s="74">
        <v>0</v>
      </c>
      <c r="R248" s="74">
        <v>0</v>
      </c>
      <c r="S248" s="97" t="s">
        <v>299</v>
      </c>
      <c r="T248" s="10">
        <v>2</v>
      </c>
      <c r="U248" s="10">
        <v>3</v>
      </c>
      <c r="V248" s="10">
        <v>0</v>
      </c>
      <c r="W248" s="10">
        <v>0</v>
      </c>
      <c r="X248" s="74">
        <v>0</v>
      </c>
      <c r="Y248" s="74">
        <v>0</v>
      </c>
      <c r="Z248" s="74">
        <v>0</v>
      </c>
      <c r="AA248" s="74">
        <v>0</v>
      </c>
      <c r="AB248" s="74">
        <v>0</v>
      </c>
      <c r="AC248" s="74">
        <v>0</v>
      </c>
      <c r="AD248" s="74">
        <v>0</v>
      </c>
      <c r="AE248" s="74">
        <v>0</v>
      </c>
      <c r="AF248" s="74">
        <v>0</v>
      </c>
      <c r="AG248" s="90">
        <f t="shared" si="7"/>
        <v>8</v>
      </c>
      <c r="AH248" s="90">
        <f t="shared" si="8"/>
        <v>7</v>
      </c>
      <c r="AI248" s="90">
        <f t="shared" si="9"/>
        <v>1</v>
      </c>
    </row>
    <row r="249" spans="1:35" x14ac:dyDescent="0.35">
      <c r="C249" s="96">
        <v>46062</v>
      </c>
      <c r="D249" s="97">
        <v>9</v>
      </c>
      <c r="E249" s="97" t="s">
        <v>131</v>
      </c>
      <c r="F249" s="10">
        <v>3</v>
      </c>
      <c r="G249" s="10">
        <v>1</v>
      </c>
      <c r="H249" s="10">
        <v>0</v>
      </c>
      <c r="I249" s="10">
        <v>0</v>
      </c>
      <c r="J249" s="74">
        <v>0</v>
      </c>
      <c r="K249" s="74">
        <v>0</v>
      </c>
      <c r="L249" s="74">
        <v>0</v>
      </c>
      <c r="M249" s="74">
        <v>0</v>
      </c>
      <c r="N249" s="74">
        <v>0</v>
      </c>
      <c r="O249" s="74">
        <v>0</v>
      </c>
      <c r="P249" s="74">
        <v>0</v>
      </c>
      <c r="Q249" s="74">
        <v>0</v>
      </c>
      <c r="R249" s="74">
        <v>0</v>
      </c>
      <c r="S249" s="97" t="s">
        <v>866</v>
      </c>
      <c r="T249" s="10">
        <v>2</v>
      </c>
      <c r="U249" s="10">
        <v>0</v>
      </c>
      <c r="V249" s="10">
        <v>1</v>
      </c>
      <c r="W249" s="10">
        <v>0</v>
      </c>
      <c r="X249" s="74">
        <v>0</v>
      </c>
      <c r="Y249" s="74">
        <v>1</v>
      </c>
      <c r="Z249" s="74">
        <v>0</v>
      </c>
      <c r="AA249" s="74">
        <v>0</v>
      </c>
      <c r="AB249" s="74">
        <v>0</v>
      </c>
      <c r="AC249" s="74">
        <v>0</v>
      </c>
      <c r="AD249" s="74">
        <v>0</v>
      </c>
      <c r="AE249" s="74">
        <v>0</v>
      </c>
      <c r="AF249" s="74">
        <v>0</v>
      </c>
      <c r="AG249" s="90">
        <f t="shared" si="7"/>
        <v>8</v>
      </c>
      <c r="AH249" s="90">
        <f t="shared" si="8"/>
        <v>7</v>
      </c>
      <c r="AI249" s="90">
        <f t="shared" si="9"/>
        <v>1</v>
      </c>
    </row>
    <row r="250" spans="1:35" x14ac:dyDescent="0.35">
      <c r="C250" s="96">
        <v>46066</v>
      </c>
      <c r="D250" s="97">
        <v>9</v>
      </c>
      <c r="E250" s="97" t="s">
        <v>804</v>
      </c>
      <c r="F250" s="10">
        <v>5</v>
      </c>
      <c r="G250" s="10">
        <v>3</v>
      </c>
      <c r="H250" s="10">
        <v>0</v>
      </c>
      <c r="I250" s="10">
        <v>0</v>
      </c>
      <c r="J250" s="74">
        <v>0</v>
      </c>
      <c r="K250" s="74">
        <v>1</v>
      </c>
      <c r="L250" s="74">
        <v>0</v>
      </c>
      <c r="M250" s="74">
        <v>0</v>
      </c>
      <c r="N250" s="74">
        <v>0</v>
      </c>
      <c r="O250" s="74">
        <v>0</v>
      </c>
      <c r="P250" s="74">
        <v>0</v>
      </c>
      <c r="Q250" s="74">
        <v>0</v>
      </c>
      <c r="R250" s="74">
        <v>0</v>
      </c>
      <c r="S250" s="97" t="s">
        <v>895</v>
      </c>
      <c r="T250" s="10">
        <v>3</v>
      </c>
      <c r="U250" s="10">
        <v>5</v>
      </c>
      <c r="V250" s="10">
        <v>0</v>
      </c>
      <c r="W250" s="10">
        <v>0</v>
      </c>
      <c r="X250" s="74">
        <v>0</v>
      </c>
      <c r="Y250" s="74">
        <v>0</v>
      </c>
      <c r="Z250" s="74">
        <v>0</v>
      </c>
      <c r="AA250" s="74">
        <v>0</v>
      </c>
      <c r="AB250" s="74">
        <v>0</v>
      </c>
      <c r="AC250" s="74">
        <v>0</v>
      </c>
      <c r="AD250" s="74">
        <v>0</v>
      </c>
      <c r="AE250" s="74">
        <v>0</v>
      </c>
      <c r="AF250" s="74">
        <v>0</v>
      </c>
      <c r="AG250" s="90">
        <f t="shared" si="7"/>
        <v>17</v>
      </c>
      <c r="AH250" s="90">
        <f t="shared" si="8"/>
        <v>16</v>
      </c>
      <c r="AI250" s="90">
        <f t="shared" si="9"/>
        <v>1</v>
      </c>
    </row>
    <row r="251" spans="1:35" x14ac:dyDescent="0.35">
      <c r="C251" s="96">
        <v>46070</v>
      </c>
      <c r="D251" s="97">
        <v>9</v>
      </c>
      <c r="E251" s="97" t="s">
        <v>906</v>
      </c>
      <c r="F251" s="10">
        <v>4</v>
      </c>
      <c r="G251" s="10">
        <v>5</v>
      </c>
      <c r="H251" s="10">
        <v>0</v>
      </c>
      <c r="I251" s="10">
        <v>0</v>
      </c>
      <c r="J251" s="74">
        <v>0</v>
      </c>
      <c r="K251" s="74">
        <v>1</v>
      </c>
      <c r="L251" s="74">
        <v>0</v>
      </c>
      <c r="M251" s="74">
        <v>0</v>
      </c>
      <c r="N251" s="74">
        <v>0</v>
      </c>
      <c r="O251" s="74">
        <v>0</v>
      </c>
      <c r="P251" s="74">
        <v>0</v>
      </c>
      <c r="Q251" s="74">
        <v>0</v>
      </c>
      <c r="R251" s="74">
        <v>0</v>
      </c>
      <c r="S251" s="97" t="s">
        <v>232</v>
      </c>
      <c r="T251" s="10">
        <v>2</v>
      </c>
      <c r="U251" s="10">
        <v>1</v>
      </c>
      <c r="V251" s="10">
        <v>0</v>
      </c>
      <c r="W251" s="10">
        <v>0</v>
      </c>
      <c r="X251" s="74">
        <v>0</v>
      </c>
      <c r="Y251" s="74">
        <v>0</v>
      </c>
      <c r="Z251" s="74">
        <v>0</v>
      </c>
      <c r="AA251" s="74">
        <v>1</v>
      </c>
      <c r="AB251" s="74">
        <v>0</v>
      </c>
      <c r="AC251" s="74">
        <v>0</v>
      </c>
      <c r="AD251" s="74">
        <v>0</v>
      </c>
      <c r="AE251" s="74">
        <v>0</v>
      </c>
      <c r="AF251" s="74">
        <v>0</v>
      </c>
      <c r="AG251" s="90">
        <f t="shared" si="7"/>
        <v>14</v>
      </c>
      <c r="AH251" s="90">
        <f t="shared" si="8"/>
        <v>12</v>
      </c>
      <c r="AI251" s="90">
        <f t="shared" si="9"/>
        <v>2</v>
      </c>
    </row>
    <row r="252" spans="1:35" x14ac:dyDescent="0.35">
      <c r="C252" s="96">
        <v>46074</v>
      </c>
      <c r="D252" s="97">
        <v>9</v>
      </c>
      <c r="E252" s="97" t="s">
        <v>122</v>
      </c>
      <c r="F252" s="10">
        <v>4</v>
      </c>
      <c r="G252" s="10">
        <v>3</v>
      </c>
      <c r="H252" s="10">
        <v>0</v>
      </c>
      <c r="I252" s="10">
        <v>0</v>
      </c>
      <c r="J252" s="74">
        <v>0</v>
      </c>
      <c r="K252" s="74">
        <v>1</v>
      </c>
      <c r="L252" s="74">
        <v>0</v>
      </c>
      <c r="M252" s="74">
        <v>0</v>
      </c>
      <c r="N252" s="74">
        <v>0</v>
      </c>
      <c r="O252" s="74">
        <v>0</v>
      </c>
      <c r="P252" s="74">
        <v>0</v>
      </c>
      <c r="Q252" s="74">
        <v>0</v>
      </c>
      <c r="R252" s="74">
        <v>0</v>
      </c>
      <c r="S252" s="97" t="s">
        <v>936</v>
      </c>
      <c r="T252" s="10">
        <v>0</v>
      </c>
      <c r="U252" s="10">
        <v>5</v>
      </c>
      <c r="V252" s="10">
        <v>0</v>
      </c>
      <c r="W252" s="10">
        <v>1</v>
      </c>
      <c r="X252" s="74">
        <v>0</v>
      </c>
      <c r="Y252" s="74">
        <v>0</v>
      </c>
      <c r="Z252" s="74">
        <v>0</v>
      </c>
      <c r="AA252" s="74">
        <v>0</v>
      </c>
      <c r="AB252" s="74">
        <v>0</v>
      </c>
      <c r="AC252" s="74">
        <v>0</v>
      </c>
      <c r="AD252" s="74">
        <v>0</v>
      </c>
      <c r="AE252" s="74">
        <v>0</v>
      </c>
      <c r="AF252" s="74">
        <v>0</v>
      </c>
      <c r="AG252" s="90">
        <f t="shared" si="7"/>
        <v>14</v>
      </c>
      <c r="AH252" s="90">
        <f t="shared" si="8"/>
        <v>13</v>
      </c>
      <c r="AI252" s="90">
        <f t="shared" si="9"/>
        <v>1</v>
      </c>
    </row>
    <row r="253" spans="1:35" x14ac:dyDescent="0.35">
      <c r="C253" s="96">
        <v>46077</v>
      </c>
      <c r="D253" s="97">
        <v>9</v>
      </c>
      <c r="E253" s="97" t="s">
        <v>276</v>
      </c>
      <c r="F253" s="10">
        <v>1</v>
      </c>
      <c r="G253" s="10">
        <v>0</v>
      </c>
      <c r="H253" s="10">
        <v>0</v>
      </c>
      <c r="I253" s="10">
        <v>1</v>
      </c>
      <c r="J253" s="74">
        <v>0</v>
      </c>
      <c r="K253" s="74">
        <v>0</v>
      </c>
      <c r="L253" s="74">
        <v>0</v>
      </c>
      <c r="M253" s="74">
        <v>0</v>
      </c>
      <c r="N253" s="74">
        <v>0</v>
      </c>
      <c r="O253" s="74">
        <v>0</v>
      </c>
      <c r="P253" s="74">
        <v>0</v>
      </c>
      <c r="Q253" s="74">
        <v>0</v>
      </c>
      <c r="R253" s="74">
        <v>0</v>
      </c>
      <c r="S253" s="97" t="s">
        <v>941</v>
      </c>
      <c r="T253" s="10">
        <v>3</v>
      </c>
      <c r="U253" s="10">
        <v>0</v>
      </c>
      <c r="V253" s="10">
        <v>1</v>
      </c>
      <c r="W253" s="10">
        <v>1</v>
      </c>
      <c r="X253" s="74">
        <v>0</v>
      </c>
      <c r="Y253" s="74">
        <v>0</v>
      </c>
      <c r="Z253" s="74">
        <v>0</v>
      </c>
      <c r="AA253" s="74">
        <v>0</v>
      </c>
      <c r="AB253" s="74">
        <v>0</v>
      </c>
      <c r="AC253" s="74">
        <v>0</v>
      </c>
      <c r="AD253" s="74">
        <v>0</v>
      </c>
      <c r="AE253" s="74">
        <v>0</v>
      </c>
      <c r="AF253" s="74">
        <v>0</v>
      </c>
      <c r="AG253" s="90">
        <f t="shared" si="7"/>
        <v>7</v>
      </c>
      <c r="AH253" s="90">
        <f t="shared" si="8"/>
        <v>7</v>
      </c>
      <c r="AI253" s="90">
        <f t="shared" si="9"/>
        <v>0</v>
      </c>
    </row>
    <row r="254" spans="1:35" x14ac:dyDescent="0.35">
      <c r="C254" s="96">
        <v>46080</v>
      </c>
      <c r="D254" s="97">
        <v>9</v>
      </c>
      <c r="E254" s="97" t="s">
        <v>971</v>
      </c>
      <c r="F254" s="10">
        <v>3</v>
      </c>
      <c r="G254" s="10">
        <v>1</v>
      </c>
      <c r="H254" s="10">
        <v>0</v>
      </c>
      <c r="I254" s="10">
        <v>1</v>
      </c>
      <c r="J254" s="74">
        <v>0</v>
      </c>
      <c r="K254" s="74">
        <v>1</v>
      </c>
      <c r="L254" s="74">
        <v>0</v>
      </c>
      <c r="M254" s="74">
        <v>0</v>
      </c>
      <c r="N254" s="74">
        <v>0</v>
      </c>
      <c r="O254" s="74">
        <v>1</v>
      </c>
      <c r="P254" s="74">
        <v>0</v>
      </c>
      <c r="Q254" s="74">
        <v>0</v>
      </c>
      <c r="R254" s="74">
        <v>0</v>
      </c>
      <c r="S254" s="97" t="s">
        <v>223</v>
      </c>
      <c r="T254" s="10">
        <v>0</v>
      </c>
      <c r="U254" s="10">
        <v>2</v>
      </c>
      <c r="V254" s="10">
        <v>0</v>
      </c>
      <c r="W254" s="10">
        <v>0</v>
      </c>
      <c r="X254" s="74">
        <v>0</v>
      </c>
      <c r="Y254" s="74">
        <v>0</v>
      </c>
      <c r="Z254" s="74">
        <v>0</v>
      </c>
      <c r="AA254" s="74">
        <v>1</v>
      </c>
      <c r="AB254" s="74">
        <v>0</v>
      </c>
      <c r="AC254" s="74">
        <v>0</v>
      </c>
      <c r="AD254" s="74">
        <v>0</v>
      </c>
      <c r="AE254" s="74">
        <v>0</v>
      </c>
      <c r="AF254" s="74">
        <v>0</v>
      </c>
      <c r="AG254" s="90">
        <f t="shared" si="7"/>
        <v>10</v>
      </c>
      <c r="AH254" s="90">
        <f t="shared" si="8"/>
        <v>7</v>
      </c>
      <c r="AI254" s="90">
        <f t="shared" si="9"/>
        <v>3</v>
      </c>
    </row>
    <row r="255" spans="1:35" x14ac:dyDescent="0.35">
      <c r="C255" s="96">
        <v>46084</v>
      </c>
      <c r="D255" s="97">
        <v>9</v>
      </c>
      <c r="E255" s="97" t="s">
        <v>1003</v>
      </c>
      <c r="F255" s="10">
        <v>5</v>
      </c>
      <c r="G255" s="10">
        <v>1</v>
      </c>
      <c r="H255" s="10">
        <v>0</v>
      </c>
      <c r="I255" s="10">
        <v>0</v>
      </c>
      <c r="J255" s="74">
        <v>1</v>
      </c>
      <c r="K255" s="74">
        <v>0</v>
      </c>
      <c r="L255" s="74">
        <v>0</v>
      </c>
      <c r="M255" s="74">
        <v>0</v>
      </c>
      <c r="N255" s="74">
        <v>0</v>
      </c>
      <c r="O255" s="74">
        <v>0</v>
      </c>
      <c r="P255" s="74">
        <v>0</v>
      </c>
      <c r="Q255" s="74">
        <v>0</v>
      </c>
      <c r="R255" s="74">
        <v>0</v>
      </c>
      <c r="S255" s="97" t="s">
        <v>1002</v>
      </c>
      <c r="T255" s="10">
        <v>5</v>
      </c>
      <c r="U255" s="10">
        <v>3</v>
      </c>
      <c r="V255" s="10">
        <v>0</v>
      </c>
      <c r="W255" s="10">
        <v>0</v>
      </c>
      <c r="X255" s="74">
        <v>0</v>
      </c>
      <c r="Y255" s="74">
        <v>0</v>
      </c>
      <c r="Z255" s="74">
        <v>0</v>
      </c>
      <c r="AA255" s="74">
        <v>0</v>
      </c>
      <c r="AB255" s="74">
        <v>1</v>
      </c>
      <c r="AC255" s="74">
        <v>0</v>
      </c>
      <c r="AD255" s="74">
        <v>0</v>
      </c>
      <c r="AE255" s="74">
        <v>0</v>
      </c>
      <c r="AF255" s="74">
        <v>0</v>
      </c>
      <c r="AG255" s="90">
        <f t="shared" si="7"/>
        <v>16</v>
      </c>
      <c r="AH255" s="90">
        <f t="shared" si="8"/>
        <v>14</v>
      </c>
      <c r="AI255" s="90">
        <f t="shared" si="9"/>
        <v>2</v>
      </c>
    </row>
    <row r="256" spans="1:35" x14ac:dyDescent="0.35">
      <c r="C256" s="96">
        <v>46088</v>
      </c>
      <c r="D256" s="97">
        <v>9</v>
      </c>
      <c r="E256" s="97" t="s">
        <v>1019</v>
      </c>
      <c r="F256" s="10">
        <v>0</v>
      </c>
      <c r="G256" s="10">
        <v>0</v>
      </c>
      <c r="H256" s="10">
        <v>0</v>
      </c>
      <c r="I256" s="10">
        <v>1</v>
      </c>
      <c r="J256" s="74">
        <v>0</v>
      </c>
      <c r="K256" s="74">
        <v>1</v>
      </c>
      <c r="L256" s="74">
        <v>0</v>
      </c>
      <c r="M256" s="74">
        <v>1</v>
      </c>
      <c r="N256" s="74">
        <v>0</v>
      </c>
      <c r="O256" s="74">
        <v>0</v>
      </c>
      <c r="P256" s="74">
        <v>0</v>
      </c>
      <c r="Q256" s="74">
        <v>0</v>
      </c>
      <c r="R256" s="74">
        <v>0</v>
      </c>
      <c r="S256" s="97" t="s">
        <v>83</v>
      </c>
      <c r="T256" s="10">
        <v>5</v>
      </c>
      <c r="U256" s="10">
        <v>3</v>
      </c>
      <c r="V256" s="10">
        <v>0</v>
      </c>
      <c r="W256" s="10">
        <v>0</v>
      </c>
      <c r="X256" s="74">
        <v>0</v>
      </c>
      <c r="Y256" s="74">
        <v>0</v>
      </c>
      <c r="Z256" s="74">
        <v>0</v>
      </c>
      <c r="AA256" s="74">
        <v>0</v>
      </c>
      <c r="AB256" s="74">
        <v>0</v>
      </c>
      <c r="AC256" s="74">
        <v>0</v>
      </c>
      <c r="AD256" s="74">
        <v>0</v>
      </c>
      <c r="AE256" s="74">
        <v>0</v>
      </c>
      <c r="AF256" s="74">
        <v>0</v>
      </c>
      <c r="AG256" s="90">
        <f t="shared" si="7"/>
        <v>11</v>
      </c>
      <c r="AH256" s="90">
        <f t="shared" si="8"/>
        <v>9</v>
      </c>
      <c r="AI256" s="90">
        <f t="shared" si="9"/>
        <v>2</v>
      </c>
    </row>
    <row r="257" spans="1:35" x14ac:dyDescent="0.35">
      <c r="C257" s="96">
        <v>46091</v>
      </c>
      <c r="D257" s="97">
        <v>9</v>
      </c>
      <c r="E257" s="97" t="s">
        <v>1067</v>
      </c>
      <c r="F257" s="10">
        <v>1</v>
      </c>
      <c r="G257" s="10">
        <v>4</v>
      </c>
      <c r="H257" s="10">
        <v>0</v>
      </c>
      <c r="I257" s="10">
        <v>1</v>
      </c>
      <c r="J257" s="74">
        <v>0</v>
      </c>
      <c r="K257" s="74">
        <v>1</v>
      </c>
      <c r="L257" s="74">
        <v>0</v>
      </c>
      <c r="M257" s="74">
        <v>1</v>
      </c>
      <c r="N257" s="74">
        <v>0</v>
      </c>
      <c r="O257" s="74">
        <v>0</v>
      </c>
      <c r="P257" s="74">
        <v>0</v>
      </c>
      <c r="Q257" s="74">
        <v>0</v>
      </c>
      <c r="R257" s="74">
        <v>0</v>
      </c>
      <c r="S257" s="97" t="s">
        <v>1068</v>
      </c>
      <c r="T257" s="10">
        <v>6</v>
      </c>
      <c r="U257" s="10">
        <v>10</v>
      </c>
      <c r="V257" s="10">
        <v>0</v>
      </c>
      <c r="W257" s="10">
        <v>2</v>
      </c>
      <c r="X257" s="74">
        <v>0</v>
      </c>
      <c r="Y257" s="74">
        <v>0</v>
      </c>
      <c r="Z257" s="74">
        <v>0</v>
      </c>
      <c r="AA257" s="74">
        <v>0</v>
      </c>
      <c r="AB257" s="74">
        <v>0</v>
      </c>
      <c r="AC257" s="74">
        <v>0</v>
      </c>
      <c r="AD257" s="74">
        <v>0</v>
      </c>
      <c r="AE257" s="74">
        <v>0</v>
      </c>
      <c r="AF257" s="74">
        <v>0</v>
      </c>
      <c r="AG257" s="90">
        <f t="shared" si="7"/>
        <v>26</v>
      </c>
      <c r="AH257" s="90">
        <f t="shared" si="8"/>
        <v>24</v>
      </c>
      <c r="AI257" s="90">
        <f t="shared" si="9"/>
        <v>2</v>
      </c>
    </row>
    <row r="258" spans="1:35" ht="29" x14ac:dyDescent="0.35">
      <c r="C258" s="96">
        <v>46098</v>
      </c>
      <c r="D258" s="97">
        <v>9</v>
      </c>
      <c r="E258" s="99" t="s">
        <v>1103</v>
      </c>
      <c r="F258" s="10">
        <v>3</v>
      </c>
      <c r="G258" s="10">
        <v>8</v>
      </c>
      <c r="H258" s="10">
        <v>0</v>
      </c>
      <c r="I258" s="10">
        <v>2</v>
      </c>
      <c r="J258" s="74">
        <v>0</v>
      </c>
      <c r="K258" s="74">
        <v>1</v>
      </c>
      <c r="L258" s="74">
        <v>0</v>
      </c>
      <c r="M258" s="74">
        <v>1</v>
      </c>
      <c r="N258" s="74">
        <v>0</v>
      </c>
      <c r="O258" s="74">
        <v>0</v>
      </c>
      <c r="P258" s="74">
        <v>0</v>
      </c>
      <c r="Q258" s="74">
        <v>0</v>
      </c>
      <c r="R258" s="74">
        <v>0</v>
      </c>
      <c r="S258" s="97" t="s">
        <v>1102</v>
      </c>
      <c r="T258" s="10">
        <v>2</v>
      </c>
      <c r="U258" s="10">
        <v>6</v>
      </c>
      <c r="V258" s="10">
        <v>0</v>
      </c>
      <c r="W258" s="10">
        <v>4</v>
      </c>
      <c r="X258" s="74">
        <v>0</v>
      </c>
      <c r="Y258" s="74">
        <v>1</v>
      </c>
      <c r="Z258" s="74">
        <v>0</v>
      </c>
      <c r="AA258" s="74">
        <v>0</v>
      </c>
      <c r="AB258" s="74">
        <v>0</v>
      </c>
      <c r="AC258" s="74">
        <v>0</v>
      </c>
      <c r="AD258" s="74">
        <v>0</v>
      </c>
      <c r="AE258" s="74">
        <v>0</v>
      </c>
      <c r="AF258" s="74">
        <v>0</v>
      </c>
      <c r="AG258" s="90">
        <f t="shared" si="7"/>
        <v>28</v>
      </c>
      <c r="AH258" s="90">
        <f t="shared" si="8"/>
        <v>25</v>
      </c>
      <c r="AI258" s="90">
        <f t="shared" si="9"/>
        <v>3</v>
      </c>
    </row>
    <row r="259" spans="1:35" x14ac:dyDescent="0.35">
      <c r="C259" s="96">
        <v>46105</v>
      </c>
      <c r="D259" s="97">
        <v>9</v>
      </c>
      <c r="E259" s="97" t="s">
        <v>93</v>
      </c>
      <c r="F259" s="10">
        <v>3</v>
      </c>
      <c r="G259" s="10">
        <v>2</v>
      </c>
      <c r="H259" s="10">
        <v>0</v>
      </c>
      <c r="I259" s="10">
        <v>1</v>
      </c>
      <c r="J259" s="74">
        <v>0</v>
      </c>
      <c r="K259" s="74">
        <v>0</v>
      </c>
      <c r="L259" s="74">
        <v>0</v>
      </c>
      <c r="M259" s="74">
        <v>0</v>
      </c>
      <c r="N259" s="74">
        <v>0</v>
      </c>
      <c r="O259" s="74">
        <v>0</v>
      </c>
      <c r="P259" s="74">
        <v>0</v>
      </c>
      <c r="Q259" s="74">
        <v>0</v>
      </c>
      <c r="R259" s="74">
        <v>0</v>
      </c>
      <c r="S259" s="97" t="s">
        <v>1150</v>
      </c>
      <c r="T259" s="10">
        <v>5</v>
      </c>
      <c r="U259" s="10">
        <v>4</v>
      </c>
      <c r="V259" s="10">
        <v>0</v>
      </c>
      <c r="W259" s="10">
        <v>0</v>
      </c>
      <c r="X259" s="74">
        <v>0</v>
      </c>
      <c r="Y259" s="74">
        <v>0</v>
      </c>
      <c r="Z259" s="74">
        <v>0</v>
      </c>
      <c r="AA259" s="74">
        <v>0</v>
      </c>
      <c r="AB259" s="74">
        <v>0</v>
      </c>
      <c r="AC259" s="74">
        <v>1</v>
      </c>
      <c r="AD259" s="74">
        <v>1</v>
      </c>
      <c r="AE259" s="74">
        <v>0</v>
      </c>
      <c r="AF259" s="74">
        <v>0</v>
      </c>
      <c r="AG259" s="90">
        <f t="shared" si="7"/>
        <v>17</v>
      </c>
      <c r="AH259" s="90">
        <f t="shared" si="8"/>
        <v>15</v>
      </c>
      <c r="AI259" s="90">
        <f t="shared" si="9"/>
        <v>2</v>
      </c>
    </row>
    <row r="260" spans="1:35" ht="29" x14ac:dyDescent="0.35">
      <c r="C260" s="96">
        <v>46112</v>
      </c>
      <c r="D260" s="97">
        <v>9</v>
      </c>
      <c r="E260" s="99" t="s">
        <v>1060</v>
      </c>
      <c r="F260" s="10">
        <v>4</v>
      </c>
      <c r="G260" s="10">
        <v>6</v>
      </c>
      <c r="H260" s="10">
        <v>2</v>
      </c>
      <c r="I260" s="10">
        <v>1</v>
      </c>
      <c r="J260" s="74">
        <v>0</v>
      </c>
      <c r="K260" s="74">
        <v>0</v>
      </c>
      <c r="L260" s="74">
        <v>0</v>
      </c>
      <c r="M260" s="74">
        <v>0</v>
      </c>
      <c r="N260" s="74">
        <v>0</v>
      </c>
      <c r="O260" s="74">
        <v>0</v>
      </c>
      <c r="P260" s="74">
        <v>0</v>
      </c>
      <c r="Q260" s="74">
        <v>0</v>
      </c>
      <c r="R260" s="74">
        <v>0</v>
      </c>
      <c r="S260" s="99" t="s">
        <v>1183</v>
      </c>
      <c r="T260" s="10">
        <v>4</v>
      </c>
      <c r="U260" s="10">
        <v>6</v>
      </c>
      <c r="V260" s="10">
        <v>0</v>
      </c>
      <c r="W260" s="10">
        <v>2</v>
      </c>
      <c r="X260" s="74">
        <v>0</v>
      </c>
      <c r="Y260" s="74">
        <v>1</v>
      </c>
      <c r="Z260" s="74">
        <v>0</v>
      </c>
      <c r="AA260" s="74">
        <v>1</v>
      </c>
      <c r="AB260" s="74">
        <v>0</v>
      </c>
      <c r="AC260" s="74">
        <v>0</v>
      </c>
      <c r="AD260" s="74">
        <v>0</v>
      </c>
      <c r="AE260" s="74">
        <v>0</v>
      </c>
      <c r="AF260" s="74">
        <v>0</v>
      </c>
      <c r="AG260" s="90">
        <f t="shared" si="7"/>
        <v>27</v>
      </c>
      <c r="AH260" s="90">
        <f t="shared" si="8"/>
        <v>25</v>
      </c>
      <c r="AI260" s="90">
        <f t="shared" si="9"/>
        <v>2</v>
      </c>
    </row>
    <row r="262" spans="1:35" x14ac:dyDescent="0.35">
      <c r="A262" s="93">
        <v>13</v>
      </c>
      <c r="B262" s="137" t="s">
        <v>813</v>
      </c>
      <c r="C262" s="96">
        <v>46049</v>
      </c>
      <c r="D262" s="97">
        <v>10</v>
      </c>
      <c r="E262" s="97" t="s">
        <v>55</v>
      </c>
      <c r="F262" s="10">
        <v>0</v>
      </c>
      <c r="G262" s="10">
        <v>0</v>
      </c>
      <c r="H262" s="10">
        <v>0</v>
      </c>
      <c r="I262" s="10">
        <v>0</v>
      </c>
      <c r="J262" s="74">
        <v>0</v>
      </c>
      <c r="K262" s="74">
        <v>0</v>
      </c>
      <c r="L262" s="74">
        <v>0</v>
      </c>
      <c r="M262" s="74">
        <v>0</v>
      </c>
      <c r="N262" s="74">
        <v>0</v>
      </c>
      <c r="O262" s="74">
        <v>0</v>
      </c>
      <c r="P262" s="74">
        <v>0</v>
      </c>
      <c r="Q262" s="74">
        <v>0</v>
      </c>
      <c r="R262" s="74">
        <v>0</v>
      </c>
      <c r="S262" s="97" t="s">
        <v>812</v>
      </c>
      <c r="T262" s="10">
        <v>5</v>
      </c>
      <c r="U262" s="10">
        <v>3</v>
      </c>
      <c r="V262" s="10">
        <v>0</v>
      </c>
      <c r="W262" s="10">
        <v>0</v>
      </c>
      <c r="X262" s="74">
        <v>0</v>
      </c>
      <c r="Y262" s="74">
        <v>0</v>
      </c>
      <c r="Z262" s="74">
        <v>0</v>
      </c>
      <c r="AA262" s="74">
        <v>0</v>
      </c>
      <c r="AB262" s="74">
        <v>0</v>
      </c>
      <c r="AC262" s="74">
        <v>1</v>
      </c>
      <c r="AD262" s="74">
        <v>0</v>
      </c>
      <c r="AE262" s="74">
        <v>0</v>
      </c>
      <c r="AF262" s="74">
        <v>0</v>
      </c>
      <c r="AG262" s="90">
        <f t="shared" si="7"/>
        <v>9</v>
      </c>
      <c r="AH262" s="90">
        <f t="shared" si="8"/>
        <v>8</v>
      </c>
      <c r="AI262" s="90">
        <f t="shared" si="9"/>
        <v>1</v>
      </c>
    </row>
    <row r="263" spans="1:35" x14ac:dyDescent="0.35">
      <c r="C263" s="96">
        <v>46052</v>
      </c>
      <c r="D263" s="97">
        <v>10</v>
      </c>
      <c r="E263" s="97" t="s">
        <v>130</v>
      </c>
      <c r="F263" s="10">
        <v>2</v>
      </c>
      <c r="G263" s="10">
        <v>0</v>
      </c>
      <c r="H263" s="10">
        <v>0</v>
      </c>
      <c r="I263" s="10">
        <v>0</v>
      </c>
      <c r="J263" s="74">
        <v>0</v>
      </c>
      <c r="K263" s="74">
        <v>0</v>
      </c>
      <c r="L263" s="74">
        <v>0</v>
      </c>
      <c r="M263" s="74">
        <v>1</v>
      </c>
      <c r="N263" s="74">
        <v>0</v>
      </c>
      <c r="O263" s="74">
        <v>0</v>
      </c>
      <c r="P263" s="74">
        <v>0</v>
      </c>
      <c r="Q263" s="74">
        <v>0</v>
      </c>
      <c r="R263" s="74">
        <v>0</v>
      </c>
      <c r="S263" s="97" t="s">
        <v>235</v>
      </c>
      <c r="T263" s="10">
        <v>6</v>
      </c>
      <c r="U263" s="10">
        <v>1</v>
      </c>
      <c r="V263" s="10">
        <v>0</v>
      </c>
      <c r="W263" s="10">
        <v>0</v>
      </c>
      <c r="X263" s="74">
        <v>0</v>
      </c>
      <c r="Y263" s="74">
        <v>0</v>
      </c>
      <c r="Z263" s="74">
        <v>0</v>
      </c>
      <c r="AA263" s="74">
        <v>0</v>
      </c>
      <c r="AB263" s="74">
        <v>0</v>
      </c>
      <c r="AC263" s="74">
        <v>0</v>
      </c>
      <c r="AD263" s="74">
        <v>0</v>
      </c>
      <c r="AE263" s="74">
        <v>0</v>
      </c>
      <c r="AF263" s="74">
        <v>0</v>
      </c>
      <c r="AG263" s="90">
        <f t="shared" si="7"/>
        <v>10</v>
      </c>
      <c r="AH263" s="90">
        <f t="shared" si="8"/>
        <v>9</v>
      </c>
      <c r="AI263" s="90">
        <f t="shared" si="9"/>
        <v>1</v>
      </c>
    </row>
    <row r="264" spans="1:35" x14ac:dyDescent="0.35">
      <c r="C264" s="96">
        <v>46056</v>
      </c>
      <c r="D264" s="97">
        <v>10</v>
      </c>
      <c r="E264" s="97" t="s">
        <v>837</v>
      </c>
      <c r="F264" s="10">
        <v>4</v>
      </c>
      <c r="G264" s="10">
        <v>1</v>
      </c>
      <c r="H264" s="10">
        <v>0</v>
      </c>
      <c r="I264" s="10">
        <v>2</v>
      </c>
      <c r="J264" s="74">
        <v>0</v>
      </c>
      <c r="K264" s="74">
        <v>1</v>
      </c>
      <c r="L264" s="74">
        <v>0</v>
      </c>
      <c r="M264" s="74">
        <v>0</v>
      </c>
      <c r="N264" s="74">
        <v>0</v>
      </c>
      <c r="O264" s="74">
        <v>0</v>
      </c>
      <c r="P264" s="74">
        <v>0</v>
      </c>
      <c r="Q264" s="74">
        <v>0</v>
      </c>
      <c r="R264" s="74">
        <v>0</v>
      </c>
      <c r="S264" s="97" t="s">
        <v>838</v>
      </c>
      <c r="T264" s="10">
        <v>5</v>
      </c>
      <c r="U264" s="10">
        <v>4</v>
      </c>
      <c r="V264" s="10">
        <v>0</v>
      </c>
      <c r="W264" s="10">
        <v>0</v>
      </c>
      <c r="X264" s="74">
        <v>0</v>
      </c>
      <c r="Y264" s="74">
        <v>0</v>
      </c>
      <c r="Z264" s="74">
        <v>0</v>
      </c>
      <c r="AA264" s="74">
        <v>0</v>
      </c>
      <c r="AB264" s="74">
        <v>0</v>
      </c>
      <c r="AC264" s="74">
        <v>0</v>
      </c>
      <c r="AD264" s="74">
        <v>0</v>
      </c>
      <c r="AE264" s="74">
        <v>0</v>
      </c>
      <c r="AF264" s="74">
        <v>0</v>
      </c>
      <c r="AG264" s="90">
        <f t="shared" si="7"/>
        <v>17</v>
      </c>
      <c r="AH264" s="90">
        <f t="shared" si="8"/>
        <v>16</v>
      </c>
      <c r="AI264" s="90">
        <f t="shared" si="9"/>
        <v>1</v>
      </c>
    </row>
    <row r="265" spans="1:35" x14ac:dyDescent="0.35">
      <c r="C265" s="96">
        <v>46059</v>
      </c>
      <c r="D265" s="97">
        <v>10</v>
      </c>
      <c r="E265" s="97" t="s">
        <v>410</v>
      </c>
      <c r="F265" s="10">
        <v>4</v>
      </c>
      <c r="G265" s="10">
        <v>0</v>
      </c>
      <c r="H265" s="10">
        <v>0</v>
      </c>
      <c r="I265" s="10">
        <v>0</v>
      </c>
      <c r="J265" s="74">
        <v>0</v>
      </c>
      <c r="K265" s="74">
        <v>0</v>
      </c>
      <c r="L265" s="74">
        <v>0</v>
      </c>
      <c r="M265" s="74">
        <v>0</v>
      </c>
      <c r="N265" s="74">
        <v>0</v>
      </c>
      <c r="O265" s="74">
        <v>1</v>
      </c>
      <c r="P265" s="74">
        <v>0</v>
      </c>
      <c r="Q265" s="74">
        <v>0</v>
      </c>
      <c r="R265" s="74">
        <v>0</v>
      </c>
      <c r="S265" s="97" t="s">
        <v>859</v>
      </c>
      <c r="T265" s="10">
        <v>10</v>
      </c>
      <c r="U265" s="10">
        <v>1</v>
      </c>
      <c r="V265" s="10">
        <v>0</v>
      </c>
      <c r="W265" s="10">
        <v>0</v>
      </c>
      <c r="X265" s="74">
        <v>0</v>
      </c>
      <c r="Y265" s="74">
        <v>0</v>
      </c>
      <c r="Z265" s="74">
        <v>0</v>
      </c>
      <c r="AA265" s="74">
        <v>0</v>
      </c>
      <c r="AB265" s="74">
        <v>0</v>
      </c>
      <c r="AC265" s="74">
        <v>0</v>
      </c>
      <c r="AD265" s="74">
        <v>0</v>
      </c>
      <c r="AE265" s="74">
        <v>0</v>
      </c>
      <c r="AF265" s="74">
        <v>0</v>
      </c>
      <c r="AG265" s="90">
        <f t="shared" si="7"/>
        <v>16</v>
      </c>
      <c r="AH265" s="90">
        <f t="shared" si="8"/>
        <v>15</v>
      </c>
      <c r="AI265" s="90">
        <f t="shared" si="9"/>
        <v>1</v>
      </c>
    </row>
    <row r="266" spans="1:35" x14ac:dyDescent="0.35">
      <c r="C266" s="96">
        <v>46062</v>
      </c>
      <c r="D266" s="97">
        <v>10</v>
      </c>
      <c r="E266" s="97" t="s">
        <v>875</v>
      </c>
      <c r="F266" s="10">
        <v>5</v>
      </c>
      <c r="G266" s="10">
        <v>0</v>
      </c>
      <c r="H266" s="10">
        <v>0</v>
      </c>
      <c r="I266" s="10">
        <v>0</v>
      </c>
      <c r="J266" s="74">
        <v>0</v>
      </c>
      <c r="K266" s="74">
        <v>0</v>
      </c>
      <c r="L266" s="74">
        <v>0</v>
      </c>
      <c r="M266" s="74">
        <v>0</v>
      </c>
      <c r="N266" s="74">
        <v>0</v>
      </c>
      <c r="O266" s="74">
        <v>1</v>
      </c>
      <c r="P266" s="74">
        <v>0</v>
      </c>
      <c r="Q266" s="74">
        <v>0</v>
      </c>
      <c r="R266" s="74">
        <v>0</v>
      </c>
      <c r="S266" s="97" t="s">
        <v>874</v>
      </c>
      <c r="T266" s="10">
        <v>15</v>
      </c>
      <c r="U266" s="10">
        <v>0</v>
      </c>
      <c r="V266" s="10">
        <v>0</v>
      </c>
      <c r="W266" s="10">
        <v>0</v>
      </c>
      <c r="X266" s="74">
        <v>0</v>
      </c>
      <c r="Y266" s="74">
        <v>0</v>
      </c>
      <c r="Z266" s="74">
        <v>0</v>
      </c>
      <c r="AA266" s="74">
        <v>0</v>
      </c>
      <c r="AB266" s="74">
        <v>0</v>
      </c>
      <c r="AC266" s="74">
        <v>0</v>
      </c>
      <c r="AD266" s="74">
        <v>0</v>
      </c>
      <c r="AE266" s="74">
        <v>0</v>
      </c>
      <c r="AF266" s="74">
        <v>0</v>
      </c>
      <c r="AG266" s="90">
        <f t="shared" si="7"/>
        <v>21</v>
      </c>
      <c r="AH266" s="90">
        <f t="shared" si="8"/>
        <v>20</v>
      </c>
      <c r="AI266" s="90">
        <f t="shared" si="9"/>
        <v>1</v>
      </c>
    </row>
    <row r="267" spans="1:35" x14ac:dyDescent="0.35">
      <c r="C267" s="96">
        <v>46066</v>
      </c>
      <c r="D267" s="97">
        <v>10</v>
      </c>
      <c r="E267" s="97" t="s">
        <v>319</v>
      </c>
      <c r="F267" s="10">
        <v>0</v>
      </c>
      <c r="G267" s="10">
        <v>0</v>
      </c>
      <c r="H267" s="10">
        <v>0</v>
      </c>
      <c r="I267" s="10">
        <v>0</v>
      </c>
      <c r="J267" s="74">
        <v>0</v>
      </c>
      <c r="K267" s="74">
        <v>0</v>
      </c>
      <c r="L267" s="74">
        <v>0</v>
      </c>
      <c r="M267" s="74">
        <v>0</v>
      </c>
      <c r="N267" s="74">
        <v>0</v>
      </c>
      <c r="O267" s="74">
        <v>0</v>
      </c>
      <c r="P267" s="74">
        <v>0</v>
      </c>
      <c r="Q267" s="74">
        <v>0</v>
      </c>
      <c r="R267" s="74">
        <v>0</v>
      </c>
      <c r="S267" s="97" t="s">
        <v>410</v>
      </c>
      <c r="T267" s="10">
        <v>4</v>
      </c>
      <c r="U267" s="10">
        <v>0</v>
      </c>
      <c r="V267" s="10">
        <v>0</v>
      </c>
      <c r="W267" s="10">
        <v>0</v>
      </c>
      <c r="X267" s="74">
        <v>0</v>
      </c>
      <c r="Y267" s="74">
        <v>0</v>
      </c>
      <c r="Z267" s="74">
        <v>0</v>
      </c>
      <c r="AA267" s="74">
        <v>0</v>
      </c>
      <c r="AB267" s="74">
        <v>0</v>
      </c>
      <c r="AC267" s="74">
        <v>1</v>
      </c>
      <c r="AD267" s="74">
        <v>0</v>
      </c>
      <c r="AE267" s="74">
        <v>0</v>
      </c>
      <c r="AF267" s="74">
        <v>0</v>
      </c>
      <c r="AG267" s="90">
        <f t="shared" si="7"/>
        <v>5</v>
      </c>
      <c r="AH267" s="90">
        <f t="shared" si="8"/>
        <v>4</v>
      </c>
      <c r="AI267" s="90">
        <f t="shared" si="9"/>
        <v>1</v>
      </c>
    </row>
    <row r="268" spans="1:35" x14ac:dyDescent="0.35">
      <c r="C268" s="96">
        <v>46070</v>
      </c>
      <c r="D268" s="97">
        <v>10</v>
      </c>
      <c r="E268" s="97" t="s">
        <v>902</v>
      </c>
      <c r="F268" s="10">
        <v>8</v>
      </c>
      <c r="G268" s="10">
        <v>0</v>
      </c>
      <c r="H268" s="10">
        <v>0</v>
      </c>
      <c r="I268" s="10">
        <v>0</v>
      </c>
      <c r="J268" s="74">
        <v>0</v>
      </c>
      <c r="K268" s="74">
        <v>0</v>
      </c>
      <c r="L268" s="74">
        <v>0</v>
      </c>
      <c r="M268" s="74">
        <v>0</v>
      </c>
      <c r="N268" s="74">
        <v>0</v>
      </c>
      <c r="O268" s="74">
        <v>0</v>
      </c>
      <c r="P268" s="74">
        <v>0</v>
      </c>
      <c r="Q268" s="74">
        <v>0</v>
      </c>
      <c r="R268" s="74">
        <v>0</v>
      </c>
      <c r="S268" s="97" t="s">
        <v>220</v>
      </c>
      <c r="T268" s="10">
        <v>3</v>
      </c>
      <c r="U268" s="10">
        <v>0</v>
      </c>
      <c r="V268" s="10">
        <v>0</v>
      </c>
      <c r="W268" s="10">
        <v>0</v>
      </c>
      <c r="X268" s="74">
        <v>0</v>
      </c>
      <c r="Y268" s="74">
        <v>1</v>
      </c>
      <c r="Z268" s="74">
        <v>0</v>
      </c>
      <c r="AA268" s="74">
        <v>0</v>
      </c>
      <c r="AB268" s="74">
        <v>0</v>
      </c>
      <c r="AC268" s="74">
        <v>0</v>
      </c>
      <c r="AD268" s="74">
        <v>0</v>
      </c>
      <c r="AE268" s="74">
        <v>0</v>
      </c>
      <c r="AF268" s="74">
        <v>0</v>
      </c>
      <c r="AG268" s="90">
        <f t="shared" si="7"/>
        <v>12</v>
      </c>
      <c r="AH268" s="90">
        <f t="shared" si="8"/>
        <v>11</v>
      </c>
      <c r="AI268" s="90">
        <f t="shared" si="9"/>
        <v>1</v>
      </c>
    </row>
    <row r="270" spans="1:35" x14ac:dyDescent="0.35">
      <c r="A270" s="93">
        <v>14</v>
      </c>
      <c r="B270" s="95" t="s">
        <v>814</v>
      </c>
      <c r="C270" s="96">
        <v>46052</v>
      </c>
      <c r="D270" s="97">
        <v>14</v>
      </c>
      <c r="E270" s="97" t="s">
        <v>830</v>
      </c>
      <c r="F270" s="10">
        <v>0</v>
      </c>
      <c r="G270" s="10">
        <v>2</v>
      </c>
      <c r="H270" s="10">
        <v>1</v>
      </c>
      <c r="I270" s="10">
        <v>0</v>
      </c>
      <c r="J270" s="74">
        <v>1</v>
      </c>
      <c r="K270" s="74">
        <v>0</v>
      </c>
      <c r="L270" s="74">
        <v>0</v>
      </c>
      <c r="M270" s="74">
        <v>0</v>
      </c>
      <c r="N270" s="74">
        <v>0</v>
      </c>
      <c r="O270" s="74">
        <v>0</v>
      </c>
      <c r="P270" s="74">
        <v>0</v>
      </c>
      <c r="Q270" s="74">
        <v>0</v>
      </c>
      <c r="R270" s="74">
        <v>0</v>
      </c>
      <c r="S270" s="97" t="s">
        <v>817</v>
      </c>
      <c r="T270" s="10">
        <v>4</v>
      </c>
      <c r="U270" s="10">
        <v>0</v>
      </c>
      <c r="V270" s="10">
        <v>0</v>
      </c>
      <c r="W270" s="10">
        <v>0</v>
      </c>
      <c r="X270" s="74">
        <v>0</v>
      </c>
      <c r="Y270" s="74">
        <v>0</v>
      </c>
      <c r="Z270" s="74">
        <v>0</v>
      </c>
      <c r="AA270" s="74">
        <v>0</v>
      </c>
      <c r="AB270" s="74">
        <v>0</v>
      </c>
      <c r="AC270" s="74">
        <v>0</v>
      </c>
      <c r="AD270" s="74">
        <v>0</v>
      </c>
      <c r="AE270" s="74">
        <v>0</v>
      </c>
      <c r="AF270" s="74">
        <v>0</v>
      </c>
      <c r="AG270" s="90">
        <f t="shared" si="7"/>
        <v>8</v>
      </c>
      <c r="AH270" s="90">
        <f t="shared" si="8"/>
        <v>7</v>
      </c>
      <c r="AI270" s="90">
        <f t="shared" si="9"/>
        <v>1</v>
      </c>
    </row>
    <row r="271" spans="1:35" x14ac:dyDescent="0.35">
      <c r="C271" s="96">
        <v>46056</v>
      </c>
      <c r="D271" s="97">
        <v>14</v>
      </c>
      <c r="E271" s="97" t="s">
        <v>839</v>
      </c>
      <c r="F271" s="10">
        <v>8</v>
      </c>
      <c r="G271" s="10">
        <v>3</v>
      </c>
      <c r="H271" s="10">
        <v>0</v>
      </c>
      <c r="I271" s="10">
        <v>1</v>
      </c>
      <c r="J271" s="74">
        <v>0</v>
      </c>
      <c r="K271" s="74">
        <v>0</v>
      </c>
      <c r="L271" s="74">
        <v>0</v>
      </c>
      <c r="M271" s="74">
        <v>0</v>
      </c>
      <c r="N271" s="74">
        <v>0</v>
      </c>
      <c r="O271" s="74">
        <v>0</v>
      </c>
      <c r="P271" s="74">
        <v>0</v>
      </c>
      <c r="Q271" s="74">
        <v>0</v>
      </c>
      <c r="R271" s="74">
        <v>0</v>
      </c>
      <c r="S271" s="97" t="s">
        <v>150</v>
      </c>
      <c r="T271" s="10">
        <v>2</v>
      </c>
      <c r="U271" s="10">
        <v>0</v>
      </c>
      <c r="V271" s="10">
        <v>0</v>
      </c>
      <c r="W271" s="10">
        <v>1</v>
      </c>
      <c r="X271" s="74">
        <v>0</v>
      </c>
      <c r="Y271" s="74">
        <v>1</v>
      </c>
      <c r="Z271" s="74">
        <v>0</v>
      </c>
      <c r="AA271" s="74">
        <v>0</v>
      </c>
      <c r="AB271" s="74">
        <v>0</v>
      </c>
      <c r="AC271" s="74">
        <v>0</v>
      </c>
      <c r="AD271" s="74">
        <v>0</v>
      </c>
      <c r="AE271" s="74">
        <v>0</v>
      </c>
      <c r="AF271" s="74">
        <v>0</v>
      </c>
      <c r="AG271" s="90">
        <f t="shared" si="7"/>
        <v>16</v>
      </c>
      <c r="AH271" s="90">
        <f t="shared" si="8"/>
        <v>15</v>
      </c>
      <c r="AI271" s="90">
        <f t="shared" si="9"/>
        <v>1</v>
      </c>
    </row>
    <row r="272" spans="1:35" x14ac:dyDescent="0.35">
      <c r="C272" s="96">
        <v>46059</v>
      </c>
      <c r="D272" s="97">
        <v>14</v>
      </c>
      <c r="E272" s="97" t="s">
        <v>857</v>
      </c>
      <c r="F272" s="10">
        <v>1</v>
      </c>
      <c r="G272" s="10">
        <v>2</v>
      </c>
      <c r="H272" s="10">
        <v>0</v>
      </c>
      <c r="I272" s="10">
        <v>0</v>
      </c>
      <c r="J272" s="74">
        <v>0</v>
      </c>
      <c r="K272" s="74">
        <v>0</v>
      </c>
      <c r="L272" s="74">
        <v>0</v>
      </c>
      <c r="M272" s="74">
        <v>0</v>
      </c>
      <c r="N272" s="74">
        <v>0</v>
      </c>
      <c r="O272" s="74">
        <v>1</v>
      </c>
      <c r="P272" s="74">
        <v>0</v>
      </c>
      <c r="Q272" s="74">
        <v>0</v>
      </c>
      <c r="R272" s="74">
        <v>0</v>
      </c>
      <c r="S272" s="97" t="s">
        <v>856</v>
      </c>
      <c r="T272" s="10">
        <v>5</v>
      </c>
      <c r="U272" s="10">
        <v>1</v>
      </c>
      <c r="V272" s="10">
        <v>0</v>
      </c>
      <c r="W272" s="10">
        <v>2</v>
      </c>
      <c r="X272" s="74">
        <v>0</v>
      </c>
      <c r="Y272" s="74">
        <v>0</v>
      </c>
      <c r="Z272" s="74">
        <v>0</v>
      </c>
      <c r="AA272" s="74">
        <v>0</v>
      </c>
      <c r="AB272" s="74">
        <v>0</v>
      </c>
      <c r="AC272" s="74">
        <v>0</v>
      </c>
      <c r="AD272" s="74">
        <v>0</v>
      </c>
      <c r="AE272" s="74">
        <v>0</v>
      </c>
      <c r="AF272" s="74">
        <v>0</v>
      </c>
      <c r="AG272" s="90">
        <f t="shared" si="7"/>
        <v>12</v>
      </c>
      <c r="AH272" s="90">
        <f t="shared" si="8"/>
        <v>11</v>
      </c>
      <c r="AI272" s="90">
        <f t="shared" si="9"/>
        <v>1</v>
      </c>
    </row>
    <row r="273" spans="1:35" ht="29" x14ac:dyDescent="0.35">
      <c r="C273" s="96">
        <v>46062</v>
      </c>
      <c r="D273" s="97">
        <v>14</v>
      </c>
      <c r="E273" s="99" t="s">
        <v>871</v>
      </c>
      <c r="F273" s="10">
        <v>2</v>
      </c>
      <c r="G273" s="10">
        <v>2</v>
      </c>
      <c r="H273" s="10">
        <v>0</v>
      </c>
      <c r="I273" s="10">
        <v>0</v>
      </c>
      <c r="J273" s="74">
        <v>0</v>
      </c>
      <c r="K273" s="74">
        <v>0</v>
      </c>
      <c r="L273" s="74">
        <v>0</v>
      </c>
      <c r="M273" s="74">
        <v>0</v>
      </c>
      <c r="N273" s="74">
        <v>0</v>
      </c>
      <c r="O273" s="74">
        <v>0</v>
      </c>
      <c r="P273" s="74">
        <v>0</v>
      </c>
      <c r="Q273" s="74">
        <v>0</v>
      </c>
      <c r="R273" s="74">
        <v>0</v>
      </c>
      <c r="S273" s="97" t="s">
        <v>872</v>
      </c>
      <c r="T273" s="10">
        <v>0</v>
      </c>
      <c r="U273" s="10">
        <v>0</v>
      </c>
      <c r="V273" s="10">
        <v>2</v>
      </c>
      <c r="W273" s="10">
        <v>0</v>
      </c>
      <c r="X273" s="74">
        <v>0</v>
      </c>
      <c r="Y273" s="74">
        <v>1</v>
      </c>
      <c r="Z273" s="74">
        <v>0</v>
      </c>
      <c r="AA273" s="74">
        <v>0</v>
      </c>
      <c r="AB273" s="74">
        <v>0</v>
      </c>
      <c r="AC273" s="74">
        <v>0</v>
      </c>
      <c r="AD273" s="74">
        <v>0</v>
      </c>
      <c r="AE273" s="74">
        <v>0</v>
      </c>
      <c r="AF273" s="74">
        <v>0</v>
      </c>
      <c r="AG273" s="90">
        <f t="shared" si="7"/>
        <v>7</v>
      </c>
      <c r="AH273" s="90">
        <f t="shared" si="8"/>
        <v>6</v>
      </c>
      <c r="AI273" s="90">
        <f t="shared" si="9"/>
        <v>1</v>
      </c>
    </row>
    <row r="274" spans="1:35" x14ac:dyDescent="0.35">
      <c r="C274" s="96">
        <v>46066</v>
      </c>
      <c r="D274" s="97">
        <v>14</v>
      </c>
      <c r="E274" s="97" t="s">
        <v>92</v>
      </c>
      <c r="F274" s="10">
        <v>5</v>
      </c>
      <c r="G274" s="10">
        <v>0</v>
      </c>
      <c r="H274" s="10">
        <v>0</v>
      </c>
      <c r="I274" s="10">
        <v>0</v>
      </c>
      <c r="J274" s="74">
        <v>0</v>
      </c>
      <c r="K274" s="74">
        <v>1</v>
      </c>
      <c r="L274" s="74">
        <v>0</v>
      </c>
      <c r="M274" s="74">
        <v>0</v>
      </c>
      <c r="N274" s="74">
        <v>0</v>
      </c>
      <c r="O274" s="74">
        <v>0</v>
      </c>
      <c r="P274" s="74">
        <v>0</v>
      </c>
      <c r="Q274" s="74">
        <v>0</v>
      </c>
      <c r="R274" s="74">
        <v>0</v>
      </c>
      <c r="S274" s="97" t="s">
        <v>741</v>
      </c>
      <c r="T274" s="10">
        <v>3</v>
      </c>
      <c r="U274" s="10">
        <v>1</v>
      </c>
      <c r="V274" s="10">
        <v>0</v>
      </c>
      <c r="W274" s="10">
        <v>0</v>
      </c>
      <c r="X274" s="74">
        <v>0</v>
      </c>
      <c r="Y274" s="74">
        <v>0</v>
      </c>
      <c r="Z274" s="74">
        <v>0</v>
      </c>
      <c r="AA274" s="74">
        <v>1</v>
      </c>
      <c r="AB274" s="74">
        <v>0</v>
      </c>
      <c r="AC274" s="74">
        <v>0</v>
      </c>
      <c r="AD274" s="74">
        <v>0</v>
      </c>
      <c r="AE274" s="74">
        <v>0</v>
      </c>
      <c r="AF274" s="74">
        <v>0</v>
      </c>
      <c r="AG274" s="90">
        <f t="shared" si="7"/>
        <v>11</v>
      </c>
      <c r="AH274" s="90">
        <f t="shared" si="8"/>
        <v>9</v>
      </c>
      <c r="AI274" s="90">
        <f t="shared" si="9"/>
        <v>2</v>
      </c>
    </row>
    <row r="275" spans="1:35" x14ac:dyDescent="0.35">
      <c r="C275" s="96">
        <v>46070</v>
      </c>
      <c r="D275" s="97">
        <v>14</v>
      </c>
      <c r="E275" s="97" t="s">
        <v>910</v>
      </c>
      <c r="F275" s="10">
        <v>4</v>
      </c>
      <c r="G275" s="10">
        <v>4</v>
      </c>
      <c r="H275" s="10">
        <v>0</v>
      </c>
      <c r="I275" s="10">
        <v>0</v>
      </c>
      <c r="J275" s="74">
        <v>0</v>
      </c>
      <c r="K275" s="74">
        <v>2</v>
      </c>
      <c r="L275" s="74">
        <v>0</v>
      </c>
      <c r="M275" s="74">
        <v>1</v>
      </c>
      <c r="N275" s="74">
        <v>0</v>
      </c>
      <c r="O275" s="74">
        <v>0</v>
      </c>
      <c r="P275" s="74">
        <v>0</v>
      </c>
      <c r="Q275" s="74">
        <v>0</v>
      </c>
      <c r="R275" s="74">
        <v>0</v>
      </c>
      <c r="S275" s="97" t="s">
        <v>909</v>
      </c>
      <c r="T275" s="10">
        <v>4</v>
      </c>
      <c r="U275" s="10">
        <v>6</v>
      </c>
      <c r="V275" s="10">
        <v>0</v>
      </c>
      <c r="W275" s="10">
        <v>3</v>
      </c>
      <c r="X275" s="74">
        <v>0</v>
      </c>
      <c r="Y275" s="74">
        <v>0</v>
      </c>
      <c r="Z275" s="74">
        <v>0</v>
      </c>
      <c r="AA275" s="74">
        <v>0</v>
      </c>
      <c r="AB275" s="74">
        <v>0</v>
      </c>
      <c r="AC275" s="74">
        <v>0</v>
      </c>
      <c r="AD275" s="74">
        <v>0</v>
      </c>
      <c r="AE275" s="74">
        <v>0</v>
      </c>
      <c r="AF275" s="74">
        <v>0</v>
      </c>
      <c r="AG275" s="90">
        <f t="shared" si="7"/>
        <v>24</v>
      </c>
      <c r="AH275" s="90">
        <f t="shared" si="8"/>
        <v>21</v>
      </c>
      <c r="AI275" s="90">
        <f t="shared" si="9"/>
        <v>3</v>
      </c>
    </row>
    <row r="276" spans="1:35" x14ac:dyDescent="0.35">
      <c r="C276" s="96">
        <v>46074</v>
      </c>
      <c r="D276" s="97">
        <v>14</v>
      </c>
      <c r="E276" s="97" t="s">
        <v>927</v>
      </c>
      <c r="F276" s="10">
        <v>3</v>
      </c>
      <c r="G276" s="10">
        <v>3</v>
      </c>
      <c r="H276" s="10">
        <v>0</v>
      </c>
      <c r="I276" s="10">
        <v>2</v>
      </c>
      <c r="J276" s="74">
        <v>0</v>
      </c>
      <c r="K276" s="74">
        <v>2</v>
      </c>
      <c r="L276" s="74">
        <v>0</v>
      </c>
      <c r="M276" s="74">
        <v>0</v>
      </c>
      <c r="N276" s="74">
        <v>0</v>
      </c>
      <c r="O276" s="74">
        <v>0</v>
      </c>
      <c r="P276" s="74">
        <v>0</v>
      </c>
      <c r="Q276" s="74">
        <v>0</v>
      </c>
      <c r="R276" s="74">
        <v>0</v>
      </c>
      <c r="S276" s="97" t="s">
        <v>928</v>
      </c>
      <c r="T276" s="10">
        <v>4</v>
      </c>
      <c r="U276" s="10">
        <v>1</v>
      </c>
      <c r="V276" s="10">
        <v>0</v>
      </c>
      <c r="W276" s="10">
        <v>1</v>
      </c>
      <c r="X276" s="74">
        <v>0</v>
      </c>
      <c r="Y276" s="74">
        <v>1</v>
      </c>
      <c r="Z276" s="74">
        <v>0</v>
      </c>
      <c r="AA276" s="74">
        <v>0</v>
      </c>
      <c r="AB276" s="74">
        <v>0</v>
      </c>
      <c r="AC276" s="74">
        <v>0</v>
      </c>
      <c r="AD276" s="74">
        <v>0</v>
      </c>
      <c r="AE276" s="74">
        <v>0</v>
      </c>
      <c r="AF276" s="74">
        <v>0</v>
      </c>
      <c r="AG276" s="90">
        <f t="shared" si="7"/>
        <v>17</v>
      </c>
      <c r="AH276" s="90">
        <f t="shared" si="8"/>
        <v>14</v>
      </c>
      <c r="AI276" s="90">
        <f t="shared" si="9"/>
        <v>3</v>
      </c>
    </row>
    <row r="277" spans="1:35" x14ac:dyDescent="0.35">
      <c r="C277" s="96">
        <v>46077</v>
      </c>
      <c r="D277" s="97">
        <v>14</v>
      </c>
      <c r="E277" s="97" t="s">
        <v>952</v>
      </c>
      <c r="F277" s="10">
        <v>6</v>
      </c>
      <c r="G277" s="10">
        <v>2</v>
      </c>
      <c r="H277" s="10">
        <v>0</v>
      </c>
      <c r="I277" s="10">
        <v>1</v>
      </c>
      <c r="J277" s="74">
        <v>0</v>
      </c>
      <c r="K277" s="74">
        <v>0</v>
      </c>
      <c r="L277" s="74">
        <v>0</v>
      </c>
      <c r="M277" s="74">
        <v>0</v>
      </c>
      <c r="N277" s="74">
        <v>0</v>
      </c>
      <c r="O277" s="74">
        <v>0</v>
      </c>
      <c r="P277" s="74">
        <v>0</v>
      </c>
      <c r="Q277" s="74">
        <v>0</v>
      </c>
      <c r="R277" s="74">
        <v>0</v>
      </c>
      <c r="S277" s="97" t="s">
        <v>429</v>
      </c>
      <c r="T277" s="10">
        <v>3</v>
      </c>
      <c r="U277" s="10">
        <v>1</v>
      </c>
      <c r="V277" s="10">
        <v>0</v>
      </c>
      <c r="W277" s="10">
        <v>0</v>
      </c>
      <c r="X277" s="74">
        <v>1</v>
      </c>
      <c r="Y277" s="74">
        <v>0</v>
      </c>
      <c r="Z277" s="74">
        <v>0</v>
      </c>
      <c r="AA277" s="74">
        <v>0</v>
      </c>
      <c r="AB277" s="74">
        <v>0</v>
      </c>
      <c r="AC277" s="74">
        <v>1</v>
      </c>
      <c r="AD277" s="74">
        <v>0</v>
      </c>
      <c r="AE277" s="74">
        <v>0</v>
      </c>
      <c r="AF277" s="74">
        <v>0</v>
      </c>
      <c r="AG277" s="90">
        <f t="shared" si="7"/>
        <v>15</v>
      </c>
      <c r="AH277" s="90">
        <f t="shared" si="8"/>
        <v>13</v>
      </c>
      <c r="AI277" s="90">
        <f t="shared" si="9"/>
        <v>2</v>
      </c>
    </row>
    <row r="278" spans="1:35" x14ac:dyDescent="0.35">
      <c r="C278" s="96">
        <v>46080</v>
      </c>
      <c r="D278" s="97">
        <v>14</v>
      </c>
      <c r="E278" s="97" t="s">
        <v>970</v>
      </c>
      <c r="F278" s="10">
        <v>5</v>
      </c>
      <c r="G278" s="10">
        <v>5</v>
      </c>
      <c r="H278" s="10">
        <v>0</v>
      </c>
      <c r="I278" s="10">
        <v>0</v>
      </c>
      <c r="J278" s="74">
        <v>0</v>
      </c>
      <c r="K278" s="74">
        <v>0</v>
      </c>
      <c r="L278" s="74">
        <v>0</v>
      </c>
      <c r="M278" s="74">
        <v>0</v>
      </c>
      <c r="N278" s="74">
        <v>0</v>
      </c>
      <c r="O278" s="74">
        <v>0</v>
      </c>
      <c r="P278" s="74">
        <v>0</v>
      </c>
      <c r="Q278" s="74">
        <v>0</v>
      </c>
      <c r="R278" s="74">
        <v>0</v>
      </c>
      <c r="S278" s="97" t="s">
        <v>987</v>
      </c>
      <c r="T278" s="10">
        <v>2</v>
      </c>
      <c r="U278" s="10">
        <v>2</v>
      </c>
      <c r="V278" s="10">
        <v>0</v>
      </c>
      <c r="W278" s="10">
        <v>1</v>
      </c>
      <c r="X278" s="74">
        <v>0</v>
      </c>
      <c r="Y278" s="74">
        <v>0</v>
      </c>
      <c r="Z278" s="74">
        <v>0</v>
      </c>
      <c r="AA278" s="74">
        <v>1</v>
      </c>
      <c r="AB278" s="74">
        <v>0</v>
      </c>
      <c r="AC278" s="74">
        <v>0</v>
      </c>
      <c r="AD278" s="74">
        <v>0</v>
      </c>
      <c r="AE278" s="74">
        <v>0</v>
      </c>
      <c r="AF278" s="74">
        <v>0</v>
      </c>
      <c r="AG278" s="90">
        <f t="shared" si="7"/>
        <v>16</v>
      </c>
      <c r="AH278" s="90">
        <f t="shared" si="8"/>
        <v>15</v>
      </c>
      <c r="AI278" s="90">
        <f t="shared" si="9"/>
        <v>1</v>
      </c>
    </row>
    <row r="279" spans="1:35" ht="29" x14ac:dyDescent="0.35">
      <c r="C279" s="96">
        <v>46084</v>
      </c>
      <c r="D279" s="97">
        <v>14</v>
      </c>
      <c r="E279" s="99" t="s">
        <v>999</v>
      </c>
      <c r="F279" s="10">
        <v>6</v>
      </c>
      <c r="G279" s="10">
        <v>4</v>
      </c>
      <c r="H279" s="10">
        <v>0</v>
      </c>
      <c r="I279" s="10">
        <v>3</v>
      </c>
      <c r="J279" s="74">
        <v>0</v>
      </c>
      <c r="K279" s="74">
        <v>1</v>
      </c>
      <c r="L279" s="74">
        <v>1</v>
      </c>
      <c r="M279" s="74">
        <v>0</v>
      </c>
      <c r="N279" s="74">
        <v>0</v>
      </c>
      <c r="O279" s="74">
        <v>0</v>
      </c>
      <c r="P279" s="74">
        <v>0</v>
      </c>
      <c r="Q279" s="74">
        <v>0</v>
      </c>
      <c r="R279" s="74">
        <v>0</v>
      </c>
      <c r="S279" s="97" t="s">
        <v>804</v>
      </c>
      <c r="T279" s="10">
        <v>5</v>
      </c>
      <c r="U279" s="10">
        <v>3</v>
      </c>
      <c r="V279" s="10">
        <v>0</v>
      </c>
      <c r="W279" s="10">
        <v>0</v>
      </c>
      <c r="X279" s="74">
        <v>0</v>
      </c>
      <c r="Y279" s="74">
        <v>1</v>
      </c>
      <c r="Z279" s="74">
        <v>0</v>
      </c>
      <c r="AA279" s="74">
        <v>0</v>
      </c>
      <c r="AB279" s="74">
        <v>0</v>
      </c>
      <c r="AC279" s="74">
        <v>0</v>
      </c>
      <c r="AD279" s="74">
        <v>0</v>
      </c>
      <c r="AE279" s="74">
        <v>0</v>
      </c>
      <c r="AF279" s="74">
        <v>0</v>
      </c>
      <c r="AG279" s="90">
        <f t="shared" si="7"/>
        <v>24</v>
      </c>
      <c r="AH279" s="90">
        <f t="shared" si="8"/>
        <v>21</v>
      </c>
      <c r="AI279" s="90">
        <f t="shared" si="9"/>
        <v>3</v>
      </c>
    </row>
    <row r="280" spans="1:35" x14ac:dyDescent="0.35">
      <c r="C280" s="96">
        <v>46088</v>
      </c>
      <c r="D280" s="97">
        <v>14</v>
      </c>
      <c r="E280" s="97" t="s">
        <v>1018</v>
      </c>
      <c r="F280" s="10">
        <v>4</v>
      </c>
      <c r="G280" s="10">
        <v>5</v>
      </c>
      <c r="H280" s="10">
        <v>0</v>
      </c>
      <c r="I280" s="10">
        <v>3</v>
      </c>
      <c r="J280" s="74">
        <v>0</v>
      </c>
      <c r="K280" s="74">
        <v>0</v>
      </c>
      <c r="L280" s="74">
        <v>0</v>
      </c>
      <c r="M280" s="74">
        <v>0</v>
      </c>
      <c r="N280" s="74">
        <v>0</v>
      </c>
      <c r="O280" s="74">
        <v>0</v>
      </c>
      <c r="P280" s="74">
        <v>0</v>
      </c>
      <c r="Q280" s="74">
        <v>0</v>
      </c>
      <c r="R280" s="74">
        <v>0</v>
      </c>
      <c r="S280" s="97" t="s">
        <v>1017</v>
      </c>
      <c r="T280" s="10">
        <v>6</v>
      </c>
      <c r="U280" s="10">
        <v>5</v>
      </c>
      <c r="V280" s="10">
        <v>0</v>
      </c>
      <c r="W280" s="10">
        <v>0</v>
      </c>
      <c r="X280" s="74">
        <v>0</v>
      </c>
      <c r="Y280" s="74">
        <v>0</v>
      </c>
      <c r="Z280" s="74">
        <v>0</v>
      </c>
      <c r="AA280" s="74">
        <v>0</v>
      </c>
      <c r="AB280" s="74">
        <v>0</v>
      </c>
      <c r="AC280" s="74">
        <v>0</v>
      </c>
      <c r="AD280" s="74">
        <v>0</v>
      </c>
      <c r="AE280" s="74">
        <v>0</v>
      </c>
      <c r="AF280" s="74">
        <v>0</v>
      </c>
      <c r="AG280" s="90">
        <f t="shared" si="7"/>
        <v>23</v>
      </c>
      <c r="AH280" s="90">
        <f t="shared" si="8"/>
        <v>23</v>
      </c>
      <c r="AI280" s="90">
        <f t="shared" si="9"/>
        <v>0</v>
      </c>
    </row>
    <row r="281" spans="1:35" ht="29" x14ac:dyDescent="0.35">
      <c r="C281" s="96">
        <v>46091</v>
      </c>
      <c r="D281" s="97">
        <v>14</v>
      </c>
      <c r="E281" s="97" t="s">
        <v>1071</v>
      </c>
      <c r="F281" s="10">
        <v>6</v>
      </c>
      <c r="G281" s="10">
        <v>8</v>
      </c>
      <c r="H281" s="10">
        <v>0</v>
      </c>
      <c r="I281" s="10">
        <v>3</v>
      </c>
      <c r="J281" s="74">
        <v>0</v>
      </c>
      <c r="K281" s="74">
        <v>0</v>
      </c>
      <c r="L281" s="74">
        <v>0</v>
      </c>
      <c r="M281" s="74">
        <v>0</v>
      </c>
      <c r="N281" s="74">
        <v>0</v>
      </c>
      <c r="O281" s="74">
        <v>0</v>
      </c>
      <c r="P281" s="74">
        <v>0</v>
      </c>
      <c r="Q281" s="74">
        <v>0</v>
      </c>
      <c r="R281" s="74">
        <v>0</v>
      </c>
      <c r="S281" s="99" t="s">
        <v>1070</v>
      </c>
      <c r="T281" s="10">
        <v>2</v>
      </c>
      <c r="U281" s="10">
        <v>5</v>
      </c>
      <c r="V281" s="10">
        <v>3</v>
      </c>
      <c r="W281" s="10">
        <v>2</v>
      </c>
      <c r="X281" s="74">
        <v>0</v>
      </c>
      <c r="Y281" s="74">
        <v>1</v>
      </c>
      <c r="Z281" s="74">
        <v>0</v>
      </c>
      <c r="AA281" s="74">
        <v>0</v>
      </c>
      <c r="AB281" s="74">
        <v>0</v>
      </c>
      <c r="AC281" s="74">
        <v>1</v>
      </c>
      <c r="AD281" s="74">
        <v>0</v>
      </c>
      <c r="AE281" s="74">
        <v>0</v>
      </c>
      <c r="AF281" s="74">
        <v>0</v>
      </c>
      <c r="AG281" s="90">
        <f t="shared" si="7"/>
        <v>31</v>
      </c>
      <c r="AH281" s="90">
        <f t="shared" si="8"/>
        <v>29</v>
      </c>
      <c r="AI281" s="90">
        <f t="shared" si="9"/>
        <v>2</v>
      </c>
    </row>
    <row r="282" spans="1:35" x14ac:dyDescent="0.35">
      <c r="C282" s="96">
        <v>46098</v>
      </c>
      <c r="D282" s="97">
        <v>14</v>
      </c>
      <c r="E282" s="97" t="s">
        <v>1093</v>
      </c>
      <c r="F282" s="10">
        <v>1</v>
      </c>
      <c r="G282" s="10">
        <v>5</v>
      </c>
      <c r="H282" s="10">
        <v>0</v>
      </c>
      <c r="I282" s="10">
        <v>0</v>
      </c>
      <c r="J282" s="74">
        <v>0</v>
      </c>
      <c r="K282" s="74">
        <v>1</v>
      </c>
      <c r="L282" s="74">
        <v>0</v>
      </c>
      <c r="M282" s="74">
        <v>0</v>
      </c>
      <c r="N282" s="74">
        <v>0</v>
      </c>
      <c r="O282" s="74">
        <v>0</v>
      </c>
      <c r="P282" s="74">
        <v>0</v>
      </c>
      <c r="Q282" s="74">
        <v>0</v>
      </c>
      <c r="R282" s="74">
        <v>0</v>
      </c>
      <c r="S282" s="97" t="s">
        <v>1092</v>
      </c>
      <c r="T282" s="10">
        <v>3</v>
      </c>
      <c r="U282" s="10">
        <v>4</v>
      </c>
      <c r="V282" s="10">
        <v>0</v>
      </c>
      <c r="W282" s="10">
        <v>0</v>
      </c>
      <c r="X282" s="74">
        <v>1</v>
      </c>
      <c r="Y282" s="74">
        <v>1</v>
      </c>
      <c r="Z282" s="74">
        <v>0</v>
      </c>
      <c r="AA282" s="74">
        <v>0</v>
      </c>
      <c r="AB282" s="74">
        <v>0</v>
      </c>
      <c r="AC282" s="74">
        <v>0</v>
      </c>
      <c r="AD282" s="74">
        <v>0</v>
      </c>
      <c r="AE282" s="74">
        <v>0</v>
      </c>
      <c r="AF282" s="74">
        <v>0</v>
      </c>
      <c r="AG282" s="90">
        <f t="shared" si="7"/>
        <v>16</v>
      </c>
      <c r="AH282" s="90">
        <f t="shared" si="8"/>
        <v>13</v>
      </c>
      <c r="AI282" s="90">
        <f t="shared" si="9"/>
        <v>3</v>
      </c>
    </row>
    <row r="283" spans="1:35" ht="29" x14ac:dyDescent="0.35">
      <c r="C283" s="96">
        <v>46105</v>
      </c>
      <c r="D283" s="97">
        <v>14</v>
      </c>
      <c r="E283" s="99" t="s">
        <v>1145</v>
      </c>
      <c r="F283" s="10">
        <v>0</v>
      </c>
      <c r="G283" s="10">
        <v>6</v>
      </c>
      <c r="H283" s="10">
        <v>0</v>
      </c>
      <c r="I283" s="10">
        <v>2</v>
      </c>
      <c r="J283" s="74">
        <v>1</v>
      </c>
      <c r="K283" s="74">
        <v>0</v>
      </c>
      <c r="L283" s="74">
        <v>0</v>
      </c>
      <c r="M283" s="74">
        <v>1</v>
      </c>
      <c r="N283" s="74">
        <v>0</v>
      </c>
      <c r="O283" s="74">
        <v>1</v>
      </c>
      <c r="P283" s="74">
        <v>0</v>
      </c>
      <c r="Q283" s="74">
        <v>0</v>
      </c>
      <c r="R283" s="74">
        <v>0</v>
      </c>
      <c r="S283" s="99" t="s">
        <v>1144</v>
      </c>
      <c r="T283" s="10">
        <v>3</v>
      </c>
      <c r="U283" s="10">
        <v>2</v>
      </c>
      <c r="V283" s="10">
        <v>0</v>
      </c>
      <c r="W283" s="10">
        <v>1</v>
      </c>
      <c r="X283" s="74">
        <v>0</v>
      </c>
      <c r="Y283" s="74">
        <v>2</v>
      </c>
      <c r="Z283" s="74">
        <v>0</v>
      </c>
      <c r="AA283" s="74">
        <v>1</v>
      </c>
      <c r="AB283" s="74">
        <v>0</v>
      </c>
      <c r="AC283" s="74">
        <v>0</v>
      </c>
      <c r="AD283" s="74">
        <v>0</v>
      </c>
      <c r="AE283" s="74">
        <v>0</v>
      </c>
      <c r="AF283" s="74">
        <v>0</v>
      </c>
      <c r="AG283" s="90">
        <f t="shared" si="7"/>
        <v>20</v>
      </c>
      <c r="AH283" s="90">
        <f t="shared" si="8"/>
        <v>14</v>
      </c>
      <c r="AI283" s="90">
        <f t="shared" si="9"/>
        <v>6</v>
      </c>
    </row>
    <row r="284" spans="1:35" x14ac:dyDescent="0.35">
      <c r="C284" s="96">
        <v>46112</v>
      </c>
      <c r="D284" s="97">
        <v>14</v>
      </c>
      <c r="E284" s="97" t="s">
        <v>1164</v>
      </c>
      <c r="F284" s="10">
        <v>8</v>
      </c>
      <c r="G284" s="10">
        <v>6</v>
      </c>
      <c r="H284" s="10">
        <v>3</v>
      </c>
      <c r="I284" s="10">
        <v>0</v>
      </c>
      <c r="J284" s="74">
        <v>0</v>
      </c>
      <c r="K284" s="74">
        <v>0</v>
      </c>
      <c r="L284" s="74">
        <v>0</v>
      </c>
      <c r="M284" s="74">
        <v>0</v>
      </c>
      <c r="N284" s="74">
        <v>0</v>
      </c>
      <c r="O284" s="74">
        <v>0</v>
      </c>
      <c r="P284" s="74">
        <v>0</v>
      </c>
      <c r="Q284" s="74">
        <v>0</v>
      </c>
      <c r="R284" s="74">
        <v>0</v>
      </c>
      <c r="S284" s="97" t="s">
        <v>1163</v>
      </c>
      <c r="T284" s="10">
        <v>5</v>
      </c>
      <c r="U284" s="10">
        <v>6</v>
      </c>
      <c r="V284" s="10">
        <v>0</v>
      </c>
      <c r="W284" s="10">
        <v>5</v>
      </c>
      <c r="X284" s="74">
        <v>0</v>
      </c>
      <c r="Y284" s="74">
        <v>0</v>
      </c>
      <c r="Z284" s="74">
        <v>0</v>
      </c>
      <c r="AA284" s="74">
        <v>0</v>
      </c>
      <c r="AB284" s="74">
        <v>0</v>
      </c>
      <c r="AC284" s="74">
        <v>0</v>
      </c>
      <c r="AD284" s="74">
        <v>0</v>
      </c>
      <c r="AE284" s="74">
        <v>0</v>
      </c>
      <c r="AF284" s="74">
        <v>0</v>
      </c>
      <c r="AG284" s="90">
        <f t="shared" si="7"/>
        <v>33</v>
      </c>
      <c r="AH284" s="90">
        <f t="shared" si="8"/>
        <v>33</v>
      </c>
      <c r="AI284" s="90">
        <f t="shared" si="9"/>
        <v>0</v>
      </c>
    </row>
    <row r="286" spans="1:35" x14ac:dyDescent="0.35">
      <c r="A286" s="93">
        <v>15</v>
      </c>
      <c r="B286" s="95" t="s">
        <v>815</v>
      </c>
      <c r="C286" s="96">
        <v>46049</v>
      </c>
      <c r="D286" s="97">
        <v>8</v>
      </c>
      <c r="E286" s="97" t="s">
        <v>356</v>
      </c>
      <c r="F286" s="10">
        <v>10</v>
      </c>
      <c r="G286" s="10">
        <v>0</v>
      </c>
      <c r="H286" s="10">
        <v>0</v>
      </c>
      <c r="I286" s="10">
        <v>0</v>
      </c>
      <c r="J286" s="74">
        <v>0</v>
      </c>
      <c r="K286" s="74">
        <v>0</v>
      </c>
      <c r="L286" s="74">
        <v>0</v>
      </c>
      <c r="M286" s="74">
        <v>0</v>
      </c>
      <c r="N286" s="74">
        <v>0</v>
      </c>
      <c r="O286" s="74">
        <v>0</v>
      </c>
      <c r="P286" s="74">
        <v>0</v>
      </c>
      <c r="Q286" s="74">
        <v>0</v>
      </c>
      <c r="R286" s="74">
        <v>0</v>
      </c>
      <c r="S286" s="97" t="s">
        <v>360</v>
      </c>
      <c r="T286" s="10">
        <v>20</v>
      </c>
      <c r="U286" s="10">
        <v>0</v>
      </c>
      <c r="V286" s="10">
        <v>0</v>
      </c>
      <c r="W286" s="10">
        <v>0</v>
      </c>
      <c r="X286" s="74">
        <v>0</v>
      </c>
      <c r="Y286" s="74">
        <v>0</v>
      </c>
      <c r="Z286" s="74">
        <v>0</v>
      </c>
      <c r="AA286" s="74">
        <v>0</v>
      </c>
      <c r="AB286" s="74">
        <v>0</v>
      </c>
      <c r="AC286" s="74">
        <v>0</v>
      </c>
      <c r="AD286" s="74">
        <v>0</v>
      </c>
      <c r="AE286" s="74">
        <v>0</v>
      </c>
      <c r="AF286" s="74">
        <v>0</v>
      </c>
      <c r="AG286" s="90">
        <f t="shared" si="7"/>
        <v>30</v>
      </c>
      <c r="AH286" s="90">
        <f t="shared" si="8"/>
        <v>30</v>
      </c>
      <c r="AI286" s="90">
        <f t="shared" si="9"/>
        <v>0</v>
      </c>
    </row>
    <row r="287" spans="1:35" x14ac:dyDescent="0.35">
      <c r="C287" s="96">
        <v>46052</v>
      </c>
      <c r="D287" s="97">
        <v>8</v>
      </c>
      <c r="E287" s="97" t="s">
        <v>55</v>
      </c>
      <c r="F287" s="10">
        <v>0</v>
      </c>
      <c r="G287" s="10">
        <v>0</v>
      </c>
      <c r="H287" s="10">
        <v>0</v>
      </c>
      <c r="I287" s="10">
        <v>0</v>
      </c>
      <c r="J287" s="74">
        <v>0</v>
      </c>
      <c r="K287" s="74">
        <v>0</v>
      </c>
      <c r="L287" s="74">
        <v>0</v>
      </c>
      <c r="M287" s="74">
        <v>0</v>
      </c>
      <c r="N287" s="74">
        <v>0</v>
      </c>
      <c r="O287" s="74">
        <v>0</v>
      </c>
      <c r="P287" s="74">
        <v>0</v>
      </c>
      <c r="Q287" s="74">
        <v>0</v>
      </c>
      <c r="R287" s="74">
        <v>0</v>
      </c>
      <c r="S287" s="97" t="s">
        <v>55</v>
      </c>
      <c r="T287" s="10">
        <v>0</v>
      </c>
      <c r="U287" s="10">
        <v>0</v>
      </c>
      <c r="V287" s="10">
        <v>0</v>
      </c>
      <c r="W287" s="10">
        <v>0</v>
      </c>
      <c r="X287" s="74">
        <v>0</v>
      </c>
      <c r="Y287" s="74">
        <v>0</v>
      </c>
      <c r="Z287" s="74">
        <v>0</v>
      </c>
      <c r="AA287" s="74">
        <v>0</v>
      </c>
      <c r="AB287" s="74">
        <v>0</v>
      </c>
      <c r="AC287" s="74">
        <v>0</v>
      </c>
      <c r="AD287" s="74">
        <v>0</v>
      </c>
      <c r="AE287" s="74">
        <v>0</v>
      </c>
      <c r="AF287" s="74">
        <v>0</v>
      </c>
      <c r="AG287" s="90">
        <f t="shared" si="7"/>
        <v>0</v>
      </c>
      <c r="AH287" s="90">
        <f t="shared" si="8"/>
        <v>0</v>
      </c>
      <c r="AI287" s="90">
        <f t="shared" si="9"/>
        <v>0</v>
      </c>
    </row>
    <row r="288" spans="1:35" x14ac:dyDescent="0.35">
      <c r="C288" s="96">
        <v>46056</v>
      </c>
      <c r="D288" s="97">
        <v>8</v>
      </c>
      <c r="E288" s="97" t="s">
        <v>355</v>
      </c>
      <c r="F288" s="10">
        <v>5</v>
      </c>
      <c r="G288" s="10">
        <v>1</v>
      </c>
      <c r="H288" s="10">
        <v>0</v>
      </c>
      <c r="I288" s="10">
        <v>0</v>
      </c>
      <c r="J288" s="74">
        <v>0</v>
      </c>
      <c r="K288" s="74">
        <v>0</v>
      </c>
      <c r="L288" s="74">
        <v>0</v>
      </c>
      <c r="M288" s="74">
        <v>0</v>
      </c>
      <c r="N288" s="74">
        <v>0</v>
      </c>
      <c r="O288" s="74">
        <v>0</v>
      </c>
      <c r="P288" s="74">
        <v>0</v>
      </c>
      <c r="Q288" s="74">
        <v>0</v>
      </c>
      <c r="R288" s="74">
        <v>0</v>
      </c>
      <c r="S288" s="97" t="s">
        <v>841</v>
      </c>
      <c r="T288" s="10">
        <v>4</v>
      </c>
      <c r="U288" s="10">
        <v>3</v>
      </c>
      <c r="V288" s="10">
        <v>0</v>
      </c>
      <c r="W288" s="10">
        <v>1</v>
      </c>
      <c r="X288" s="74">
        <v>0</v>
      </c>
      <c r="Y288" s="74">
        <v>0</v>
      </c>
      <c r="Z288" s="74">
        <v>0</v>
      </c>
      <c r="AA288" s="74">
        <v>0</v>
      </c>
      <c r="AB288" s="74">
        <v>0</v>
      </c>
      <c r="AC288" s="74">
        <v>0</v>
      </c>
      <c r="AD288" s="74">
        <v>0</v>
      </c>
      <c r="AE288" s="74">
        <v>0</v>
      </c>
      <c r="AF288" s="74">
        <v>0</v>
      </c>
      <c r="AG288" s="90">
        <f t="shared" si="7"/>
        <v>14</v>
      </c>
      <c r="AH288" s="90">
        <f t="shared" si="8"/>
        <v>14</v>
      </c>
      <c r="AI288" s="90">
        <f t="shared" si="9"/>
        <v>0</v>
      </c>
    </row>
    <row r="289" spans="1:35" x14ac:dyDescent="0.35">
      <c r="C289" s="96">
        <v>46059</v>
      </c>
      <c r="D289" s="97">
        <v>8</v>
      </c>
      <c r="E289" s="97" t="s">
        <v>605</v>
      </c>
      <c r="F289" s="10">
        <v>0</v>
      </c>
      <c r="G289" s="10">
        <v>1</v>
      </c>
      <c r="H289" s="10">
        <v>0</v>
      </c>
      <c r="I289" s="10">
        <v>0</v>
      </c>
      <c r="J289" s="74">
        <v>0</v>
      </c>
      <c r="K289" s="74">
        <v>1</v>
      </c>
      <c r="L289" s="74">
        <v>0</v>
      </c>
      <c r="M289" s="74">
        <v>0</v>
      </c>
      <c r="N289" s="74">
        <v>0</v>
      </c>
      <c r="O289" s="74">
        <v>0</v>
      </c>
      <c r="P289" s="74">
        <v>0</v>
      </c>
      <c r="Q289" s="74">
        <v>0</v>
      </c>
      <c r="R289" s="74">
        <v>0</v>
      </c>
      <c r="S289" s="97" t="s">
        <v>860</v>
      </c>
      <c r="T289" s="10">
        <v>8</v>
      </c>
      <c r="U289" s="10">
        <v>2</v>
      </c>
      <c r="V289" s="10">
        <v>0</v>
      </c>
      <c r="W289" s="10">
        <v>1</v>
      </c>
      <c r="X289" s="74">
        <v>0</v>
      </c>
      <c r="Y289" s="74">
        <v>0</v>
      </c>
      <c r="Z289" s="74">
        <v>0</v>
      </c>
      <c r="AA289" s="74">
        <v>0</v>
      </c>
      <c r="AB289" s="74">
        <v>0</v>
      </c>
      <c r="AC289" s="74">
        <v>0</v>
      </c>
      <c r="AD289" s="74">
        <v>0</v>
      </c>
      <c r="AE289" s="74">
        <v>0</v>
      </c>
      <c r="AF289" s="74">
        <v>0</v>
      </c>
      <c r="AG289" s="90">
        <f t="shared" si="7"/>
        <v>13</v>
      </c>
      <c r="AH289" s="90">
        <f t="shared" si="8"/>
        <v>12</v>
      </c>
      <c r="AI289" s="90">
        <f t="shared" si="9"/>
        <v>1</v>
      </c>
    </row>
    <row r="290" spans="1:35" x14ac:dyDescent="0.35">
      <c r="C290" s="96">
        <v>46062</v>
      </c>
      <c r="D290" s="97">
        <v>8</v>
      </c>
      <c r="E290" s="97" t="s">
        <v>157</v>
      </c>
      <c r="F290" s="10">
        <v>4</v>
      </c>
      <c r="G290" s="10">
        <v>0</v>
      </c>
      <c r="H290" s="10">
        <v>0</v>
      </c>
      <c r="I290" s="10">
        <v>0</v>
      </c>
      <c r="J290" s="74">
        <v>1</v>
      </c>
      <c r="K290" s="74">
        <v>0</v>
      </c>
      <c r="L290" s="74">
        <v>0</v>
      </c>
      <c r="M290" s="74">
        <v>0</v>
      </c>
      <c r="N290" s="74">
        <v>0</v>
      </c>
      <c r="O290" s="74">
        <v>0</v>
      </c>
      <c r="P290" s="74">
        <v>0</v>
      </c>
      <c r="Q290" s="74">
        <v>0</v>
      </c>
      <c r="R290" s="74">
        <v>0</v>
      </c>
      <c r="S290" s="97" t="s">
        <v>868</v>
      </c>
      <c r="T290" s="10">
        <v>18</v>
      </c>
      <c r="U290" s="10">
        <v>0</v>
      </c>
      <c r="V290" s="10">
        <v>0</v>
      </c>
      <c r="W290" s="10">
        <v>0</v>
      </c>
      <c r="X290" s="74">
        <v>0</v>
      </c>
      <c r="Y290" s="74">
        <v>1</v>
      </c>
      <c r="Z290" s="74">
        <v>0</v>
      </c>
      <c r="AA290" s="74">
        <v>0</v>
      </c>
      <c r="AB290" s="74">
        <v>0</v>
      </c>
      <c r="AC290" s="74">
        <v>0</v>
      </c>
      <c r="AD290" s="74">
        <v>0</v>
      </c>
      <c r="AE290" s="74">
        <v>0</v>
      </c>
      <c r="AF290" s="74">
        <v>0</v>
      </c>
      <c r="AG290" s="90">
        <f t="shared" si="7"/>
        <v>24</v>
      </c>
      <c r="AH290" s="90">
        <f t="shared" si="8"/>
        <v>22</v>
      </c>
      <c r="AI290" s="90">
        <f t="shared" si="9"/>
        <v>2</v>
      </c>
    </row>
    <row r="291" spans="1:35" x14ac:dyDescent="0.35">
      <c r="C291" s="96">
        <v>46066</v>
      </c>
      <c r="D291" s="97">
        <v>8</v>
      </c>
      <c r="E291" s="97" t="s">
        <v>184</v>
      </c>
      <c r="F291" s="10">
        <v>3</v>
      </c>
      <c r="G291" s="10">
        <v>2</v>
      </c>
      <c r="H291" s="10">
        <v>0</v>
      </c>
      <c r="I291" s="10">
        <v>0</v>
      </c>
      <c r="J291" s="74">
        <v>0</v>
      </c>
      <c r="K291" s="74">
        <v>0</v>
      </c>
      <c r="L291" s="74">
        <v>0</v>
      </c>
      <c r="M291" s="74">
        <v>0</v>
      </c>
      <c r="N291" s="74">
        <v>0</v>
      </c>
      <c r="O291" s="74">
        <v>0</v>
      </c>
      <c r="P291" s="74">
        <v>0</v>
      </c>
      <c r="Q291" s="74">
        <v>0</v>
      </c>
      <c r="R291" s="74">
        <v>0</v>
      </c>
      <c r="S291" s="97" t="s">
        <v>896</v>
      </c>
      <c r="T291" s="10">
        <v>6</v>
      </c>
      <c r="U291" s="10">
        <v>4</v>
      </c>
      <c r="V291" s="10">
        <v>0</v>
      </c>
      <c r="W291" s="10">
        <v>3</v>
      </c>
      <c r="X291" s="74">
        <v>0</v>
      </c>
      <c r="Y291" s="74">
        <v>0</v>
      </c>
      <c r="Z291" s="74">
        <v>0</v>
      </c>
      <c r="AA291" s="74">
        <v>0</v>
      </c>
      <c r="AB291" s="74">
        <v>0</v>
      </c>
      <c r="AC291" s="74">
        <v>0</v>
      </c>
      <c r="AD291" s="74">
        <v>0</v>
      </c>
      <c r="AE291" s="74">
        <v>0</v>
      </c>
      <c r="AF291" s="74">
        <v>0</v>
      </c>
      <c r="AG291" s="90">
        <f t="shared" si="7"/>
        <v>18</v>
      </c>
      <c r="AH291" s="90">
        <f t="shared" si="8"/>
        <v>18</v>
      </c>
      <c r="AI291" s="90">
        <f t="shared" si="9"/>
        <v>0</v>
      </c>
    </row>
    <row r="292" spans="1:35" x14ac:dyDescent="0.35">
      <c r="C292" s="96">
        <v>46070</v>
      </c>
      <c r="D292" s="97">
        <v>8</v>
      </c>
      <c r="E292" s="97" t="s">
        <v>721</v>
      </c>
      <c r="F292" s="10">
        <v>2</v>
      </c>
      <c r="G292" s="10">
        <v>2</v>
      </c>
      <c r="H292" s="10">
        <v>0</v>
      </c>
      <c r="I292" s="10">
        <v>1</v>
      </c>
      <c r="J292" s="74">
        <v>0</v>
      </c>
      <c r="K292" s="74">
        <v>0</v>
      </c>
      <c r="L292" s="74">
        <v>0</v>
      </c>
      <c r="M292" s="74">
        <v>0</v>
      </c>
      <c r="N292" s="74">
        <v>0</v>
      </c>
      <c r="O292" s="74">
        <v>0</v>
      </c>
      <c r="P292" s="74">
        <v>0</v>
      </c>
      <c r="Q292" s="74">
        <v>0</v>
      </c>
      <c r="R292" s="74">
        <v>0</v>
      </c>
      <c r="S292" s="97" t="s">
        <v>898</v>
      </c>
      <c r="T292" s="10">
        <v>3</v>
      </c>
      <c r="U292" s="10">
        <v>4</v>
      </c>
      <c r="V292" s="10">
        <v>0</v>
      </c>
      <c r="W292" s="10">
        <v>1</v>
      </c>
      <c r="X292" s="74">
        <v>1</v>
      </c>
      <c r="Y292" s="74">
        <v>0</v>
      </c>
      <c r="Z292" s="74">
        <v>0</v>
      </c>
      <c r="AA292" s="74">
        <v>0</v>
      </c>
      <c r="AB292" s="74">
        <v>0</v>
      </c>
      <c r="AC292" s="74">
        <v>0</v>
      </c>
      <c r="AD292" s="74">
        <v>0</v>
      </c>
      <c r="AE292" s="74">
        <v>0</v>
      </c>
      <c r="AF292" s="74">
        <v>0</v>
      </c>
      <c r="AG292" s="90">
        <f t="shared" si="7"/>
        <v>14</v>
      </c>
      <c r="AH292" s="90">
        <f t="shared" si="8"/>
        <v>13</v>
      </c>
      <c r="AI292" s="90">
        <f t="shared" si="9"/>
        <v>1</v>
      </c>
    </row>
    <row r="293" spans="1:35" x14ac:dyDescent="0.35">
      <c r="C293" s="96">
        <v>46074</v>
      </c>
      <c r="D293" s="97">
        <v>8</v>
      </c>
      <c r="E293" s="97" t="s">
        <v>918</v>
      </c>
      <c r="F293" s="10">
        <v>5</v>
      </c>
      <c r="G293" s="10">
        <v>0</v>
      </c>
      <c r="H293" s="10">
        <v>1</v>
      </c>
      <c r="I293" s="10">
        <v>0</v>
      </c>
      <c r="J293" s="74">
        <v>0</v>
      </c>
      <c r="K293" s="74">
        <v>0</v>
      </c>
      <c r="L293" s="74">
        <v>0</v>
      </c>
      <c r="M293" s="74">
        <v>0</v>
      </c>
      <c r="N293" s="74">
        <v>0</v>
      </c>
      <c r="O293" s="74">
        <v>0</v>
      </c>
      <c r="P293" s="74">
        <v>0</v>
      </c>
      <c r="Q293" s="74">
        <v>0</v>
      </c>
      <c r="R293" s="74">
        <v>0</v>
      </c>
      <c r="S293" s="97" t="s">
        <v>907</v>
      </c>
      <c r="T293" s="10">
        <v>3</v>
      </c>
      <c r="U293" s="10">
        <v>4</v>
      </c>
      <c r="V293" s="10">
        <v>0</v>
      </c>
      <c r="W293" s="10">
        <v>0</v>
      </c>
      <c r="X293" s="74">
        <v>0</v>
      </c>
      <c r="Y293" s="74">
        <v>0</v>
      </c>
      <c r="Z293" s="74">
        <v>0</v>
      </c>
      <c r="AA293" s="74">
        <v>0</v>
      </c>
      <c r="AB293" s="74">
        <v>0</v>
      </c>
      <c r="AC293" s="74">
        <v>1</v>
      </c>
      <c r="AD293" s="74">
        <v>0</v>
      </c>
      <c r="AE293" s="74">
        <v>0</v>
      </c>
      <c r="AF293" s="74">
        <v>0</v>
      </c>
      <c r="AG293" s="90">
        <f t="shared" si="7"/>
        <v>14</v>
      </c>
      <c r="AH293" s="90">
        <f t="shared" si="8"/>
        <v>13</v>
      </c>
      <c r="AI293" s="90">
        <f t="shared" si="9"/>
        <v>1</v>
      </c>
    </row>
    <row r="294" spans="1:35" x14ac:dyDescent="0.35">
      <c r="C294" s="96">
        <v>46077</v>
      </c>
      <c r="D294" s="97">
        <v>8</v>
      </c>
      <c r="E294" s="97" t="s">
        <v>134</v>
      </c>
      <c r="F294" s="10">
        <v>3</v>
      </c>
      <c r="G294" s="10">
        <v>0</v>
      </c>
      <c r="H294" s="10">
        <v>0</v>
      </c>
      <c r="I294" s="10">
        <v>0</v>
      </c>
      <c r="J294" s="74">
        <v>0</v>
      </c>
      <c r="K294" s="74">
        <v>0</v>
      </c>
      <c r="L294" s="74">
        <v>0</v>
      </c>
      <c r="M294" s="74">
        <v>0</v>
      </c>
      <c r="N294" s="74">
        <v>0</v>
      </c>
      <c r="O294" s="74">
        <v>0</v>
      </c>
      <c r="P294" s="74">
        <v>0</v>
      </c>
      <c r="Q294" s="74">
        <v>0</v>
      </c>
      <c r="R294" s="74">
        <v>0</v>
      </c>
      <c r="S294" s="97" t="s">
        <v>749</v>
      </c>
      <c r="T294" s="10">
        <v>3</v>
      </c>
      <c r="U294" s="10">
        <v>2</v>
      </c>
      <c r="V294" s="10">
        <v>0</v>
      </c>
      <c r="W294" s="10">
        <v>0</v>
      </c>
      <c r="X294" s="74">
        <v>0</v>
      </c>
      <c r="Y294" s="74">
        <v>0</v>
      </c>
      <c r="Z294" s="74">
        <v>0</v>
      </c>
      <c r="AA294" s="74">
        <v>0</v>
      </c>
      <c r="AB294" s="74">
        <v>0</v>
      </c>
      <c r="AC294" s="74">
        <v>1</v>
      </c>
      <c r="AD294" s="74">
        <v>0</v>
      </c>
      <c r="AE294" s="74">
        <v>0</v>
      </c>
      <c r="AF294" s="74">
        <v>0</v>
      </c>
      <c r="AG294" s="90">
        <f t="shared" si="7"/>
        <v>9</v>
      </c>
      <c r="AH294" s="90">
        <f t="shared" si="8"/>
        <v>8</v>
      </c>
      <c r="AI294" s="90">
        <f t="shared" si="9"/>
        <v>1</v>
      </c>
    </row>
    <row r="295" spans="1:35" x14ac:dyDescent="0.35">
      <c r="C295" s="96">
        <v>46080</v>
      </c>
      <c r="D295" s="97">
        <v>8</v>
      </c>
      <c r="E295" s="97" t="s">
        <v>121</v>
      </c>
      <c r="F295" s="10">
        <v>6</v>
      </c>
      <c r="G295" s="10">
        <v>3</v>
      </c>
      <c r="H295" s="10">
        <v>0</v>
      </c>
      <c r="I295" s="10">
        <v>1</v>
      </c>
      <c r="J295" s="74">
        <v>0</v>
      </c>
      <c r="K295" s="74">
        <v>0</v>
      </c>
      <c r="L295" s="74">
        <v>0</v>
      </c>
      <c r="M295" s="74">
        <v>0</v>
      </c>
      <c r="N295" s="74">
        <v>0</v>
      </c>
      <c r="O295" s="74">
        <v>0</v>
      </c>
      <c r="P295" s="74">
        <v>0</v>
      </c>
      <c r="Q295" s="74">
        <v>0</v>
      </c>
      <c r="R295" s="74">
        <v>0</v>
      </c>
      <c r="S295" s="97" t="s">
        <v>966</v>
      </c>
      <c r="T295" s="10">
        <v>4</v>
      </c>
      <c r="U295" s="10">
        <v>2</v>
      </c>
      <c r="V295" s="10">
        <v>0</v>
      </c>
      <c r="W295" s="10">
        <v>1</v>
      </c>
      <c r="X295" s="74">
        <v>0</v>
      </c>
      <c r="Y295" s="74">
        <v>1</v>
      </c>
      <c r="Z295" s="74">
        <v>0</v>
      </c>
      <c r="AA295" s="74">
        <v>0</v>
      </c>
      <c r="AB295" s="74">
        <v>0</v>
      </c>
      <c r="AC295" s="74">
        <v>0</v>
      </c>
      <c r="AD295" s="74">
        <v>0</v>
      </c>
      <c r="AE295" s="74">
        <v>0</v>
      </c>
      <c r="AF295" s="74">
        <v>0</v>
      </c>
      <c r="AG295" s="90">
        <f t="shared" si="7"/>
        <v>18</v>
      </c>
      <c r="AH295" s="90">
        <f t="shared" si="8"/>
        <v>17</v>
      </c>
      <c r="AI295" s="90">
        <f t="shared" si="9"/>
        <v>1</v>
      </c>
    </row>
    <row r="296" spans="1:35" ht="29" x14ac:dyDescent="0.35">
      <c r="C296" s="96">
        <v>46084</v>
      </c>
      <c r="D296" s="97">
        <v>8</v>
      </c>
      <c r="E296" s="97" t="s">
        <v>994</v>
      </c>
      <c r="F296" s="10">
        <v>0</v>
      </c>
      <c r="G296" s="10">
        <v>5</v>
      </c>
      <c r="H296" s="10">
        <v>0</v>
      </c>
      <c r="I296" s="10">
        <v>3</v>
      </c>
      <c r="J296" s="74">
        <v>0</v>
      </c>
      <c r="K296" s="74">
        <v>1</v>
      </c>
      <c r="L296" s="74">
        <v>0</v>
      </c>
      <c r="M296" s="74">
        <v>1</v>
      </c>
      <c r="N296" s="74">
        <v>0</v>
      </c>
      <c r="O296" s="74">
        <v>0</v>
      </c>
      <c r="P296" s="74">
        <v>0</v>
      </c>
      <c r="Q296" s="74">
        <v>0</v>
      </c>
      <c r="R296" s="74">
        <v>0</v>
      </c>
      <c r="S296" s="99" t="s">
        <v>993</v>
      </c>
      <c r="T296" s="10">
        <v>4</v>
      </c>
      <c r="U296" s="10">
        <v>1</v>
      </c>
      <c r="V296" s="10">
        <v>2</v>
      </c>
      <c r="W296" s="10">
        <v>4</v>
      </c>
      <c r="X296" s="74">
        <v>0</v>
      </c>
      <c r="Y296" s="74">
        <v>0</v>
      </c>
      <c r="Z296" s="74">
        <v>0</v>
      </c>
      <c r="AA296" s="74">
        <v>0</v>
      </c>
      <c r="AB296" s="74">
        <v>0</v>
      </c>
      <c r="AC296" s="74">
        <v>0</v>
      </c>
      <c r="AD296" s="74">
        <v>0</v>
      </c>
      <c r="AE296" s="74">
        <v>0</v>
      </c>
      <c r="AF296" s="74">
        <v>0</v>
      </c>
      <c r="AG296" s="90">
        <f t="shared" si="7"/>
        <v>21</v>
      </c>
      <c r="AH296" s="90">
        <f t="shared" si="8"/>
        <v>19</v>
      </c>
      <c r="AI296" s="90">
        <f t="shared" si="9"/>
        <v>2</v>
      </c>
    </row>
    <row r="297" spans="1:35" x14ac:dyDescent="0.35">
      <c r="C297" s="96">
        <v>46088</v>
      </c>
      <c r="D297" s="97">
        <v>8</v>
      </c>
      <c r="E297" s="97" t="s">
        <v>1028</v>
      </c>
      <c r="F297" s="10">
        <v>5</v>
      </c>
      <c r="G297" s="10">
        <v>0</v>
      </c>
      <c r="H297" s="10">
        <v>0</v>
      </c>
      <c r="I297" s="10">
        <v>0</v>
      </c>
      <c r="J297" s="74">
        <v>0</v>
      </c>
      <c r="K297" s="74">
        <v>2</v>
      </c>
      <c r="L297" s="74">
        <v>0</v>
      </c>
      <c r="M297" s="74">
        <v>0</v>
      </c>
      <c r="N297" s="74">
        <v>0</v>
      </c>
      <c r="O297" s="74">
        <v>0</v>
      </c>
      <c r="P297" s="74">
        <v>0</v>
      </c>
      <c r="Q297" s="74">
        <v>0</v>
      </c>
      <c r="R297" s="74">
        <v>0</v>
      </c>
      <c r="S297" s="97" t="s">
        <v>1034</v>
      </c>
      <c r="T297" s="10">
        <v>6</v>
      </c>
      <c r="U297" s="10">
        <v>6</v>
      </c>
      <c r="V297" s="10">
        <v>0</v>
      </c>
      <c r="W297" s="10">
        <v>0</v>
      </c>
      <c r="X297" s="74">
        <v>0</v>
      </c>
      <c r="Y297" s="74">
        <v>1</v>
      </c>
      <c r="Z297" s="74">
        <v>0</v>
      </c>
      <c r="AA297" s="74">
        <v>0</v>
      </c>
      <c r="AB297" s="74">
        <v>0</v>
      </c>
      <c r="AC297" s="74">
        <v>0</v>
      </c>
      <c r="AD297" s="74">
        <v>0</v>
      </c>
      <c r="AE297" s="74">
        <v>0</v>
      </c>
      <c r="AF297" s="74">
        <v>0</v>
      </c>
      <c r="AG297" s="90">
        <f t="shared" si="7"/>
        <v>20</v>
      </c>
      <c r="AH297" s="90">
        <f t="shared" si="8"/>
        <v>17</v>
      </c>
      <c r="AI297" s="90">
        <f t="shared" si="9"/>
        <v>3</v>
      </c>
    </row>
    <row r="298" spans="1:35" ht="29" x14ac:dyDescent="0.35">
      <c r="C298" s="96">
        <v>46091</v>
      </c>
      <c r="D298" s="97">
        <v>8</v>
      </c>
      <c r="E298" s="99" t="s">
        <v>1059</v>
      </c>
      <c r="F298" s="10">
        <v>2</v>
      </c>
      <c r="G298" s="10">
        <v>2</v>
      </c>
      <c r="H298" s="10">
        <v>1</v>
      </c>
      <c r="I298" s="10">
        <v>0</v>
      </c>
      <c r="J298" s="74">
        <v>0</v>
      </c>
      <c r="K298" s="74">
        <v>1</v>
      </c>
      <c r="L298" s="74">
        <v>0</v>
      </c>
      <c r="M298" s="74">
        <v>0</v>
      </c>
      <c r="N298" s="74">
        <v>0</v>
      </c>
      <c r="O298" s="74">
        <v>1</v>
      </c>
      <c r="P298" s="74">
        <v>0</v>
      </c>
      <c r="Q298" s="74">
        <v>0</v>
      </c>
      <c r="R298" s="74">
        <v>0</v>
      </c>
      <c r="S298" s="99" t="s">
        <v>1060</v>
      </c>
      <c r="T298" s="10">
        <v>4</v>
      </c>
      <c r="U298" s="10">
        <v>6</v>
      </c>
      <c r="V298" s="10">
        <v>2</v>
      </c>
      <c r="W298" s="10">
        <v>1</v>
      </c>
      <c r="X298" s="74">
        <v>0</v>
      </c>
      <c r="Y298" s="74">
        <v>0</v>
      </c>
      <c r="Z298" s="74">
        <v>0</v>
      </c>
      <c r="AA298" s="74">
        <v>0</v>
      </c>
      <c r="AB298" s="74">
        <v>0</v>
      </c>
      <c r="AC298" s="74">
        <v>0</v>
      </c>
      <c r="AD298" s="74">
        <v>0</v>
      </c>
      <c r="AE298" s="74">
        <v>0</v>
      </c>
      <c r="AF298" s="74">
        <v>0</v>
      </c>
      <c r="AG298" s="90">
        <f t="shared" si="7"/>
        <v>20</v>
      </c>
      <c r="AH298" s="90">
        <f t="shared" si="8"/>
        <v>18</v>
      </c>
      <c r="AI298" s="90">
        <f t="shared" si="9"/>
        <v>2</v>
      </c>
    </row>
    <row r="299" spans="1:35" x14ac:dyDescent="0.35">
      <c r="C299" s="96">
        <v>46098</v>
      </c>
      <c r="D299" s="97">
        <v>8</v>
      </c>
      <c r="E299" s="97" t="s">
        <v>1104</v>
      </c>
      <c r="F299" s="10">
        <v>0</v>
      </c>
      <c r="G299" s="10">
        <v>10</v>
      </c>
      <c r="H299" s="10">
        <v>0</v>
      </c>
      <c r="I299" s="10">
        <v>2</v>
      </c>
      <c r="J299" s="74">
        <v>0</v>
      </c>
      <c r="K299" s="74">
        <v>1</v>
      </c>
      <c r="L299" s="74">
        <v>0</v>
      </c>
      <c r="M299" s="74">
        <v>0</v>
      </c>
      <c r="N299" s="74">
        <v>0</v>
      </c>
      <c r="O299" s="74">
        <v>0</v>
      </c>
      <c r="P299" s="74">
        <v>0</v>
      </c>
      <c r="Q299" s="74">
        <v>0</v>
      </c>
      <c r="R299" s="74">
        <v>0</v>
      </c>
      <c r="S299" s="97" t="s">
        <v>1105</v>
      </c>
      <c r="T299" s="10">
        <v>3</v>
      </c>
      <c r="U299" s="10">
        <v>8</v>
      </c>
      <c r="V299" s="10">
        <v>0</v>
      </c>
      <c r="W299" s="10">
        <v>1</v>
      </c>
      <c r="X299" s="74">
        <v>0</v>
      </c>
      <c r="Y299" s="74">
        <v>0</v>
      </c>
      <c r="Z299" s="74">
        <v>0</v>
      </c>
      <c r="AA299" s="74">
        <v>0</v>
      </c>
      <c r="AB299" s="74">
        <v>0</v>
      </c>
      <c r="AC299" s="74">
        <v>1</v>
      </c>
      <c r="AD299" s="74">
        <v>0</v>
      </c>
      <c r="AE299" s="74">
        <v>0</v>
      </c>
      <c r="AF299" s="74">
        <v>0</v>
      </c>
      <c r="AG299" s="90">
        <f t="shared" si="7"/>
        <v>26</v>
      </c>
      <c r="AH299" s="90">
        <f t="shared" si="8"/>
        <v>24</v>
      </c>
      <c r="AI299" s="90">
        <f t="shared" si="9"/>
        <v>2</v>
      </c>
    </row>
    <row r="300" spans="1:35" x14ac:dyDescent="0.35">
      <c r="C300" s="96">
        <v>46105</v>
      </c>
      <c r="D300" s="97">
        <v>8</v>
      </c>
      <c r="E300" s="99" t="s">
        <v>1160</v>
      </c>
      <c r="F300" s="10">
        <v>5</v>
      </c>
      <c r="G300" s="10">
        <v>10</v>
      </c>
      <c r="H300" s="10">
        <v>0</v>
      </c>
      <c r="I300" s="10">
        <v>1</v>
      </c>
      <c r="J300" s="74">
        <v>0</v>
      </c>
      <c r="K300" s="74">
        <v>0</v>
      </c>
      <c r="L300" s="74">
        <v>0</v>
      </c>
      <c r="M300" s="74">
        <v>0</v>
      </c>
      <c r="N300" s="74">
        <v>0</v>
      </c>
      <c r="O300" s="74">
        <v>0</v>
      </c>
      <c r="P300" s="74">
        <v>0</v>
      </c>
      <c r="Q300" s="74">
        <v>0</v>
      </c>
      <c r="R300" s="74">
        <v>0</v>
      </c>
      <c r="S300" s="97" t="s">
        <v>1130</v>
      </c>
      <c r="T300" s="10">
        <v>5</v>
      </c>
      <c r="U300" s="10">
        <v>6</v>
      </c>
      <c r="V300" s="10">
        <v>0</v>
      </c>
      <c r="W300" s="10">
        <v>0</v>
      </c>
      <c r="X300" s="74">
        <v>0</v>
      </c>
      <c r="Y300" s="74">
        <v>1</v>
      </c>
      <c r="Z300" s="74">
        <v>0</v>
      </c>
      <c r="AA300" s="74">
        <v>1</v>
      </c>
      <c r="AB300" s="74">
        <v>0</v>
      </c>
      <c r="AC300" s="74">
        <v>0</v>
      </c>
      <c r="AD300" s="74">
        <v>0</v>
      </c>
      <c r="AE300" s="74">
        <v>0</v>
      </c>
      <c r="AF300" s="74">
        <v>0</v>
      </c>
      <c r="AG300" s="90">
        <f t="shared" si="7"/>
        <v>29</v>
      </c>
      <c r="AH300" s="90">
        <f t="shared" si="8"/>
        <v>27</v>
      </c>
      <c r="AI300" s="90">
        <f t="shared" si="9"/>
        <v>2</v>
      </c>
    </row>
    <row r="301" spans="1:35" x14ac:dyDescent="0.35">
      <c r="C301" s="119">
        <v>46112</v>
      </c>
      <c r="D301" s="97">
        <v>8</v>
      </c>
    </row>
    <row r="303" spans="1:35" x14ac:dyDescent="0.35">
      <c r="A303" s="93">
        <v>16</v>
      </c>
      <c r="B303" s="95" t="s">
        <v>816</v>
      </c>
      <c r="C303" s="96">
        <v>46049</v>
      </c>
      <c r="D303" s="97">
        <v>10</v>
      </c>
      <c r="E303" s="97" t="s">
        <v>55</v>
      </c>
      <c r="F303" s="10">
        <v>0</v>
      </c>
      <c r="G303" s="10">
        <v>0</v>
      </c>
      <c r="H303" s="10">
        <v>0</v>
      </c>
      <c r="I303" s="10">
        <v>0</v>
      </c>
      <c r="J303" s="74">
        <v>0</v>
      </c>
      <c r="K303" s="74">
        <v>0</v>
      </c>
      <c r="L303" s="74">
        <v>0</v>
      </c>
      <c r="M303" s="74">
        <v>0</v>
      </c>
      <c r="N303" s="74">
        <v>0</v>
      </c>
      <c r="O303" s="74">
        <v>0</v>
      </c>
      <c r="P303" s="74">
        <v>0</v>
      </c>
      <c r="Q303" s="74">
        <v>0</v>
      </c>
      <c r="R303" s="74">
        <v>0</v>
      </c>
      <c r="S303" s="97" t="s">
        <v>133</v>
      </c>
      <c r="T303" s="10">
        <v>5</v>
      </c>
      <c r="U303" s="10">
        <v>0</v>
      </c>
      <c r="V303" s="10">
        <v>0</v>
      </c>
      <c r="W303" s="10">
        <v>0</v>
      </c>
      <c r="X303" s="74">
        <v>0</v>
      </c>
      <c r="Y303" s="74">
        <v>0</v>
      </c>
      <c r="Z303" s="74">
        <v>0</v>
      </c>
      <c r="AA303" s="74">
        <v>0</v>
      </c>
      <c r="AB303" s="74">
        <v>0</v>
      </c>
      <c r="AC303" s="74">
        <v>0</v>
      </c>
      <c r="AD303" s="74">
        <v>0</v>
      </c>
      <c r="AE303" s="74">
        <v>0</v>
      </c>
      <c r="AF303" s="74">
        <v>0</v>
      </c>
      <c r="AG303" s="90">
        <f t="shared" si="7"/>
        <v>5</v>
      </c>
      <c r="AH303" s="90">
        <f t="shared" si="8"/>
        <v>5</v>
      </c>
      <c r="AI303" s="90">
        <f t="shared" si="9"/>
        <v>0</v>
      </c>
    </row>
    <row r="304" spans="1:35" x14ac:dyDescent="0.35">
      <c r="C304" s="96">
        <v>46052</v>
      </c>
      <c r="D304" s="97">
        <v>10</v>
      </c>
      <c r="E304" s="97" t="s">
        <v>829</v>
      </c>
      <c r="F304" s="10">
        <v>8</v>
      </c>
      <c r="G304" s="10">
        <v>0</v>
      </c>
      <c r="H304" s="10">
        <v>0</v>
      </c>
      <c r="I304" s="10">
        <v>1</v>
      </c>
      <c r="J304" s="74">
        <v>0</v>
      </c>
      <c r="K304" s="74">
        <v>0</v>
      </c>
      <c r="L304" s="74">
        <v>0</v>
      </c>
      <c r="M304" s="74">
        <v>0</v>
      </c>
      <c r="N304" s="74">
        <v>0</v>
      </c>
      <c r="O304" s="74">
        <v>0</v>
      </c>
      <c r="P304" s="74">
        <v>0</v>
      </c>
      <c r="Q304" s="74">
        <v>1</v>
      </c>
      <c r="R304" s="74">
        <v>0</v>
      </c>
      <c r="S304" s="97" t="s">
        <v>85</v>
      </c>
      <c r="T304" s="10">
        <v>5</v>
      </c>
      <c r="U304" s="10">
        <v>2</v>
      </c>
      <c r="V304" s="10">
        <v>0</v>
      </c>
      <c r="W304" s="10">
        <v>0</v>
      </c>
      <c r="X304" s="74">
        <v>0</v>
      </c>
      <c r="Y304" s="74">
        <v>0</v>
      </c>
      <c r="Z304" s="74">
        <v>0</v>
      </c>
      <c r="AA304" s="74">
        <v>0</v>
      </c>
      <c r="AB304" s="74">
        <v>0</v>
      </c>
      <c r="AC304" s="74">
        <v>0</v>
      </c>
      <c r="AD304" s="74">
        <v>0</v>
      </c>
      <c r="AE304" s="74">
        <v>0</v>
      </c>
      <c r="AF304" s="74">
        <v>0</v>
      </c>
      <c r="AG304" s="90">
        <f t="shared" si="7"/>
        <v>17</v>
      </c>
      <c r="AH304" s="90">
        <f t="shared" si="8"/>
        <v>16</v>
      </c>
      <c r="AI304" s="90">
        <f t="shared" si="9"/>
        <v>1</v>
      </c>
    </row>
    <row r="305" spans="1:35" x14ac:dyDescent="0.35">
      <c r="C305" s="96">
        <v>46056</v>
      </c>
      <c r="D305" s="97">
        <v>10</v>
      </c>
      <c r="E305" s="97" t="s">
        <v>134</v>
      </c>
      <c r="F305" s="10">
        <v>3</v>
      </c>
      <c r="G305" s="10">
        <v>0</v>
      </c>
      <c r="H305" s="10">
        <v>0</v>
      </c>
      <c r="I305" s="10">
        <v>0</v>
      </c>
      <c r="J305" s="74">
        <v>0</v>
      </c>
      <c r="K305" s="74">
        <v>0</v>
      </c>
      <c r="L305" s="74">
        <v>0</v>
      </c>
      <c r="M305" s="74">
        <v>0</v>
      </c>
      <c r="N305" s="74">
        <v>0</v>
      </c>
      <c r="O305" s="74">
        <v>0</v>
      </c>
      <c r="P305" s="74">
        <v>0</v>
      </c>
      <c r="Q305" s="74">
        <v>0</v>
      </c>
      <c r="R305" s="74">
        <v>0</v>
      </c>
      <c r="S305" s="97" t="s">
        <v>253</v>
      </c>
      <c r="T305" s="10">
        <v>0</v>
      </c>
      <c r="U305" s="10">
        <v>0</v>
      </c>
      <c r="V305" s="10">
        <v>0</v>
      </c>
      <c r="W305" s="10">
        <v>0</v>
      </c>
      <c r="X305" s="74">
        <v>0</v>
      </c>
      <c r="Y305" s="74">
        <v>0</v>
      </c>
      <c r="Z305" s="74">
        <v>0</v>
      </c>
      <c r="AA305" s="74">
        <v>0</v>
      </c>
      <c r="AB305" s="74">
        <v>0</v>
      </c>
      <c r="AC305" s="74">
        <v>0</v>
      </c>
      <c r="AD305" s="74">
        <v>0</v>
      </c>
      <c r="AE305" s="74">
        <v>0</v>
      </c>
      <c r="AF305" s="74">
        <v>0</v>
      </c>
      <c r="AG305" s="90">
        <f t="shared" si="7"/>
        <v>3</v>
      </c>
      <c r="AH305" s="90">
        <f t="shared" si="8"/>
        <v>3</v>
      </c>
      <c r="AI305" s="90">
        <f t="shared" si="9"/>
        <v>0</v>
      </c>
    </row>
    <row r="306" spans="1:35" x14ac:dyDescent="0.35">
      <c r="C306" s="96">
        <v>46059</v>
      </c>
      <c r="D306" s="97">
        <v>10</v>
      </c>
      <c r="E306" s="97" t="s">
        <v>100</v>
      </c>
      <c r="F306" s="10">
        <v>6</v>
      </c>
      <c r="G306" s="10">
        <v>0</v>
      </c>
      <c r="H306" s="10">
        <v>0</v>
      </c>
      <c r="I306" s="10">
        <v>0</v>
      </c>
      <c r="J306" s="74">
        <v>0</v>
      </c>
      <c r="K306" s="74">
        <v>0</v>
      </c>
      <c r="L306" s="74">
        <v>0</v>
      </c>
      <c r="M306" s="74">
        <v>0</v>
      </c>
      <c r="N306" s="74">
        <v>0</v>
      </c>
      <c r="O306" s="74">
        <v>0</v>
      </c>
      <c r="P306" s="74">
        <v>0</v>
      </c>
      <c r="Q306" s="74">
        <v>0</v>
      </c>
      <c r="R306" s="74">
        <v>0</v>
      </c>
      <c r="S306" s="97" t="s">
        <v>770</v>
      </c>
      <c r="T306" s="10">
        <v>3</v>
      </c>
      <c r="U306" s="10">
        <v>3</v>
      </c>
      <c r="V306" s="10">
        <v>0</v>
      </c>
      <c r="W306" s="10">
        <v>0</v>
      </c>
      <c r="X306" s="74">
        <v>0</v>
      </c>
      <c r="Y306" s="74">
        <v>0</v>
      </c>
      <c r="Z306" s="74">
        <v>0</v>
      </c>
      <c r="AA306" s="74">
        <v>0</v>
      </c>
      <c r="AB306" s="74">
        <v>0</v>
      </c>
      <c r="AC306" s="74">
        <v>0</v>
      </c>
      <c r="AD306" s="74">
        <v>0</v>
      </c>
      <c r="AE306" s="74">
        <v>0</v>
      </c>
      <c r="AF306" s="74">
        <v>0</v>
      </c>
      <c r="AG306" s="90">
        <f t="shared" si="7"/>
        <v>12</v>
      </c>
      <c r="AH306" s="90">
        <f t="shared" si="8"/>
        <v>12</v>
      </c>
      <c r="AI306" s="90">
        <f t="shared" si="9"/>
        <v>0</v>
      </c>
    </row>
    <row r="307" spans="1:35" ht="29" x14ac:dyDescent="0.35">
      <c r="C307" s="96">
        <v>46062</v>
      </c>
      <c r="D307" s="97">
        <v>10</v>
      </c>
      <c r="E307" s="97" t="s">
        <v>355</v>
      </c>
      <c r="F307" s="10">
        <v>5</v>
      </c>
      <c r="G307" s="10">
        <v>1</v>
      </c>
      <c r="H307" s="10">
        <v>0</v>
      </c>
      <c r="I307" s="10">
        <v>0</v>
      </c>
      <c r="J307" s="74">
        <v>0</v>
      </c>
      <c r="K307" s="74">
        <v>0</v>
      </c>
      <c r="L307" s="74">
        <v>0</v>
      </c>
      <c r="M307" s="74">
        <v>0</v>
      </c>
      <c r="N307" s="74">
        <v>0</v>
      </c>
      <c r="O307" s="74">
        <v>0</v>
      </c>
      <c r="P307" s="74">
        <v>0</v>
      </c>
      <c r="Q307" s="74">
        <v>0</v>
      </c>
      <c r="R307" s="74">
        <v>0</v>
      </c>
      <c r="S307" s="99" t="s">
        <v>870</v>
      </c>
      <c r="T307" s="10">
        <v>4</v>
      </c>
      <c r="U307" s="10">
        <v>4</v>
      </c>
      <c r="V307" s="10">
        <v>0</v>
      </c>
      <c r="W307" s="10">
        <v>1</v>
      </c>
      <c r="X307" s="74">
        <v>1</v>
      </c>
      <c r="Y307" s="74">
        <v>0</v>
      </c>
      <c r="Z307" s="74">
        <v>0</v>
      </c>
      <c r="AA307" s="74">
        <v>0</v>
      </c>
      <c r="AB307" s="74">
        <v>0</v>
      </c>
      <c r="AC307" s="74">
        <v>0</v>
      </c>
      <c r="AD307" s="74">
        <v>0</v>
      </c>
      <c r="AE307" s="74">
        <v>0</v>
      </c>
      <c r="AF307" s="74">
        <v>0</v>
      </c>
      <c r="AG307" s="90">
        <f t="shared" si="7"/>
        <v>16</v>
      </c>
      <c r="AH307" s="90">
        <f t="shared" si="8"/>
        <v>15</v>
      </c>
      <c r="AI307" s="90">
        <f t="shared" si="9"/>
        <v>1</v>
      </c>
    </row>
    <row r="308" spans="1:35" x14ac:dyDescent="0.35">
      <c r="C308" s="96">
        <v>46066</v>
      </c>
      <c r="D308" s="97">
        <v>10</v>
      </c>
      <c r="E308" s="97" t="s">
        <v>889</v>
      </c>
      <c r="F308" s="10">
        <v>6</v>
      </c>
      <c r="G308" s="10">
        <v>3</v>
      </c>
      <c r="H308" s="10">
        <v>0</v>
      </c>
      <c r="I308" s="10">
        <v>1</v>
      </c>
      <c r="J308" s="74">
        <v>0</v>
      </c>
      <c r="K308" s="74">
        <v>0</v>
      </c>
      <c r="L308" s="74">
        <v>0</v>
      </c>
      <c r="M308" s="74">
        <v>1</v>
      </c>
      <c r="N308" s="74">
        <v>0</v>
      </c>
      <c r="O308" s="74">
        <v>0</v>
      </c>
      <c r="P308" s="74">
        <v>0</v>
      </c>
      <c r="Q308" s="74">
        <v>0</v>
      </c>
      <c r="R308" s="74">
        <v>0</v>
      </c>
      <c r="S308" s="97" t="s">
        <v>888</v>
      </c>
      <c r="T308" s="10">
        <v>2</v>
      </c>
      <c r="U308" s="10">
        <v>1</v>
      </c>
      <c r="V308" s="10">
        <v>0</v>
      </c>
      <c r="W308" s="10">
        <v>0</v>
      </c>
      <c r="X308" s="74">
        <v>1</v>
      </c>
      <c r="Y308" s="74">
        <v>0</v>
      </c>
      <c r="Z308" s="74">
        <v>0</v>
      </c>
      <c r="AA308" s="74">
        <v>0</v>
      </c>
      <c r="AB308" s="74">
        <v>0</v>
      </c>
      <c r="AC308" s="74">
        <v>0</v>
      </c>
      <c r="AD308" s="74">
        <v>0</v>
      </c>
      <c r="AE308" s="74">
        <v>0</v>
      </c>
      <c r="AF308" s="74">
        <v>0</v>
      </c>
      <c r="AG308" s="90">
        <f t="shared" si="7"/>
        <v>15</v>
      </c>
      <c r="AH308" s="90">
        <f t="shared" si="8"/>
        <v>13</v>
      </c>
      <c r="AI308" s="90">
        <f t="shared" si="9"/>
        <v>2</v>
      </c>
    </row>
    <row r="309" spans="1:35" x14ac:dyDescent="0.35">
      <c r="C309" s="96">
        <v>46070</v>
      </c>
      <c r="D309" s="97">
        <v>10</v>
      </c>
      <c r="E309" s="97" t="s">
        <v>908</v>
      </c>
      <c r="F309" s="10">
        <v>6</v>
      </c>
      <c r="G309" s="10">
        <v>2</v>
      </c>
      <c r="H309" s="10">
        <v>0</v>
      </c>
      <c r="I309" s="10">
        <v>0</v>
      </c>
      <c r="J309" s="74">
        <v>0</v>
      </c>
      <c r="K309" s="74">
        <v>0</v>
      </c>
      <c r="L309" s="74">
        <v>0</v>
      </c>
      <c r="M309" s="74">
        <v>1</v>
      </c>
      <c r="N309" s="74">
        <v>0</v>
      </c>
      <c r="O309" s="74">
        <v>0</v>
      </c>
      <c r="P309" s="74">
        <v>0</v>
      </c>
      <c r="Q309" s="74">
        <v>0</v>
      </c>
      <c r="R309" s="74">
        <v>0</v>
      </c>
      <c r="S309" s="97" t="s">
        <v>907</v>
      </c>
      <c r="T309" s="10">
        <v>3</v>
      </c>
      <c r="U309" s="10">
        <v>4</v>
      </c>
      <c r="V309" s="10">
        <v>0</v>
      </c>
      <c r="W309" s="10">
        <v>0</v>
      </c>
      <c r="X309" s="74">
        <v>0</v>
      </c>
      <c r="Y309" s="74">
        <v>0</v>
      </c>
      <c r="Z309" s="74">
        <v>0</v>
      </c>
      <c r="AA309" s="74">
        <v>0</v>
      </c>
      <c r="AB309" s="74">
        <v>0</v>
      </c>
      <c r="AC309" s="74">
        <v>1</v>
      </c>
      <c r="AD309" s="74">
        <v>0</v>
      </c>
      <c r="AE309" s="74">
        <v>0</v>
      </c>
      <c r="AF309" s="74">
        <v>0</v>
      </c>
      <c r="AG309" s="90">
        <f t="shared" si="7"/>
        <v>17</v>
      </c>
      <c r="AH309" s="90">
        <f t="shared" si="8"/>
        <v>15</v>
      </c>
      <c r="AI309" s="90">
        <f t="shared" si="9"/>
        <v>2</v>
      </c>
    </row>
    <row r="310" spans="1:35" x14ac:dyDescent="0.35">
      <c r="C310" s="96">
        <v>46074</v>
      </c>
      <c r="D310" s="97">
        <v>10</v>
      </c>
      <c r="E310" s="97" t="s">
        <v>200</v>
      </c>
      <c r="F310" s="10">
        <v>4</v>
      </c>
      <c r="G310" s="10">
        <v>3</v>
      </c>
      <c r="H310" s="10">
        <v>0</v>
      </c>
      <c r="I310" s="10">
        <v>0</v>
      </c>
      <c r="J310" s="74">
        <v>0</v>
      </c>
      <c r="K310" s="74">
        <v>0</v>
      </c>
      <c r="L310" s="74">
        <v>0</v>
      </c>
      <c r="M310" s="74">
        <v>0</v>
      </c>
      <c r="N310" s="74">
        <v>0</v>
      </c>
      <c r="O310" s="74">
        <v>0</v>
      </c>
      <c r="P310" s="74">
        <v>0</v>
      </c>
      <c r="Q310" s="74">
        <v>0</v>
      </c>
      <c r="R310" s="74">
        <v>0</v>
      </c>
      <c r="S310" s="97" t="s">
        <v>932</v>
      </c>
      <c r="T310" s="10">
        <v>0</v>
      </c>
      <c r="U310" s="10">
        <v>2</v>
      </c>
      <c r="V310" s="10">
        <v>1</v>
      </c>
      <c r="W310" s="10">
        <v>0</v>
      </c>
      <c r="X310" s="74">
        <v>0</v>
      </c>
      <c r="Y310" s="74">
        <v>1</v>
      </c>
      <c r="Z310" s="74">
        <v>1</v>
      </c>
      <c r="AA310" s="74">
        <v>0</v>
      </c>
      <c r="AB310" s="74">
        <v>0</v>
      </c>
      <c r="AC310" s="74">
        <v>0</v>
      </c>
      <c r="AD310" s="74">
        <v>0</v>
      </c>
      <c r="AE310" s="74">
        <v>0</v>
      </c>
      <c r="AF310" s="74">
        <v>0</v>
      </c>
      <c r="AG310" s="90">
        <f t="shared" si="7"/>
        <v>12</v>
      </c>
      <c r="AH310" s="90">
        <f t="shared" si="8"/>
        <v>10</v>
      </c>
      <c r="AI310" s="90">
        <f t="shared" si="9"/>
        <v>2</v>
      </c>
    </row>
    <row r="311" spans="1:35" ht="29" x14ac:dyDescent="0.35">
      <c r="C311" s="96">
        <v>46077</v>
      </c>
      <c r="D311" s="97">
        <v>10</v>
      </c>
      <c r="E311" s="97" t="s">
        <v>951</v>
      </c>
      <c r="F311" s="10">
        <v>4</v>
      </c>
      <c r="G311" s="10">
        <v>4</v>
      </c>
      <c r="H311" s="10">
        <v>0</v>
      </c>
      <c r="I311" s="10">
        <v>3</v>
      </c>
      <c r="J311" s="74">
        <v>0</v>
      </c>
      <c r="K311" s="74">
        <v>0</v>
      </c>
      <c r="L311" s="74">
        <v>0</v>
      </c>
      <c r="M311" s="74">
        <v>0</v>
      </c>
      <c r="N311" s="74">
        <v>0</v>
      </c>
      <c r="O311" s="74">
        <v>0</v>
      </c>
      <c r="P311" s="74">
        <v>0</v>
      </c>
      <c r="Q311" s="74">
        <v>0</v>
      </c>
      <c r="R311" s="74">
        <v>0</v>
      </c>
      <c r="S311" s="99" t="s">
        <v>950</v>
      </c>
      <c r="T311" s="10">
        <v>3</v>
      </c>
      <c r="U311" s="10">
        <v>3</v>
      </c>
      <c r="V311" s="10">
        <v>2</v>
      </c>
      <c r="W311" s="10">
        <v>0</v>
      </c>
      <c r="X311" s="74">
        <v>0</v>
      </c>
      <c r="Y311" s="74">
        <v>0</v>
      </c>
      <c r="Z311" s="74">
        <v>0</v>
      </c>
      <c r="AA311" s="74">
        <v>0</v>
      </c>
      <c r="AB311" s="74">
        <v>0</v>
      </c>
      <c r="AC311" s="74">
        <v>1</v>
      </c>
      <c r="AD311" s="74">
        <v>0</v>
      </c>
      <c r="AE311" s="74">
        <v>0</v>
      </c>
      <c r="AF311" s="74">
        <v>0</v>
      </c>
      <c r="AG311" s="90">
        <f t="shared" si="7"/>
        <v>20</v>
      </c>
      <c r="AH311" s="90">
        <f t="shared" si="8"/>
        <v>19</v>
      </c>
      <c r="AI311" s="90">
        <f t="shared" si="9"/>
        <v>1</v>
      </c>
    </row>
    <row r="312" spans="1:35" x14ac:dyDescent="0.35">
      <c r="C312" s="96">
        <v>46080</v>
      </c>
      <c r="D312" s="97">
        <v>10</v>
      </c>
      <c r="E312" s="97" t="s">
        <v>979</v>
      </c>
      <c r="F312" s="10">
        <v>5</v>
      </c>
      <c r="G312" s="10">
        <v>5</v>
      </c>
      <c r="H312" s="10">
        <v>0</v>
      </c>
      <c r="I312" s="10">
        <v>2</v>
      </c>
      <c r="J312" s="74">
        <v>0</v>
      </c>
      <c r="K312" s="74">
        <v>0</v>
      </c>
      <c r="L312" s="74">
        <v>0</v>
      </c>
      <c r="M312" s="74">
        <v>0</v>
      </c>
      <c r="N312" s="74">
        <v>0</v>
      </c>
      <c r="O312" s="74">
        <v>0</v>
      </c>
      <c r="P312" s="74">
        <v>0</v>
      </c>
      <c r="Q312" s="74">
        <v>0</v>
      </c>
      <c r="R312" s="74">
        <v>0</v>
      </c>
      <c r="S312" s="97" t="s">
        <v>978</v>
      </c>
      <c r="T312" s="10">
        <v>2</v>
      </c>
      <c r="U312" s="10">
        <v>4</v>
      </c>
      <c r="V312" s="10">
        <v>0</v>
      </c>
      <c r="W312" s="10">
        <v>0</v>
      </c>
      <c r="X312" s="74">
        <v>1</v>
      </c>
      <c r="Y312" s="74">
        <v>0</v>
      </c>
      <c r="Z312" s="74">
        <v>0</v>
      </c>
      <c r="AA312" s="74">
        <v>0</v>
      </c>
      <c r="AB312" s="74">
        <v>0</v>
      </c>
      <c r="AC312" s="74">
        <v>0</v>
      </c>
      <c r="AD312" s="74">
        <v>0</v>
      </c>
      <c r="AE312" s="74">
        <v>0</v>
      </c>
      <c r="AF312" s="74">
        <v>0</v>
      </c>
      <c r="AG312" s="90">
        <f t="shared" si="7"/>
        <v>19</v>
      </c>
      <c r="AH312" s="90">
        <f t="shared" si="8"/>
        <v>18</v>
      </c>
      <c r="AI312" s="90">
        <f t="shared" si="9"/>
        <v>1</v>
      </c>
    </row>
    <row r="313" spans="1:35" x14ac:dyDescent="0.35">
      <c r="C313" s="96">
        <v>46084</v>
      </c>
      <c r="D313" s="97">
        <v>10</v>
      </c>
      <c r="E313" s="97" t="s">
        <v>124</v>
      </c>
      <c r="F313" s="10">
        <v>4</v>
      </c>
      <c r="G313" s="10">
        <v>1</v>
      </c>
      <c r="H313" s="10">
        <v>0</v>
      </c>
      <c r="I313" s="10">
        <v>0</v>
      </c>
      <c r="J313" s="74">
        <v>0</v>
      </c>
      <c r="K313" s="74">
        <v>0</v>
      </c>
      <c r="L313" s="74">
        <v>0</v>
      </c>
      <c r="M313" s="74">
        <v>0</v>
      </c>
      <c r="N313" s="74">
        <v>0</v>
      </c>
      <c r="O313" s="74">
        <v>0</v>
      </c>
      <c r="P313" s="74">
        <v>0</v>
      </c>
      <c r="Q313" s="74">
        <v>0</v>
      </c>
      <c r="R313" s="74">
        <v>0</v>
      </c>
      <c r="S313" s="97" t="s">
        <v>122</v>
      </c>
      <c r="T313" s="10">
        <v>4</v>
      </c>
      <c r="U313" s="10">
        <v>3</v>
      </c>
      <c r="V313" s="10">
        <v>0</v>
      </c>
      <c r="W313" s="10">
        <v>0</v>
      </c>
      <c r="X313" s="74">
        <v>0</v>
      </c>
      <c r="Y313" s="74">
        <v>1</v>
      </c>
      <c r="Z313" s="74">
        <v>0</v>
      </c>
      <c r="AA313" s="74">
        <v>0</v>
      </c>
      <c r="AB313" s="74">
        <v>0</v>
      </c>
      <c r="AC313" s="74">
        <v>0</v>
      </c>
      <c r="AD313" s="74">
        <v>0</v>
      </c>
      <c r="AE313" s="74">
        <v>0</v>
      </c>
      <c r="AF313" s="74">
        <v>0</v>
      </c>
      <c r="AG313" s="90">
        <f t="shared" si="7"/>
        <v>13</v>
      </c>
      <c r="AH313" s="90">
        <f t="shared" si="8"/>
        <v>12</v>
      </c>
      <c r="AI313" s="90">
        <f t="shared" si="9"/>
        <v>1</v>
      </c>
    </row>
    <row r="314" spans="1:35" x14ac:dyDescent="0.35">
      <c r="C314" s="96">
        <v>46088</v>
      </c>
      <c r="D314" s="97">
        <v>10</v>
      </c>
      <c r="E314" s="97" t="s">
        <v>100</v>
      </c>
      <c r="F314" s="10">
        <v>6</v>
      </c>
      <c r="G314" s="10">
        <v>0</v>
      </c>
      <c r="H314" s="10">
        <v>0</v>
      </c>
      <c r="I314" s="10">
        <v>0</v>
      </c>
      <c r="J314" s="74">
        <v>0</v>
      </c>
      <c r="K314" s="74">
        <v>0</v>
      </c>
      <c r="L314" s="74">
        <v>0</v>
      </c>
      <c r="M314" s="74">
        <v>0</v>
      </c>
      <c r="N314" s="74">
        <v>0</v>
      </c>
      <c r="O314" s="74">
        <v>0</v>
      </c>
      <c r="P314" s="74">
        <v>0</v>
      </c>
      <c r="Q314" s="74">
        <v>0</v>
      </c>
      <c r="R314" s="74">
        <v>0</v>
      </c>
      <c r="S314" s="97" t="s">
        <v>207</v>
      </c>
      <c r="T314" s="10">
        <v>0</v>
      </c>
      <c r="U314" s="10">
        <v>3</v>
      </c>
      <c r="V314" s="10">
        <v>0</v>
      </c>
      <c r="W314" s="10">
        <v>1</v>
      </c>
      <c r="X314" s="74">
        <v>0</v>
      </c>
      <c r="Y314" s="74">
        <v>1</v>
      </c>
      <c r="Z314" s="74">
        <v>0</v>
      </c>
      <c r="AA314" s="74">
        <v>1</v>
      </c>
      <c r="AB314" s="74">
        <v>0</v>
      </c>
      <c r="AC314" s="74">
        <v>0</v>
      </c>
      <c r="AD314" s="74">
        <v>0</v>
      </c>
      <c r="AE314" s="74">
        <v>0</v>
      </c>
      <c r="AF314" s="74">
        <v>0</v>
      </c>
      <c r="AG314" s="90">
        <f t="shared" si="7"/>
        <v>12</v>
      </c>
      <c r="AH314" s="90">
        <f t="shared" si="8"/>
        <v>10</v>
      </c>
      <c r="AI314" s="90">
        <f t="shared" si="9"/>
        <v>2</v>
      </c>
    </row>
    <row r="315" spans="1:35" x14ac:dyDescent="0.35">
      <c r="C315" s="96">
        <v>46091</v>
      </c>
      <c r="D315" s="97">
        <v>10</v>
      </c>
      <c r="E315" s="97" t="s">
        <v>1066</v>
      </c>
      <c r="F315" s="10">
        <v>6</v>
      </c>
      <c r="G315" s="10">
        <v>1</v>
      </c>
      <c r="H315" s="10">
        <v>0</v>
      </c>
      <c r="I315" s="10">
        <v>0</v>
      </c>
      <c r="J315" s="74">
        <v>1</v>
      </c>
      <c r="K315" s="74">
        <v>0</v>
      </c>
      <c r="L315" s="74">
        <v>0</v>
      </c>
      <c r="M315" s="74">
        <v>0</v>
      </c>
      <c r="N315" s="74">
        <v>0</v>
      </c>
      <c r="O315" s="74">
        <v>0</v>
      </c>
      <c r="P315" s="74">
        <v>0</v>
      </c>
      <c r="Q315" s="74">
        <v>0</v>
      </c>
      <c r="R315" s="74">
        <v>0</v>
      </c>
      <c r="S315" s="97" t="s">
        <v>1065</v>
      </c>
      <c r="T315" s="10">
        <v>2</v>
      </c>
      <c r="U315" s="10">
        <v>1</v>
      </c>
      <c r="V315" s="10">
        <v>0</v>
      </c>
      <c r="W315" s="10">
        <v>1</v>
      </c>
      <c r="X315" s="74">
        <v>0</v>
      </c>
      <c r="Y315" s="74">
        <v>0</v>
      </c>
      <c r="Z315" s="74">
        <v>0</v>
      </c>
      <c r="AA315" s="74">
        <v>0</v>
      </c>
      <c r="AB315" s="74">
        <v>0</v>
      </c>
      <c r="AC315" s="74">
        <v>1</v>
      </c>
      <c r="AD315" s="74">
        <v>0</v>
      </c>
      <c r="AE315" s="74">
        <v>0</v>
      </c>
      <c r="AF315" s="74">
        <v>0</v>
      </c>
      <c r="AG315" s="90">
        <f t="shared" si="7"/>
        <v>13</v>
      </c>
      <c r="AH315" s="90">
        <f t="shared" si="8"/>
        <v>11</v>
      </c>
      <c r="AI315" s="90">
        <f t="shared" si="9"/>
        <v>2</v>
      </c>
    </row>
    <row r="316" spans="1:35" x14ac:dyDescent="0.35">
      <c r="C316" s="96">
        <v>46098</v>
      </c>
      <c r="D316" s="97">
        <v>10</v>
      </c>
      <c r="E316" s="97" t="s">
        <v>802</v>
      </c>
      <c r="F316" s="10">
        <v>4</v>
      </c>
      <c r="G316" s="10">
        <v>0</v>
      </c>
      <c r="H316" s="10">
        <v>1</v>
      </c>
      <c r="I316" s="10">
        <v>0</v>
      </c>
      <c r="J316" s="74">
        <v>0</v>
      </c>
      <c r="K316" s="74">
        <v>0</v>
      </c>
      <c r="L316" s="74">
        <v>0</v>
      </c>
      <c r="M316" s="74">
        <v>0</v>
      </c>
      <c r="N316" s="74">
        <v>0</v>
      </c>
      <c r="O316" s="74">
        <v>0</v>
      </c>
      <c r="P316" s="74">
        <v>0</v>
      </c>
      <c r="Q316" s="74">
        <v>0</v>
      </c>
      <c r="R316" s="74">
        <v>0</v>
      </c>
      <c r="S316" s="97" t="s">
        <v>1101</v>
      </c>
      <c r="T316" s="10">
        <v>6</v>
      </c>
      <c r="U316" s="10">
        <v>3</v>
      </c>
      <c r="V316" s="10">
        <v>0</v>
      </c>
      <c r="W316" s="10">
        <v>0</v>
      </c>
      <c r="X316" s="74">
        <v>0</v>
      </c>
      <c r="Y316" s="74">
        <v>0</v>
      </c>
      <c r="Z316" s="74">
        <v>0</v>
      </c>
      <c r="AA316" s="74">
        <v>0</v>
      </c>
      <c r="AB316" s="74">
        <v>0</v>
      </c>
      <c r="AC316" s="74">
        <v>1</v>
      </c>
      <c r="AD316" s="74">
        <v>0</v>
      </c>
      <c r="AE316" s="74">
        <v>0</v>
      </c>
      <c r="AF316" s="74">
        <v>0</v>
      </c>
      <c r="AG316" s="90">
        <f t="shared" si="7"/>
        <v>15</v>
      </c>
      <c r="AH316" s="90">
        <f t="shared" si="8"/>
        <v>14</v>
      </c>
      <c r="AI316" s="90">
        <f t="shared" si="9"/>
        <v>1</v>
      </c>
    </row>
    <row r="317" spans="1:35" x14ac:dyDescent="0.35">
      <c r="C317" s="96">
        <v>46105</v>
      </c>
      <c r="D317" s="97">
        <v>10</v>
      </c>
      <c r="E317" s="97" t="s">
        <v>1131</v>
      </c>
      <c r="F317" s="10">
        <v>2</v>
      </c>
      <c r="G317" s="10">
        <v>0</v>
      </c>
      <c r="H317" s="10">
        <v>0</v>
      </c>
      <c r="I317" s="10">
        <v>0</v>
      </c>
      <c r="J317" s="74">
        <v>0</v>
      </c>
      <c r="K317" s="74">
        <v>0</v>
      </c>
      <c r="L317" s="74">
        <v>0</v>
      </c>
      <c r="M317" s="74">
        <v>2</v>
      </c>
      <c r="N317" s="74">
        <v>0</v>
      </c>
      <c r="O317" s="74">
        <v>0</v>
      </c>
      <c r="P317" s="74">
        <v>0</v>
      </c>
      <c r="Q317" s="74">
        <v>0</v>
      </c>
      <c r="R317" s="74">
        <v>0</v>
      </c>
      <c r="S317" s="97" t="s">
        <v>1132</v>
      </c>
      <c r="T317" s="10">
        <v>2</v>
      </c>
      <c r="U317" s="10">
        <v>1</v>
      </c>
      <c r="V317" s="10">
        <v>0</v>
      </c>
      <c r="W317" s="10">
        <v>0</v>
      </c>
      <c r="X317" s="74">
        <v>0</v>
      </c>
      <c r="Y317" s="74">
        <v>0</v>
      </c>
      <c r="Z317" s="74">
        <v>0</v>
      </c>
      <c r="AA317" s="74">
        <v>0</v>
      </c>
      <c r="AB317" s="74">
        <v>1</v>
      </c>
      <c r="AC317" s="74">
        <v>0</v>
      </c>
      <c r="AD317" s="74">
        <v>0</v>
      </c>
      <c r="AE317" s="74">
        <v>0</v>
      </c>
      <c r="AF317" s="74">
        <v>0</v>
      </c>
      <c r="AG317" s="90">
        <f t="shared" si="7"/>
        <v>8</v>
      </c>
      <c r="AH317" s="90">
        <f t="shared" si="8"/>
        <v>5</v>
      </c>
      <c r="AI317" s="90">
        <f t="shared" si="9"/>
        <v>3</v>
      </c>
    </row>
    <row r="318" spans="1:35" x14ac:dyDescent="0.35">
      <c r="C318" s="96">
        <v>46112</v>
      </c>
      <c r="D318" s="97">
        <v>10</v>
      </c>
      <c r="E318" s="97" t="s">
        <v>1190</v>
      </c>
      <c r="F318" s="10">
        <v>0</v>
      </c>
      <c r="G318" s="10">
        <v>0</v>
      </c>
      <c r="H318" s="10">
        <v>0</v>
      </c>
      <c r="I318" s="10">
        <v>1</v>
      </c>
      <c r="J318" s="74">
        <v>0</v>
      </c>
      <c r="K318" s="74">
        <v>0</v>
      </c>
      <c r="L318" s="74">
        <v>0</v>
      </c>
      <c r="M318" s="74">
        <v>0</v>
      </c>
      <c r="N318" s="74">
        <v>0</v>
      </c>
      <c r="O318" s="74">
        <v>1</v>
      </c>
      <c r="P318" s="74">
        <v>0</v>
      </c>
      <c r="Q318" s="74">
        <v>0</v>
      </c>
      <c r="R318" s="74">
        <v>0</v>
      </c>
      <c r="S318" s="97" t="s">
        <v>1175</v>
      </c>
      <c r="T318" s="10">
        <v>1</v>
      </c>
      <c r="U318" s="10">
        <v>2</v>
      </c>
      <c r="V318" s="10">
        <v>3</v>
      </c>
      <c r="W318" s="10">
        <v>0</v>
      </c>
      <c r="X318" s="74">
        <v>0</v>
      </c>
      <c r="Y318" s="74">
        <v>0</v>
      </c>
      <c r="Z318" s="74">
        <v>0</v>
      </c>
      <c r="AA318" s="74">
        <v>0</v>
      </c>
      <c r="AB318" s="74">
        <v>0</v>
      </c>
      <c r="AC318" s="74">
        <v>0</v>
      </c>
      <c r="AD318" s="74">
        <v>0</v>
      </c>
      <c r="AE318" s="74">
        <v>0</v>
      </c>
      <c r="AF318" s="74">
        <v>0</v>
      </c>
      <c r="AG318" s="90">
        <f t="shared" si="7"/>
        <v>8</v>
      </c>
      <c r="AH318" s="90">
        <f t="shared" si="8"/>
        <v>7</v>
      </c>
      <c r="AI318" s="90">
        <f t="shared" si="9"/>
        <v>1</v>
      </c>
    </row>
    <row r="320" spans="1:35" x14ac:dyDescent="0.35">
      <c r="A320" s="93">
        <v>17</v>
      </c>
      <c r="B320" s="95" t="s">
        <v>845</v>
      </c>
      <c r="C320" s="96">
        <v>46056</v>
      </c>
      <c r="D320" s="97">
        <v>9</v>
      </c>
      <c r="E320" s="97" t="s">
        <v>184</v>
      </c>
      <c r="F320" s="10">
        <v>3</v>
      </c>
      <c r="G320" s="10">
        <v>2</v>
      </c>
      <c r="H320" s="10">
        <v>0</v>
      </c>
      <c r="I320" s="10">
        <v>0</v>
      </c>
      <c r="J320" s="74">
        <v>0</v>
      </c>
      <c r="K320" s="74">
        <v>0</v>
      </c>
      <c r="L320" s="74">
        <v>0</v>
      </c>
      <c r="M320" s="74">
        <v>0</v>
      </c>
      <c r="N320" s="74">
        <v>0</v>
      </c>
      <c r="O320" s="74">
        <v>0</v>
      </c>
      <c r="P320" s="74">
        <v>0</v>
      </c>
      <c r="Q320" s="74">
        <v>0</v>
      </c>
      <c r="R320" s="74">
        <v>0</v>
      </c>
      <c r="S320" s="97" t="s">
        <v>305</v>
      </c>
      <c r="T320" s="10">
        <v>4</v>
      </c>
      <c r="U320" s="10">
        <v>0</v>
      </c>
      <c r="V320" s="10">
        <v>0</v>
      </c>
      <c r="W320" s="10">
        <v>0</v>
      </c>
      <c r="X320" s="74">
        <v>0</v>
      </c>
      <c r="Y320" s="74">
        <v>0</v>
      </c>
      <c r="Z320" s="74">
        <v>0</v>
      </c>
      <c r="AA320" s="74">
        <v>1</v>
      </c>
      <c r="AB320" s="74">
        <v>0</v>
      </c>
      <c r="AC320" s="74">
        <v>0</v>
      </c>
      <c r="AD320" s="74">
        <v>0</v>
      </c>
      <c r="AE320" s="74">
        <v>0</v>
      </c>
      <c r="AF320" s="74">
        <v>0</v>
      </c>
      <c r="AG320" s="90">
        <f t="shared" ref="AG320:AG398" si="10">F320+G320+H320+I320+J320+K320+L320+M320+N320+O320+P320+Q320+R320+T320+U320+V320+W320+X320+Y320+Z320+AA320+AB320+AC320+AD320+AE320+AF320</f>
        <v>10</v>
      </c>
      <c r="AH320" s="90">
        <f t="shared" ref="AH320:AH398" si="11">F320+G320+H320+I320+T320+U320+V320+W320</f>
        <v>9</v>
      </c>
      <c r="AI320" s="90">
        <f t="shared" ref="AI320:AI398" si="12">J320+K320+L320+M320+N320+O320+P320+Q320+R320+X320+Y320+Z320+AA320+AB320+AC320+AD320+AE320+AF320</f>
        <v>1</v>
      </c>
    </row>
    <row r="321" spans="1:35" x14ac:dyDescent="0.35">
      <c r="C321" s="96">
        <v>46059</v>
      </c>
      <c r="D321" s="97">
        <v>9</v>
      </c>
      <c r="E321" s="97" t="s">
        <v>858</v>
      </c>
      <c r="F321" s="10">
        <v>2</v>
      </c>
      <c r="G321" s="10">
        <v>0</v>
      </c>
      <c r="H321" s="10">
        <v>0</v>
      </c>
      <c r="I321" s="10">
        <v>0</v>
      </c>
      <c r="J321" s="74">
        <v>0</v>
      </c>
      <c r="K321" s="74">
        <v>0</v>
      </c>
      <c r="L321" s="74">
        <v>0</v>
      </c>
      <c r="M321" s="74">
        <v>0</v>
      </c>
      <c r="N321" s="74">
        <v>0</v>
      </c>
      <c r="O321" s="74">
        <v>0</v>
      </c>
      <c r="P321" s="74">
        <v>0</v>
      </c>
      <c r="Q321" s="74">
        <v>0</v>
      </c>
      <c r="R321" s="74">
        <v>0</v>
      </c>
      <c r="S321" s="97" t="s">
        <v>186</v>
      </c>
      <c r="T321" s="10">
        <v>1</v>
      </c>
      <c r="U321" s="10">
        <v>0</v>
      </c>
      <c r="V321" s="10">
        <v>0</v>
      </c>
      <c r="W321" s="10">
        <v>0</v>
      </c>
      <c r="X321" s="74">
        <v>0</v>
      </c>
      <c r="Y321" s="74">
        <v>0</v>
      </c>
      <c r="Z321" s="74">
        <v>0</v>
      </c>
      <c r="AA321" s="74">
        <v>0</v>
      </c>
      <c r="AB321" s="74">
        <v>0</v>
      </c>
      <c r="AC321" s="74">
        <v>0</v>
      </c>
      <c r="AD321" s="74">
        <v>0</v>
      </c>
      <c r="AE321" s="74">
        <v>0</v>
      </c>
      <c r="AF321" s="74">
        <v>0</v>
      </c>
      <c r="AG321" s="90">
        <f t="shared" si="10"/>
        <v>3</v>
      </c>
      <c r="AH321" s="90">
        <f t="shared" si="11"/>
        <v>3</v>
      </c>
      <c r="AI321" s="90">
        <f t="shared" si="12"/>
        <v>0</v>
      </c>
    </row>
    <row r="322" spans="1:35" x14ac:dyDescent="0.35">
      <c r="C322" s="96">
        <v>46062</v>
      </c>
      <c r="D322" s="97">
        <v>9</v>
      </c>
      <c r="E322" s="97" t="s">
        <v>407</v>
      </c>
      <c r="F322" s="10">
        <v>2</v>
      </c>
      <c r="G322" s="10">
        <v>0</v>
      </c>
      <c r="H322" s="10">
        <v>0</v>
      </c>
      <c r="I322" s="10">
        <v>0</v>
      </c>
      <c r="J322" s="74">
        <v>0</v>
      </c>
      <c r="K322" s="74">
        <v>0</v>
      </c>
      <c r="L322" s="74">
        <v>0</v>
      </c>
      <c r="M322" s="74">
        <v>0</v>
      </c>
      <c r="N322" s="74">
        <v>0</v>
      </c>
      <c r="O322" s="74">
        <v>0</v>
      </c>
      <c r="P322" s="74">
        <v>0</v>
      </c>
      <c r="Q322" s="74">
        <v>0</v>
      </c>
      <c r="R322" s="74">
        <v>0</v>
      </c>
      <c r="S322" s="97" t="s">
        <v>115</v>
      </c>
      <c r="T322" s="10">
        <v>1</v>
      </c>
      <c r="U322" s="10">
        <v>0</v>
      </c>
      <c r="V322" s="10">
        <v>0</v>
      </c>
      <c r="W322" s="10">
        <v>0</v>
      </c>
      <c r="X322" s="74">
        <v>0</v>
      </c>
      <c r="Y322" s="74">
        <v>1</v>
      </c>
      <c r="Z322" s="74">
        <v>0</v>
      </c>
      <c r="AA322" s="74">
        <v>0</v>
      </c>
      <c r="AB322" s="74">
        <v>0</v>
      </c>
      <c r="AC322" s="74">
        <v>0</v>
      </c>
      <c r="AD322" s="74">
        <v>0</v>
      </c>
      <c r="AE322" s="74">
        <v>0</v>
      </c>
      <c r="AF322" s="74">
        <v>0</v>
      </c>
      <c r="AG322" s="90">
        <f t="shared" si="10"/>
        <v>4</v>
      </c>
      <c r="AH322" s="90">
        <f t="shared" si="11"/>
        <v>3</v>
      </c>
      <c r="AI322" s="90">
        <f t="shared" si="12"/>
        <v>1</v>
      </c>
    </row>
    <row r="323" spans="1:35" x14ac:dyDescent="0.35">
      <c r="C323" s="96">
        <v>46066</v>
      </c>
      <c r="D323" s="97">
        <v>9</v>
      </c>
      <c r="E323" s="97" t="s">
        <v>247</v>
      </c>
      <c r="F323" s="10">
        <v>0</v>
      </c>
      <c r="G323" s="10">
        <v>1</v>
      </c>
      <c r="H323" s="10">
        <v>0</v>
      </c>
      <c r="I323" s="10">
        <v>1</v>
      </c>
      <c r="J323" s="74">
        <v>0</v>
      </c>
      <c r="K323" s="74">
        <v>0</v>
      </c>
      <c r="L323" s="74">
        <v>0</v>
      </c>
      <c r="M323" s="74">
        <v>0</v>
      </c>
      <c r="N323" s="74">
        <v>0</v>
      </c>
      <c r="O323" s="74">
        <v>0</v>
      </c>
      <c r="P323" s="74">
        <v>0</v>
      </c>
      <c r="Q323" s="74">
        <v>0</v>
      </c>
      <c r="R323" s="74">
        <v>0</v>
      </c>
      <c r="S323" s="97" t="s">
        <v>560</v>
      </c>
      <c r="T323" s="10">
        <v>0</v>
      </c>
      <c r="U323" s="10">
        <v>1</v>
      </c>
      <c r="V323" s="10">
        <v>0</v>
      </c>
      <c r="W323" s="10">
        <v>2</v>
      </c>
      <c r="X323" s="74">
        <v>0</v>
      </c>
      <c r="Y323" s="74">
        <v>0</v>
      </c>
      <c r="Z323" s="74">
        <v>0</v>
      </c>
      <c r="AA323" s="74">
        <v>1</v>
      </c>
      <c r="AB323" s="74">
        <v>0</v>
      </c>
      <c r="AC323" s="74">
        <v>0</v>
      </c>
      <c r="AD323" s="74">
        <v>0</v>
      </c>
      <c r="AE323" s="74">
        <v>0</v>
      </c>
      <c r="AF323" s="74">
        <v>0</v>
      </c>
      <c r="AG323" s="90">
        <f t="shared" si="10"/>
        <v>6</v>
      </c>
      <c r="AH323" s="90">
        <f t="shared" si="11"/>
        <v>5</v>
      </c>
      <c r="AI323" s="90">
        <f t="shared" si="12"/>
        <v>1</v>
      </c>
    </row>
    <row r="324" spans="1:35" x14ac:dyDescent="0.35">
      <c r="C324" s="96">
        <v>46070</v>
      </c>
      <c r="D324" s="97">
        <v>9</v>
      </c>
      <c r="E324" s="97" t="s">
        <v>511</v>
      </c>
      <c r="F324" s="10">
        <v>0</v>
      </c>
      <c r="G324" s="10">
        <v>0</v>
      </c>
      <c r="H324" s="10">
        <v>1</v>
      </c>
      <c r="I324" s="10">
        <v>0</v>
      </c>
      <c r="J324" s="74">
        <v>0</v>
      </c>
      <c r="K324" s="74">
        <v>0</v>
      </c>
      <c r="L324" s="74">
        <v>0</v>
      </c>
      <c r="M324" s="74">
        <v>0</v>
      </c>
      <c r="N324" s="74">
        <v>0</v>
      </c>
      <c r="O324" s="74">
        <v>0</v>
      </c>
      <c r="P324" s="74">
        <v>0</v>
      </c>
      <c r="Q324" s="74">
        <v>0</v>
      </c>
      <c r="R324" s="74">
        <v>0</v>
      </c>
      <c r="S324" s="97" t="s">
        <v>317</v>
      </c>
      <c r="T324" s="10">
        <v>4</v>
      </c>
      <c r="U324" s="10">
        <v>0</v>
      </c>
      <c r="V324" s="10">
        <v>0</v>
      </c>
      <c r="W324" s="10">
        <v>1</v>
      </c>
      <c r="X324" s="74">
        <v>0</v>
      </c>
      <c r="Y324" s="74">
        <v>0</v>
      </c>
      <c r="Z324" s="74">
        <v>0</v>
      </c>
      <c r="AA324" s="74">
        <v>0</v>
      </c>
      <c r="AB324" s="74">
        <v>0</v>
      </c>
      <c r="AC324" s="74">
        <v>0</v>
      </c>
      <c r="AD324" s="74">
        <v>0</v>
      </c>
      <c r="AE324" s="74">
        <v>0</v>
      </c>
      <c r="AF324" s="74">
        <v>0</v>
      </c>
      <c r="AG324" s="90">
        <f t="shared" si="10"/>
        <v>6</v>
      </c>
      <c r="AH324" s="90">
        <f t="shared" si="11"/>
        <v>6</v>
      </c>
      <c r="AI324" s="90">
        <f t="shared" si="12"/>
        <v>0</v>
      </c>
    </row>
    <row r="325" spans="1:35" x14ac:dyDescent="0.35">
      <c r="C325" s="96">
        <v>46074</v>
      </c>
      <c r="D325" s="97">
        <v>9</v>
      </c>
      <c r="E325" s="97" t="s">
        <v>131</v>
      </c>
      <c r="F325" s="10">
        <v>3</v>
      </c>
      <c r="G325" s="10">
        <v>1</v>
      </c>
      <c r="H325" s="10">
        <v>0</v>
      </c>
      <c r="I325" s="10">
        <v>0</v>
      </c>
      <c r="J325" s="74">
        <v>0</v>
      </c>
      <c r="K325" s="74">
        <v>0</v>
      </c>
      <c r="L325" s="74">
        <v>0</v>
      </c>
      <c r="M325" s="74">
        <v>0</v>
      </c>
      <c r="N325" s="74">
        <v>0</v>
      </c>
      <c r="O325" s="74">
        <v>0</v>
      </c>
      <c r="P325" s="74">
        <v>0</v>
      </c>
      <c r="Q325" s="74">
        <v>0</v>
      </c>
      <c r="R325" s="74">
        <v>0</v>
      </c>
      <c r="S325" s="97" t="s">
        <v>934</v>
      </c>
      <c r="T325" s="10">
        <v>1</v>
      </c>
      <c r="U325" s="10">
        <v>1</v>
      </c>
      <c r="V325" s="10">
        <v>0</v>
      </c>
      <c r="W325" s="10">
        <v>0</v>
      </c>
      <c r="X325" s="74">
        <v>1</v>
      </c>
      <c r="Y325" s="74">
        <v>3</v>
      </c>
      <c r="Z325" s="74">
        <v>0</v>
      </c>
      <c r="AA325" s="74">
        <v>0</v>
      </c>
      <c r="AB325" s="74">
        <v>0</v>
      </c>
      <c r="AC325" s="74">
        <v>0</v>
      </c>
      <c r="AD325" s="74">
        <v>0</v>
      </c>
      <c r="AE325" s="74">
        <v>0</v>
      </c>
      <c r="AF325" s="74">
        <v>0</v>
      </c>
      <c r="AG325" s="90">
        <f t="shared" si="10"/>
        <v>10</v>
      </c>
      <c r="AH325" s="90">
        <f t="shared" si="11"/>
        <v>6</v>
      </c>
      <c r="AI325" s="90">
        <f t="shared" si="12"/>
        <v>4</v>
      </c>
    </row>
    <row r="326" spans="1:35" x14ac:dyDescent="0.35">
      <c r="C326" s="96">
        <v>46077</v>
      </c>
      <c r="D326" s="97">
        <v>9</v>
      </c>
      <c r="E326" s="97" t="s">
        <v>954</v>
      </c>
      <c r="F326" s="10">
        <v>2</v>
      </c>
      <c r="G326" s="10">
        <v>4</v>
      </c>
      <c r="H326" s="10">
        <v>0</v>
      </c>
      <c r="I326" s="10">
        <v>1</v>
      </c>
      <c r="J326" s="74">
        <v>0</v>
      </c>
      <c r="K326" s="74">
        <v>0</v>
      </c>
      <c r="L326" s="74">
        <v>0</v>
      </c>
      <c r="M326" s="74">
        <v>0</v>
      </c>
      <c r="N326" s="74">
        <v>0</v>
      </c>
      <c r="O326" s="74">
        <v>0</v>
      </c>
      <c r="P326" s="74">
        <v>0</v>
      </c>
      <c r="Q326" s="74">
        <v>0</v>
      </c>
      <c r="R326" s="74">
        <v>0</v>
      </c>
      <c r="S326" s="97" t="s">
        <v>953</v>
      </c>
      <c r="T326" s="10">
        <v>3</v>
      </c>
      <c r="U326" s="10">
        <v>0</v>
      </c>
      <c r="V326" s="10">
        <v>0</v>
      </c>
      <c r="W326" s="10">
        <v>0</v>
      </c>
      <c r="X326" s="74">
        <v>0</v>
      </c>
      <c r="Y326" s="74">
        <v>1</v>
      </c>
      <c r="Z326" s="74">
        <v>0</v>
      </c>
      <c r="AA326" s="74">
        <v>1</v>
      </c>
      <c r="AB326" s="74">
        <v>0</v>
      </c>
      <c r="AC326" s="74">
        <v>0</v>
      </c>
      <c r="AD326" s="74">
        <v>0</v>
      </c>
      <c r="AE326" s="74">
        <v>0</v>
      </c>
      <c r="AF326" s="74">
        <v>0</v>
      </c>
      <c r="AG326" s="90">
        <f t="shared" si="10"/>
        <v>12</v>
      </c>
      <c r="AH326" s="90">
        <f t="shared" si="11"/>
        <v>10</v>
      </c>
      <c r="AI326" s="90">
        <f t="shared" si="12"/>
        <v>2</v>
      </c>
    </row>
    <row r="327" spans="1:35" x14ac:dyDescent="0.35">
      <c r="C327" s="96">
        <v>46080</v>
      </c>
      <c r="D327" s="97">
        <v>9</v>
      </c>
      <c r="E327" s="97" t="s">
        <v>969</v>
      </c>
      <c r="F327" s="10">
        <v>0</v>
      </c>
      <c r="G327" s="10">
        <v>5</v>
      </c>
      <c r="H327" s="10">
        <v>0</v>
      </c>
      <c r="I327" s="10">
        <v>0</v>
      </c>
      <c r="J327" s="74">
        <v>0</v>
      </c>
      <c r="K327" s="74">
        <v>0</v>
      </c>
      <c r="L327" s="74">
        <v>0</v>
      </c>
      <c r="M327" s="74">
        <v>0</v>
      </c>
      <c r="N327" s="74">
        <v>0</v>
      </c>
      <c r="O327" s="74">
        <v>0</v>
      </c>
      <c r="P327" s="74">
        <v>0</v>
      </c>
      <c r="Q327" s="74">
        <v>0</v>
      </c>
      <c r="R327" s="74">
        <v>0</v>
      </c>
      <c r="S327" s="97" t="s">
        <v>974</v>
      </c>
      <c r="T327" s="10">
        <v>3</v>
      </c>
      <c r="U327" s="10">
        <v>1</v>
      </c>
      <c r="V327" s="10">
        <v>0</v>
      </c>
      <c r="W327" s="10">
        <v>0</v>
      </c>
      <c r="X327" s="74">
        <v>0</v>
      </c>
      <c r="Y327" s="74">
        <v>1</v>
      </c>
      <c r="Z327" s="74">
        <v>0</v>
      </c>
      <c r="AA327" s="74">
        <v>1</v>
      </c>
      <c r="AB327" s="74">
        <v>0</v>
      </c>
      <c r="AC327" s="74">
        <v>0</v>
      </c>
      <c r="AD327" s="74">
        <v>0</v>
      </c>
      <c r="AE327" s="74">
        <v>0</v>
      </c>
      <c r="AF327" s="74">
        <v>0</v>
      </c>
      <c r="AG327" s="90">
        <f t="shared" si="10"/>
        <v>11</v>
      </c>
      <c r="AH327" s="90">
        <f t="shared" si="11"/>
        <v>9</v>
      </c>
      <c r="AI327" s="90">
        <f t="shared" si="12"/>
        <v>2</v>
      </c>
    </row>
    <row r="328" spans="1:35" x14ac:dyDescent="0.35">
      <c r="C328" s="96">
        <v>46084</v>
      </c>
      <c r="D328" s="97">
        <v>9</v>
      </c>
      <c r="E328" s="97" t="s">
        <v>1007</v>
      </c>
      <c r="F328" s="10">
        <v>4</v>
      </c>
      <c r="G328" s="10">
        <v>1</v>
      </c>
      <c r="H328" s="10">
        <v>0</v>
      </c>
      <c r="I328" s="10">
        <v>0</v>
      </c>
      <c r="J328" s="74">
        <v>0</v>
      </c>
      <c r="K328" s="74">
        <v>0</v>
      </c>
      <c r="L328" s="74">
        <v>0</v>
      </c>
      <c r="M328" s="74">
        <v>0</v>
      </c>
      <c r="N328" s="74">
        <v>0</v>
      </c>
      <c r="O328" s="74">
        <v>0</v>
      </c>
      <c r="P328" s="74">
        <v>0</v>
      </c>
      <c r="Q328" s="74">
        <v>0</v>
      </c>
      <c r="R328" s="74">
        <v>0</v>
      </c>
      <c r="S328" s="97" t="s">
        <v>1006</v>
      </c>
      <c r="T328" s="10">
        <v>1</v>
      </c>
      <c r="U328" s="10">
        <v>2</v>
      </c>
      <c r="V328" s="10">
        <v>0</v>
      </c>
      <c r="W328" s="10">
        <v>0</v>
      </c>
      <c r="X328" s="74">
        <v>1</v>
      </c>
      <c r="Y328" s="74">
        <v>0</v>
      </c>
      <c r="Z328" s="74">
        <v>0</v>
      </c>
      <c r="AA328" s="74">
        <v>0</v>
      </c>
      <c r="AB328" s="74">
        <v>0</v>
      </c>
      <c r="AC328" s="74">
        <v>1</v>
      </c>
      <c r="AD328" s="74">
        <v>0</v>
      </c>
      <c r="AE328" s="74">
        <v>0</v>
      </c>
      <c r="AF328" s="74">
        <v>0</v>
      </c>
      <c r="AG328" s="90">
        <f t="shared" si="10"/>
        <v>10</v>
      </c>
      <c r="AH328" s="90">
        <f t="shared" si="11"/>
        <v>8</v>
      </c>
      <c r="AI328" s="90">
        <f t="shared" si="12"/>
        <v>2</v>
      </c>
    </row>
    <row r="329" spans="1:35" x14ac:dyDescent="0.35">
      <c r="C329" s="96">
        <v>46088</v>
      </c>
      <c r="D329" s="97">
        <v>9</v>
      </c>
      <c r="E329" s="97" t="s">
        <v>186</v>
      </c>
      <c r="F329" s="10">
        <v>1</v>
      </c>
      <c r="G329" s="10">
        <v>0</v>
      </c>
      <c r="H329" s="10">
        <v>0</v>
      </c>
      <c r="I329" s="10">
        <v>0</v>
      </c>
      <c r="J329" s="74">
        <v>0</v>
      </c>
      <c r="K329" s="74">
        <v>0</v>
      </c>
      <c r="L329" s="74">
        <v>0</v>
      </c>
      <c r="M329" s="74">
        <v>0</v>
      </c>
      <c r="N329" s="74">
        <v>0</v>
      </c>
      <c r="O329" s="74">
        <v>0</v>
      </c>
      <c r="P329" s="74">
        <v>0</v>
      </c>
      <c r="Q329" s="74">
        <v>0</v>
      </c>
      <c r="R329" s="74">
        <v>0</v>
      </c>
      <c r="S329" s="97" t="s">
        <v>1022</v>
      </c>
      <c r="T329" s="10">
        <v>0</v>
      </c>
      <c r="U329" s="10">
        <v>1</v>
      </c>
      <c r="V329" s="10">
        <v>2</v>
      </c>
      <c r="W329" s="10">
        <v>2</v>
      </c>
      <c r="X329" s="74">
        <v>0</v>
      </c>
      <c r="Y329" s="74">
        <v>1</v>
      </c>
      <c r="Z329" s="74">
        <v>0</v>
      </c>
      <c r="AA329" s="74">
        <v>0</v>
      </c>
      <c r="AB329" s="74">
        <v>0</v>
      </c>
      <c r="AC329" s="74">
        <v>0</v>
      </c>
      <c r="AD329" s="74">
        <v>0</v>
      </c>
      <c r="AE329" s="74">
        <v>0</v>
      </c>
      <c r="AF329" s="74">
        <v>0</v>
      </c>
      <c r="AG329" s="90">
        <f t="shared" si="10"/>
        <v>7</v>
      </c>
      <c r="AH329" s="90">
        <f t="shared" si="11"/>
        <v>6</v>
      </c>
      <c r="AI329" s="90">
        <f t="shared" si="12"/>
        <v>1</v>
      </c>
    </row>
    <row r="330" spans="1:35" x14ac:dyDescent="0.35">
      <c r="C330" s="96">
        <v>46091</v>
      </c>
      <c r="D330" s="97">
        <v>9</v>
      </c>
      <c r="E330" s="97" t="s">
        <v>242</v>
      </c>
      <c r="F330" s="10">
        <v>2</v>
      </c>
      <c r="G330" s="10">
        <v>1</v>
      </c>
      <c r="H330" s="10">
        <v>0</v>
      </c>
      <c r="I330" s="10">
        <v>0</v>
      </c>
      <c r="J330" s="74">
        <v>0</v>
      </c>
      <c r="K330" s="74">
        <v>0</v>
      </c>
      <c r="L330" s="74">
        <v>0</v>
      </c>
      <c r="M330" s="74">
        <v>0</v>
      </c>
      <c r="N330" s="74">
        <v>0</v>
      </c>
      <c r="O330" s="74">
        <v>0</v>
      </c>
      <c r="P330" s="74">
        <v>0</v>
      </c>
      <c r="Q330" s="74">
        <v>0</v>
      </c>
      <c r="R330" s="74">
        <v>0</v>
      </c>
      <c r="S330" s="97" t="s">
        <v>199</v>
      </c>
      <c r="T330" s="10">
        <v>2</v>
      </c>
      <c r="U330" s="10">
        <v>0</v>
      </c>
      <c r="V330" s="10">
        <v>0</v>
      </c>
      <c r="W330" s="10">
        <v>1</v>
      </c>
      <c r="X330" s="74">
        <v>0</v>
      </c>
      <c r="Y330" s="74">
        <v>0</v>
      </c>
      <c r="Z330" s="74">
        <v>0</v>
      </c>
      <c r="AA330" s="74">
        <v>1</v>
      </c>
      <c r="AB330" s="74">
        <v>0</v>
      </c>
      <c r="AC330" s="74">
        <v>0</v>
      </c>
      <c r="AD330" s="74">
        <v>0</v>
      </c>
      <c r="AE330" s="74">
        <v>0</v>
      </c>
      <c r="AF330" s="74">
        <v>0</v>
      </c>
      <c r="AG330" s="90">
        <f t="shared" si="10"/>
        <v>7</v>
      </c>
      <c r="AH330" s="90">
        <f t="shared" si="11"/>
        <v>6</v>
      </c>
      <c r="AI330" s="90">
        <f t="shared" si="12"/>
        <v>1</v>
      </c>
    </row>
    <row r="331" spans="1:35" x14ac:dyDescent="0.35">
      <c r="C331" s="96">
        <v>46094</v>
      </c>
      <c r="D331" s="97">
        <v>9</v>
      </c>
      <c r="E331" s="97" t="s">
        <v>100</v>
      </c>
      <c r="F331" s="10">
        <v>6</v>
      </c>
      <c r="G331" s="10">
        <v>0</v>
      </c>
      <c r="H331" s="10">
        <v>0</v>
      </c>
      <c r="I331" s="10">
        <v>0</v>
      </c>
      <c r="J331" s="74">
        <v>0</v>
      </c>
      <c r="K331" s="74">
        <v>0</v>
      </c>
      <c r="L331" s="74">
        <v>0</v>
      </c>
      <c r="M331" s="74">
        <v>0</v>
      </c>
      <c r="N331" s="74">
        <v>0</v>
      </c>
      <c r="O331" s="74">
        <v>0</v>
      </c>
      <c r="P331" s="74">
        <v>0</v>
      </c>
      <c r="Q331" s="74">
        <v>0</v>
      </c>
      <c r="R331" s="74">
        <v>0</v>
      </c>
      <c r="S331" s="97" t="s">
        <v>1085</v>
      </c>
      <c r="T331" s="10">
        <v>5</v>
      </c>
      <c r="U331" s="10">
        <v>0</v>
      </c>
      <c r="V331" s="10">
        <v>1</v>
      </c>
      <c r="W331" s="10">
        <v>0</v>
      </c>
      <c r="X331" s="74">
        <v>0</v>
      </c>
      <c r="Y331" s="74">
        <v>0</v>
      </c>
      <c r="Z331" s="74">
        <v>0</v>
      </c>
      <c r="AA331" s="74">
        <v>0</v>
      </c>
      <c r="AB331" s="74">
        <v>1</v>
      </c>
      <c r="AC331" s="74">
        <v>0</v>
      </c>
      <c r="AD331" s="74">
        <v>0</v>
      </c>
      <c r="AE331" s="74">
        <v>0</v>
      </c>
      <c r="AF331" s="74">
        <v>0</v>
      </c>
      <c r="AG331" s="90">
        <f t="shared" si="10"/>
        <v>13</v>
      </c>
      <c r="AH331" s="90">
        <f t="shared" si="11"/>
        <v>12</v>
      </c>
      <c r="AI331" s="90">
        <f t="shared" si="12"/>
        <v>1</v>
      </c>
    </row>
    <row r="332" spans="1:35" x14ac:dyDescent="0.35">
      <c r="C332" s="96">
        <v>46098</v>
      </c>
      <c r="D332" s="97">
        <v>9</v>
      </c>
      <c r="E332" s="97" t="s">
        <v>131</v>
      </c>
      <c r="F332" s="10">
        <v>3</v>
      </c>
      <c r="G332" s="10">
        <v>1</v>
      </c>
      <c r="H332" s="10">
        <v>0</v>
      </c>
      <c r="I332" s="10">
        <v>0</v>
      </c>
      <c r="J332" s="74">
        <v>0</v>
      </c>
      <c r="K332" s="74">
        <v>0</v>
      </c>
      <c r="L332" s="74">
        <v>0</v>
      </c>
      <c r="M332" s="74">
        <v>0</v>
      </c>
      <c r="N332" s="74">
        <v>0</v>
      </c>
      <c r="O332" s="74">
        <v>0</v>
      </c>
      <c r="P332" s="74">
        <v>0</v>
      </c>
      <c r="Q332" s="74">
        <v>0</v>
      </c>
      <c r="R332" s="74">
        <v>0</v>
      </c>
      <c r="S332" s="97" t="s">
        <v>1119</v>
      </c>
      <c r="T332" s="10">
        <v>0</v>
      </c>
      <c r="U332" s="10">
        <v>0</v>
      </c>
      <c r="V332" s="10">
        <v>0</v>
      </c>
      <c r="W332" s="10">
        <v>0</v>
      </c>
      <c r="X332" s="74">
        <v>0</v>
      </c>
      <c r="Y332" s="74">
        <v>0</v>
      </c>
      <c r="Z332" s="74">
        <v>0</v>
      </c>
      <c r="AA332" s="74">
        <v>0</v>
      </c>
      <c r="AB332" s="74">
        <v>0</v>
      </c>
      <c r="AC332" s="74">
        <v>1</v>
      </c>
      <c r="AD332" s="74">
        <v>0</v>
      </c>
      <c r="AE332" s="74">
        <v>0</v>
      </c>
      <c r="AF332" s="74">
        <v>0</v>
      </c>
      <c r="AG332" s="90">
        <f t="shared" si="10"/>
        <v>5</v>
      </c>
      <c r="AH332" s="90">
        <f t="shared" si="11"/>
        <v>4</v>
      </c>
      <c r="AI332" s="90">
        <f t="shared" si="12"/>
        <v>1</v>
      </c>
    </row>
    <row r="333" spans="1:35" x14ac:dyDescent="0.35">
      <c r="C333" s="96">
        <v>46105</v>
      </c>
      <c r="D333" s="97">
        <v>9</v>
      </c>
      <c r="E333" s="97" t="s">
        <v>407</v>
      </c>
      <c r="F333" s="10">
        <v>2</v>
      </c>
      <c r="G333" s="10">
        <v>0</v>
      </c>
      <c r="H333" s="10">
        <v>0</v>
      </c>
      <c r="I333" s="10">
        <v>0</v>
      </c>
      <c r="J333" s="74">
        <v>0</v>
      </c>
      <c r="K333" s="74">
        <v>0</v>
      </c>
      <c r="L333" s="74">
        <v>0</v>
      </c>
      <c r="M333" s="74">
        <v>0</v>
      </c>
      <c r="N333" s="74">
        <v>0</v>
      </c>
      <c r="O333" s="74">
        <v>0</v>
      </c>
      <c r="P333" s="74">
        <v>0</v>
      </c>
      <c r="Q333" s="74">
        <v>0</v>
      </c>
      <c r="R333" s="74">
        <v>0</v>
      </c>
      <c r="S333" s="97" t="s">
        <v>203</v>
      </c>
      <c r="T333" s="10">
        <v>3</v>
      </c>
      <c r="U333" s="10">
        <v>0</v>
      </c>
      <c r="V333" s="10">
        <v>0</v>
      </c>
      <c r="W333" s="10">
        <v>0</v>
      </c>
      <c r="X333" s="74">
        <v>0</v>
      </c>
      <c r="Y333" s="74">
        <v>0</v>
      </c>
      <c r="Z333" s="74">
        <v>0</v>
      </c>
      <c r="AA333" s="74">
        <v>0</v>
      </c>
      <c r="AB333" s="74">
        <v>0</v>
      </c>
      <c r="AC333" s="74">
        <v>1</v>
      </c>
      <c r="AD333" s="74">
        <v>0</v>
      </c>
      <c r="AE333" s="74">
        <v>0</v>
      </c>
      <c r="AF333" s="74">
        <v>0</v>
      </c>
      <c r="AG333" s="90">
        <f t="shared" si="10"/>
        <v>6</v>
      </c>
      <c r="AH333" s="90">
        <f t="shared" si="11"/>
        <v>5</v>
      </c>
      <c r="AI333" s="90">
        <f t="shared" si="12"/>
        <v>1</v>
      </c>
    </row>
    <row r="334" spans="1:35" x14ac:dyDescent="0.35">
      <c r="C334" s="96">
        <v>46112</v>
      </c>
      <c r="D334" s="97">
        <v>9</v>
      </c>
      <c r="E334" s="97" t="s">
        <v>407</v>
      </c>
      <c r="F334" s="10">
        <v>2</v>
      </c>
      <c r="G334" s="10">
        <v>0</v>
      </c>
      <c r="H334" s="10">
        <v>0</v>
      </c>
      <c r="I334" s="10">
        <v>0</v>
      </c>
      <c r="J334" s="74">
        <v>0</v>
      </c>
      <c r="K334" s="74">
        <v>0</v>
      </c>
      <c r="L334" s="74">
        <v>0</v>
      </c>
      <c r="M334" s="74">
        <v>0</v>
      </c>
      <c r="N334" s="74">
        <v>0</v>
      </c>
      <c r="O334" s="74">
        <v>0</v>
      </c>
      <c r="P334" s="74">
        <v>0</v>
      </c>
      <c r="Q334" s="74">
        <v>0</v>
      </c>
      <c r="R334" s="74">
        <v>0</v>
      </c>
      <c r="S334" s="97" t="s">
        <v>187</v>
      </c>
      <c r="T334" s="10">
        <v>0</v>
      </c>
      <c r="U334" s="10">
        <v>0</v>
      </c>
      <c r="V334" s="10">
        <v>0</v>
      </c>
      <c r="W334" s="10">
        <v>0</v>
      </c>
      <c r="X334" s="74">
        <v>0</v>
      </c>
      <c r="Y334" s="74">
        <v>1</v>
      </c>
      <c r="Z334" s="74">
        <v>0</v>
      </c>
      <c r="AA334" s="74">
        <v>1</v>
      </c>
      <c r="AB334" s="74">
        <v>0</v>
      </c>
      <c r="AC334" s="74">
        <v>0</v>
      </c>
      <c r="AD334" s="74">
        <v>0</v>
      </c>
      <c r="AE334" s="74">
        <v>0</v>
      </c>
      <c r="AF334" s="74">
        <v>0</v>
      </c>
      <c r="AG334" s="90">
        <f t="shared" si="10"/>
        <v>4</v>
      </c>
      <c r="AH334" s="90">
        <f t="shared" si="11"/>
        <v>2</v>
      </c>
      <c r="AI334" s="90">
        <f t="shared" si="12"/>
        <v>2</v>
      </c>
    </row>
    <row r="336" spans="1:35" x14ac:dyDescent="0.35">
      <c r="A336" s="93">
        <v>18</v>
      </c>
      <c r="B336" s="95" t="s">
        <v>846</v>
      </c>
      <c r="C336" s="96">
        <v>46059</v>
      </c>
      <c r="D336" s="97">
        <v>11</v>
      </c>
      <c r="E336" s="97" t="s">
        <v>691</v>
      </c>
      <c r="F336" s="10">
        <v>2</v>
      </c>
      <c r="G336" s="10">
        <v>2</v>
      </c>
      <c r="H336" s="10">
        <v>0</v>
      </c>
      <c r="I336" s="10">
        <v>0</v>
      </c>
      <c r="J336" s="74">
        <v>0</v>
      </c>
      <c r="K336" s="74">
        <v>0</v>
      </c>
      <c r="L336" s="74">
        <v>0</v>
      </c>
      <c r="M336" s="74">
        <v>0</v>
      </c>
      <c r="N336" s="74">
        <v>0</v>
      </c>
      <c r="O336" s="74">
        <v>0</v>
      </c>
      <c r="P336" s="74">
        <v>0</v>
      </c>
      <c r="Q336" s="74">
        <v>0</v>
      </c>
      <c r="R336" s="74">
        <v>0</v>
      </c>
      <c r="S336" s="97" t="s">
        <v>110</v>
      </c>
      <c r="T336" s="10">
        <v>10</v>
      </c>
      <c r="U336" s="10">
        <v>2</v>
      </c>
      <c r="V336" s="10">
        <v>0</v>
      </c>
      <c r="W336" s="10">
        <v>0</v>
      </c>
      <c r="X336" s="74">
        <v>0</v>
      </c>
      <c r="Y336" s="74">
        <v>0</v>
      </c>
      <c r="Z336" s="74">
        <v>0</v>
      </c>
      <c r="AA336" s="74">
        <v>0</v>
      </c>
      <c r="AB336" s="74">
        <v>0</v>
      </c>
      <c r="AC336" s="74">
        <v>0</v>
      </c>
      <c r="AD336" s="74">
        <v>0</v>
      </c>
      <c r="AE336" s="74">
        <v>0</v>
      </c>
      <c r="AF336" s="74">
        <v>0</v>
      </c>
      <c r="AG336" s="90">
        <f t="shared" si="10"/>
        <v>16</v>
      </c>
      <c r="AH336" s="90">
        <f t="shared" si="11"/>
        <v>16</v>
      </c>
      <c r="AI336" s="90">
        <f t="shared" si="12"/>
        <v>0</v>
      </c>
    </row>
    <row r="337" spans="1:35" x14ac:dyDescent="0.35">
      <c r="C337" s="96">
        <v>46062</v>
      </c>
      <c r="D337" s="97">
        <v>11</v>
      </c>
      <c r="E337" s="97" t="s">
        <v>98</v>
      </c>
      <c r="F337" s="10">
        <v>4</v>
      </c>
      <c r="G337" s="10">
        <v>0</v>
      </c>
      <c r="H337" s="10">
        <v>0</v>
      </c>
      <c r="I337" s="10">
        <v>0</v>
      </c>
      <c r="J337" s="74">
        <v>0</v>
      </c>
      <c r="K337" s="74">
        <v>0</v>
      </c>
      <c r="L337" s="74">
        <v>0</v>
      </c>
      <c r="M337" s="74">
        <v>0</v>
      </c>
      <c r="N337" s="74">
        <v>0</v>
      </c>
      <c r="O337" s="74">
        <v>0</v>
      </c>
      <c r="P337" s="74">
        <v>0</v>
      </c>
      <c r="Q337" s="74">
        <v>0</v>
      </c>
      <c r="R337" s="74">
        <v>0</v>
      </c>
      <c r="S337" s="97" t="s">
        <v>407</v>
      </c>
      <c r="T337" s="10">
        <v>2</v>
      </c>
      <c r="U337" s="10">
        <v>0</v>
      </c>
      <c r="V337" s="10">
        <v>0</v>
      </c>
      <c r="W337" s="10">
        <v>0</v>
      </c>
      <c r="X337" s="74">
        <v>0</v>
      </c>
      <c r="Y337" s="74">
        <v>0</v>
      </c>
      <c r="Z337" s="74">
        <v>0</v>
      </c>
      <c r="AA337" s="74">
        <v>0</v>
      </c>
      <c r="AB337" s="74">
        <v>0</v>
      </c>
      <c r="AC337" s="74">
        <v>0</v>
      </c>
      <c r="AD337" s="74">
        <v>0</v>
      </c>
      <c r="AE337" s="74">
        <v>0</v>
      </c>
      <c r="AF337" s="74">
        <v>0</v>
      </c>
      <c r="AG337" s="90">
        <f t="shared" si="10"/>
        <v>6</v>
      </c>
      <c r="AH337" s="90">
        <f t="shared" si="11"/>
        <v>6</v>
      </c>
      <c r="AI337" s="90">
        <f t="shared" si="12"/>
        <v>0</v>
      </c>
    </row>
    <row r="338" spans="1:35" x14ac:dyDescent="0.35">
      <c r="C338" s="96">
        <v>46066</v>
      </c>
      <c r="D338" s="97">
        <v>11</v>
      </c>
      <c r="E338" s="97" t="s">
        <v>81</v>
      </c>
      <c r="F338" s="10">
        <v>0</v>
      </c>
      <c r="G338" s="10">
        <v>1</v>
      </c>
      <c r="H338" s="10">
        <v>0</v>
      </c>
      <c r="I338" s="10">
        <v>0</v>
      </c>
      <c r="J338" s="74">
        <v>0</v>
      </c>
      <c r="K338" s="74">
        <v>0</v>
      </c>
      <c r="L338" s="74">
        <v>0</v>
      </c>
      <c r="M338" s="74">
        <v>0</v>
      </c>
      <c r="N338" s="74">
        <v>0</v>
      </c>
      <c r="O338" s="74">
        <v>0</v>
      </c>
      <c r="P338" s="74">
        <v>0</v>
      </c>
      <c r="Q338" s="74">
        <v>0</v>
      </c>
      <c r="R338" s="74">
        <v>0</v>
      </c>
      <c r="S338" s="97" t="s">
        <v>111</v>
      </c>
      <c r="T338" s="10">
        <v>2</v>
      </c>
      <c r="U338" s="10">
        <v>0</v>
      </c>
      <c r="V338" s="10">
        <v>0</v>
      </c>
      <c r="W338" s="10">
        <v>1</v>
      </c>
      <c r="X338" s="74">
        <v>0</v>
      </c>
      <c r="Y338" s="74">
        <v>0</v>
      </c>
      <c r="Z338" s="74">
        <v>0</v>
      </c>
      <c r="AA338" s="74">
        <v>0</v>
      </c>
      <c r="AB338" s="74">
        <v>0</v>
      </c>
      <c r="AC338" s="74">
        <v>0</v>
      </c>
      <c r="AD338" s="74">
        <v>0</v>
      </c>
      <c r="AE338" s="74">
        <v>0</v>
      </c>
      <c r="AF338" s="74">
        <v>0</v>
      </c>
      <c r="AG338" s="90">
        <f t="shared" si="10"/>
        <v>4</v>
      </c>
      <c r="AH338" s="90">
        <f t="shared" si="11"/>
        <v>4</v>
      </c>
      <c r="AI338" s="90">
        <f t="shared" si="12"/>
        <v>0</v>
      </c>
    </row>
    <row r="339" spans="1:35" x14ac:dyDescent="0.35">
      <c r="C339" s="96">
        <v>46070</v>
      </c>
      <c r="D339" s="97">
        <v>11</v>
      </c>
      <c r="E339" s="97" t="s">
        <v>200</v>
      </c>
      <c r="F339" s="10">
        <v>4</v>
      </c>
      <c r="G339" s="10">
        <v>3</v>
      </c>
      <c r="H339" s="10">
        <v>0</v>
      </c>
      <c r="I339" s="10">
        <v>0</v>
      </c>
      <c r="J339" s="74">
        <v>0</v>
      </c>
      <c r="K339" s="74">
        <v>0</v>
      </c>
      <c r="L339" s="74">
        <v>0</v>
      </c>
      <c r="M339" s="74">
        <v>0</v>
      </c>
      <c r="N339" s="74">
        <v>0</v>
      </c>
      <c r="O339" s="74">
        <v>0</v>
      </c>
      <c r="P339" s="74">
        <v>0</v>
      </c>
      <c r="Q339" s="74">
        <v>0</v>
      </c>
      <c r="R339" s="74">
        <v>0</v>
      </c>
      <c r="S339" s="97" t="s">
        <v>911</v>
      </c>
      <c r="T339" s="10">
        <v>10</v>
      </c>
      <c r="U339" s="10">
        <v>6</v>
      </c>
      <c r="V339" s="10">
        <v>1</v>
      </c>
      <c r="W339" s="88">
        <v>0</v>
      </c>
      <c r="X339" s="138">
        <v>0</v>
      </c>
      <c r="Y339" s="138">
        <v>0</v>
      </c>
      <c r="Z339" s="74">
        <v>0</v>
      </c>
      <c r="AA339" s="74">
        <v>0</v>
      </c>
      <c r="AB339" s="74">
        <v>0</v>
      </c>
      <c r="AC339" s="74">
        <v>0</v>
      </c>
      <c r="AD339" s="74">
        <v>0</v>
      </c>
      <c r="AE339" s="74">
        <v>0</v>
      </c>
      <c r="AF339" s="74">
        <v>0</v>
      </c>
      <c r="AG339" s="90">
        <f t="shared" si="10"/>
        <v>24</v>
      </c>
      <c r="AH339" s="90">
        <f t="shared" si="11"/>
        <v>24</v>
      </c>
      <c r="AI339" s="90">
        <f t="shared" si="12"/>
        <v>0</v>
      </c>
    </row>
    <row r="340" spans="1:35" x14ac:dyDescent="0.35">
      <c r="C340" s="96">
        <v>46074</v>
      </c>
      <c r="D340" s="97">
        <v>11</v>
      </c>
      <c r="E340" s="97" t="s">
        <v>184</v>
      </c>
      <c r="F340" s="10">
        <v>3</v>
      </c>
      <c r="G340" s="10">
        <v>2</v>
      </c>
      <c r="H340" s="10">
        <v>0</v>
      </c>
      <c r="I340" s="10">
        <v>0</v>
      </c>
      <c r="J340" s="74">
        <v>0</v>
      </c>
      <c r="K340" s="74">
        <v>0</v>
      </c>
      <c r="L340" s="74">
        <v>0</v>
      </c>
      <c r="M340" s="74">
        <v>0</v>
      </c>
      <c r="N340" s="74">
        <v>0</v>
      </c>
      <c r="O340" s="74">
        <v>0</v>
      </c>
      <c r="P340" s="74">
        <v>0</v>
      </c>
      <c r="Q340" s="74">
        <v>0</v>
      </c>
      <c r="R340" s="74">
        <v>0</v>
      </c>
      <c r="S340" s="97" t="s">
        <v>167</v>
      </c>
      <c r="T340" s="10">
        <v>4</v>
      </c>
      <c r="U340" s="10">
        <v>2</v>
      </c>
      <c r="V340" s="10">
        <v>0</v>
      </c>
      <c r="W340" s="10">
        <v>0</v>
      </c>
      <c r="X340" s="74">
        <v>0</v>
      </c>
      <c r="Y340" s="74">
        <v>0</v>
      </c>
      <c r="Z340" s="74">
        <v>0</v>
      </c>
      <c r="AA340" s="74">
        <v>1</v>
      </c>
      <c r="AB340" s="74">
        <v>0</v>
      </c>
      <c r="AC340" s="74">
        <v>0</v>
      </c>
      <c r="AD340" s="74">
        <v>0</v>
      </c>
      <c r="AE340" s="74">
        <v>0</v>
      </c>
      <c r="AF340" s="74">
        <v>0</v>
      </c>
      <c r="AG340" s="90">
        <f t="shared" si="10"/>
        <v>12</v>
      </c>
      <c r="AH340" s="90">
        <f t="shared" si="11"/>
        <v>11</v>
      </c>
      <c r="AI340" s="90">
        <f t="shared" si="12"/>
        <v>1</v>
      </c>
    </row>
    <row r="341" spans="1:35" x14ac:dyDescent="0.35">
      <c r="C341" s="96">
        <v>46077</v>
      </c>
      <c r="D341" s="97">
        <v>11</v>
      </c>
      <c r="E341" s="97" t="s">
        <v>944</v>
      </c>
      <c r="F341" s="10">
        <v>4</v>
      </c>
      <c r="G341" s="10">
        <v>2</v>
      </c>
      <c r="H341" s="10">
        <v>0</v>
      </c>
      <c r="I341" s="10">
        <v>0</v>
      </c>
      <c r="J341" s="74">
        <v>0</v>
      </c>
      <c r="K341" s="74">
        <v>1</v>
      </c>
      <c r="L341" s="74">
        <v>0</v>
      </c>
      <c r="M341" s="74">
        <v>0</v>
      </c>
      <c r="N341" s="74">
        <v>0</v>
      </c>
      <c r="O341" s="74">
        <v>0</v>
      </c>
      <c r="P341" s="74">
        <v>0</v>
      </c>
      <c r="Q341" s="74">
        <v>0</v>
      </c>
      <c r="R341" s="74">
        <v>0</v>
      </c>
      <c r="S341" s="97" t="s">
        <v>943</v>
      </c>
      <c r="T341" s="10">
        <v>5</v>
      </c>
      <c r="U341" s="10">
        <v>2</v>
      </c>
      <c r="V341" s="10">
        <v>0</v>
      </c>
      <c r="W341" s="10">
        <v>1</v>
      </c>
      <c r="X341" s="74">
        <v>0</v>
      </c>
      <c r="Y341" s="74">
        <v>0</v>
      </c>
      <c r="Z341" s="74">
        <v>0</v>
      </c>
      <c r="AA341" s="74">
        <v>0</v>
      </c>
      <c r="AB341" s="74">
        <v>0</v>
      </c>
      <c r="AC341" s="74">
        <v>0</v>
      </c>
      <c r="AD341" s="74">
        <v>0</v>
      </c>
      <c r="AE341" s="74">
        <v>0</v>
      </c>
      <c r="AF341" s="74">
        <v>0</v>
      </c>
      <c r="AG341" s="90">
        <f t="shared" si="10"/>
        <v>15</v>
      </c>
      <c r="AH341" s="90">
        <f t="shared" si="11"/>
        <v>14</v>
      </c>
      <c r="AI341" s="90">
        <f t="shared" si="12"/>
        <v>1</v>
      </c>
    </row>
    <row r="342" spans="1:35" x14ac:dyDescent="0.35">
      <c r="C342" s="96">
        <v>46080</v>
      </c>
      <c r="D342" s="97">
        <v>11</v>
      </c>
      <c r="E342" s="97" t="s">
        <v>773</v>
      </c>
      <c r="F342" s="10">
        <v>0</v>
      </c>
      <c r="G342" s="10">
        <v>1</v>
      </c>
      <c r="H342" s="10">
        <v>0</v>
      </c>
      <c r="I342" s="10">
        <v>1</v>
      </c>
      <c r="J342" s="74">
        <v>0</v>
      </c>
      <c r="K342" s="74">
        <v>0</v>
      </c>
      <c r="L342" s="74">
        <v>0</v>
      </c>
      <c r="M342" s="74">
        <v>0</v>
      </c>
      <c r="N342" s="74">
        <v>0</v>
      </c>
      <c r="O342" s="74">
        <v>0</v>
      </c>
      <c r="P342" s="74">
        <v>0</v>
      </c>
      <c r="Q342" s="74">
        <v>0</v>
      </c>
      <c r="R342" s="74">
        <v>0</v>
      </c>
      <c r="S342" s="97" t="s">
        <v>961</v>
      </c>
      <c r="T342" s="10">
        <v>0</v>
      </c>
      <c r="U342" s="10">
        <v>3</v>
      </c>
      <c r="V342" s="10">
        <v>0</v>
      </c>
      <c r="W342" s="10">
        <v>1</v>
      </c>
      <c r="X342" s="74">
        <v>0</v>
      </c>
      <c r="Y342" s="74">
        <v>0</v>
      </c>
      <c r="Z342" s="74">
        <v>0</v>
      </c>
      <c r="AA342" s="74">
        <v>0</v>
      </c>
      <c r="AB342" s="74">
        <v>0</v>
      </c>
      <c r="AC342" s="74">
        <v>0</v>
      </c>
      <c r="AD342" s="74">
        <v>0</v>
      </c>
      <c r="AE342" s="74">
        <v>0</v>
      </c>
      <c r="AF342" s="74">
        <v>0</v>
      </c>
      <c r="AG342" s="90">
        <f t="shared" si="10"/>
        <v>6</v>
      </c>
      <c r="AH342" s="90">
        <f t="shared" si="11"/>
        <v>6</v>
      </c>
      <c r="AI342" s="90">
        <f t="shared" si="12"/>
        <v>0</v>
      </c>
    </row>
    <row r="343" spans="1:35" x14ac:dyDescent="0.35">
      <c r="C343" s="96">
        <v>46084</v>
      </c>
      <c r="D343" s="97">
        <v>11</v>
      </c>
      <c r="E343" s="97" t="s">
        <v>1001</v>
      </c>
      <c r="F343" s="10">
        <v>5</v>
      </c>
      <c r="G343" s="10">
        <v>3</v>
      </c>
      <c r="H343" s="10">
        <v>0</v>
      </c>
      <c r="I343" s="10">
        <v>1</v>
      </c>
      <c r="J343" s="74">
        <v>0</v>
      </c>
      <c r="K343" s="74">
        <v>0</v>
      </c>
      <c r="L343" s="74">
        <v>0</v>
      </c>
      <c r="M343" s="74">
        <v>0</v>
      </c>
      <c r="N343" s="74">
        <v>0</v>
      </c>
      <c r="O343" s="74">
        <v>0</v>
      </c>
      <c r="P343" s="74">
        <v>0</v>
      </c>
      <c r="Q343" s="74">
        <v>0</v>
      </c>
      <c r="R343" s="74">
        <v>0</v>
      </c>
      <c r="S343" s="97" t="s">
        <v>1000</v>
      </c>
      <c r="T343" s="10">
        <v>3</v>
      </c>
      <c r="U343" s="10">
        <v>0</v>
      </c>
      <c r="V343" s="10">
        <v>0</v>
      </c>
      <c r="W343" s="10">
        <v>0</v>
      </c>
      <c r="X343" s="74">
        <v>1</v>
      </c>
      <c r="Y343" s="74">
        <v>0</v>
      </c>
      <c r="Z343" s="74">
        <v>0</v>
      </c>
      <c r="AA343" s="74">
        <v>0</v>
      </c>
      <c r="AB343" s="74">
        <v>0</v>
      </c>
      <c r="AC343" s="74">
        <v>0</v>
      </c>
      <c r="AD343" s="74">
        <v>0</v>
      </c>
      <c r="AE343" s="74">
        <v>0</v>
      </c>
      <c r="AF343" s="74">
        <v>0</v>
      </c>
      <c r="AG343" s="90">
        <f t="shared" si="10"/>
        <v>13</v>
      </c>
      <c r="AH343" s="90">
        <f t="shared" si="11"/>
        <v>12</v>
      </c>
      <c r="AI343" s="90">
        <f t="shared" si="12"/>
        <v>1</v>
      </c>
    </row>
    <row r="344" spans="1:35" x14ac:dyDescent="0.35">
      <c r="C344" s="96">
        <v>46088</v>
      </c>
      <c r="D344" s="97">
        <v>11</v>
      </c>
      <c r="E344" s="97" t="s">
        <v>317</v>
      </c>
      <c r="F344" s="10">
        <v>4</v>
      </c>
      <c r="G344" s="10">
        <v>0</v>
      </c>
      <c r="H344" s="10">
        <v>0</v>
      </c>
      <c r="I344" s="10">
        <v>1</v>
      </c>
      <c r="J344" s="74">
        <v>0</v>
      </c>
      <c r="K344" s="74">
        <v>0</v>
      </c>
      <c r="L344" s="74">
        <v>0</v>
      </c>
      <c r="M344" s="74">
        <v>0</v>
      </c>
      <c r="N344" s="74">
        <v>0</v>
      </c>
      <c r="O344" s="74">
        <v>0</v>
      </c>
      <c r="P344" s="74">
        <v>0</v>
      </c>
      <c r="Q344" s="74">
        <v>0</v>
      </c>
      <c r="R344" s="74">
        <v>0</v>
      </c>
      <c r="S344" s="97" t="s">
        <v>1016</v>
      </c>
      <c r="T344" s="10">
        <v>6</v>
      </c>
      <c r="U344" s="10">
        <v>1</v>
      </c>
      <c r="V344" s="10">
        <v>0</v>
      </c>
      <c r="W344" s="10">
        <v>1</v>
      </c>
      <c r="X344" s="74">
        <v>1</v>
      </c>
      <c r="Y344" s="74">
        <v>0</v>
      </c>
      <c r="Z344" s="74">
        <v>0</v>
      </c>
      <c r="AA344" s="74">
        <v>0</v>
      </c>
      <c r="AB344" s="74">
        <v>0</v>
      </c>
      <c r="AC344" s="74">
        <v>0</v>
      </c>
      <c r="AD344" s="74">
        <v>0</v>
      </c>
      <c r="AE344" s="74">
        <v>0</v>
      </c>
      <c r="AF344" s="74">
        <v>0</v>
      </c>
      <c r="AG344" s="90">
        <f t="shared" si="10"/>
        <v>14</v>
      </c>
      <c r="AH344" s="90">
        <f t="shared" si="11"/>
        <v>13</v>
      </c>
      <c r="AI344" s="90">
        <f t="shared" si="12"/>
        <v>1</v>
      </c>
    </row>
    <row r="345" spans="1:35" ht="29" x14ac:dyDescent="0.35">
      <c r="C345" s="96">
        <v>46091</v>
      </c>
      <c r="D345" s="97">
        <v>11</v>
      </c>
      <c r="E345" s="97" t="s">
        <v>838</v>
      </c>
      <c r="F345" s="10">
        <v>5</v>
      </c>
      <c r="G345" s="10">
        <v>4</v>
      </c>
      <c r="H345" s="10">
        <v>0</v>
      </c>
      <c r="I345" s="10">
        <v>0</v>
      </c>
      <c r="J345" s="74">
        <v>0</v>
      </c>
      <c r="K345" s="74">
        <v>0</v>
      </c>
      <c r="L345" s="74">
        <v>0</v>
      </c>
      <c r="M345" s="74">
        <v>0</v>
      </c>
      <c r="N345" s="74">
        <v>0</v>
      </c>
      <c r="O345" s="74">
        <v>0</v>
      </c>
      <c r="P345" s="74">
        <v>0</v>
      </c>
      <c r="Q345" s="74">
        <v>0</v>
      </c>
      <c r="R345" s="74">
        <v>0</v>
      </c>
      <c r="S345" s="99" t="s">
        <v>1069</v>
      </c>
      <c r="T345" s="10">
        <v>2</v>
      </c>
      <c r="U345" s="10">
        <v>3</v>
      </c>
      <c r="V345" s="10">
        <v>0</v>
      </c>
      <c r="W345" s="10">
        <v>1</v>
      </c>
      <c r="X345" s="74">
        <v>0</v>
      </c>
      <c r="Y345" s="74">
        <v>0</v>
      </c>
      <c r="Z345" s="74">
        <v>0</v>
      </c>
      <c r="AA345" s="74">
        <v>1</v>
      </c>
      <c r="AB345" s="74">
        <v>0</v>
      </c>
      <c r="AC345" s="74">
        <v>0</v>
      </c>
      <c r="AD345" s="74">
        <v>1</v>
      </c>
      <c r="AE345" s="74">
        <v>0</v>
      </c>
      <c r="AF345" s="74">
        <v>0</v>
      </c>
      <c r="AG345" s="90">
        <f t="shared" si="10"/>
        <v>17</v>
      </c>
      <c r="AH345" s="90">
        <f t="shared" si="11"/>
        <v>15</v>
      </c>
      <c r="AI345" s="90">
        <f t="shared" si="12"/>
        <v>2</v>
      </c>
    </row>
    <row r="346" spans="1:35" ht="29" x14ac:dyDescent="0.35">
      <c r="C346" s="96">
        <v>46094</v>
      </c>
      <c r="D346" s="97">
        <v>11</v>
      </c>
      <c r="E346" s="97" t="s">
        <v>1083</v>
      </c>
      <c r="F346" s="10">
        <v>6</v>
      </c>
      <c r="G346" s="10">
        <v>6</v>
      </c>
      <c r="H346" s="10">
        <v>1</v>
      </c>
      <c r="I346" s="10">
        <v>0</v>
      </c>
      <c r="J346" s="74">
        <v>0</v>
      </c>
      <c r="K346" s="74">
        <v>0</v>
      </c>
      <c r="L346" s="74">
        <v>0</v>
      </c>
      <c r="M346" s="74">
        <v>0</v>
      </c>
      <c r="N346" s="74">
        <v>0</v>
      </c>
      <c r="O346" s="74">
        <v>0</v>
      </c>
      <c r="P346" s="74">
        <v>0</v>
      </c>
      <c r="Q346" s="74">
        <v>0</v>
      </c>
      <c r="R346" s="74">
        <v>0</v>
      </c>
      <c r="S346" s="99" t="s">
        <v>1084</v>
      </c>
      <c r="T346" s="10">
        <v>3</v>
      </c>
      <c r="U346" s="10">
        <v>5</v>
      </c>
      <c r="V346" s="10">
        <v>0</v>
      </c>
      <c r="W346" s="10">
        <v>2</v>
      </c>
      <c r="X346" s="74">
        <v>0</v>
      </c>
      <c r="Y346" s="74">
        <v>0</v>
      </c>
      <c r="Z346" s="74">
        <v>1</v>
      </c>
      <c r="AA346" s="74">
        <v>0</v>
      </c>
      <c r="AB346" s="74">
        <v>0</v>
      </c>
      <c r="AC346" s="74">
        <v>0</v>
      </c>
      <c r="AD346" s="74">
        <v>0</v>
      </c>
      <c r="AE346" s="74">
        <v>0</v>
      </c>
      <c r="AF346" s="74">
        <v>0</v>
      </c>
      <c r="AG346" s="90">
        <f t="shared" si="10"/>
        <v>24</v>
      </c>
      <c r="AH346" s="90">
        <f t="shared" si="11"/>
        <v>23</v>
      </c>
      <c r="AI346" s="90">
        <f t="shared" si="12"/>
        <v>1</v>
      </c>
    </row>
    <row r="347" spans="1:35" x14ac:dyDescent="0.35">
      <c r="C347" s="96">
        <v>46098</v>
      </c>
      <c r="D347" s="97">
        <v>11</v>
      </c>
      <c r="E347" s="97" t="s">
        <v>987</v>
      </c>
      <c r="F347" s="10">
        <v>2</v>
      </c>
      <c r="G347" s="10">
        <v>2</v>
      </c>
      <c r="H347" s="10">
        <v>0</v>
      </c>
      <c r="I347" s="10">
        <v>1</v>
      </c>
      <c r="J347" s="74">
        <v>0</v>
      </c>
      <c r="K347" s="74">
        <v>0</v>
      </c>
      <c r="L347" s="74">
        <v>0</v>
      </c>
      <c r="M347" s="74">
        <v>1</v>
      </c>
      <c r="N347" s="74">
        <v>0</v>
      </c>
      <c r="O347" s="74">
        <v>0</v>
      </c>
      <c r="P347" s="74">
        <v>0</v>
      </c>
      <c r="Q347" s="74">
        <v>0</v>
      </c>
      <c r="R347" s="74">
        <v>0</v>
      </c>
      <c r="S347" s="97" t="s">
        <v>1100</v>
      </c>
      <c r="T347" s="10">
        <v>2</v>
      </c>
      <c r="U347" s="10">
        <v>14</v>
      </c>
      <c r="V347" s="10">
        <v>0</v>
      </c>
      <c r="W347" s="10">
        <v>2</v>
      </c>
      <c r="X347" s="74">
        <v>0</v>
      </c>
      <c r="Y347" s="74">
        <v>0</v>
      </c>
      <c r="Z347" s="74">
        <v>0</v>
      </c>
      <c r="AA347" s="74">
        <v>0</v>
      </c>
      <c r="AB347" s="74">
        <v>0</v>
      </c>
      <c r="AC347" s="74">
        <v>0</v>
      </c>
      <c r="AD347" s="74">
        <v>0</v>
      </c>
      <c r="AE347" s="74">
        <v>0</v>
      </c>
      <c r="AF347" s="74">
        <v>0</v>
      </c>
      <c r="AG347" s="90">
        <f t="shared" si="10"/>
        <v>24</v>
      </c>
      <c r="AH347" s="90">
        <f t="shared" si="11"/>
        <v>23</v>
      </c>
      <c r="AI347" s="90">
        <f t="shared" si="12"/>
        <v>1</v>
      </c>
    </row>
    <row r="348" spans="1:35" ht="29" x14ac:dyDescent="0.35">
      <c r="C348" s="96">
        <v>46105</v>
      </c>
      <c r="D348" s="97">
        <v>11</v>
      </c>
      <c r="E348" s="99" t="s">
        <v>1141</v>
      </c>
      <c r="F348" s="10">
        <v>4</v>
      </c>
      <c r="G348" s="10">
        <v>6</v>
      </c>
      <c r="H348" s="10">
        <v>0</v>
      </c>
      <c r="I348" s="10">
        <v>1</v>
      </c>
      <c r="J348" s="74">
        <v>0</v>
      </c>
      <c r="K348" s="74">
        <v>1</v>
      </c>
      <c r="L348" s="74">
        <v>0</v>
      </c>
      <c r="M348" s="74">
        <v>0</v>
      </c>
      <c r="N348" s="74">
        <v>1</v>
      </c>
      <c r="O348" s="74">
        <v>0</v>
      </c>
      <c r="P348" s="74">
        <v>0</v>
      </c>
      <c r="Q348" s="74">
        <v>0</v>
      </c>
      <c r="R348" s="74">
        <v>0</v>
      </c>
      <c r="S348" s="97" t="s">
        <v>1140</v>
      </c>
      <c r="T348" s="10">
        <v>3</v>
      </c>
      <c r="U348" s="10">
        <v>1</v>
      </c>
      <c r="V348" s="10">
        <v>1</v>
      </c>
      <c r="W348" s="10">
        <v>0</v>
      </c>
      <c r="X348" s="74">
        <v>0</v>
      </c>
      <c r="Y348" s="74">
        <v>0</v>
      </c>
      <c r="Z348" s="74">
        <v>0</v>
      </c>
      <c r="AA348" s="74">
        <v>1</v>
      </c>
      <c r="AB348" s="74">
        <v>0</v>
      </c>
      <c r="AC348" s="74">
        <v>0</v>
      </c>
      <c r="AD348" s="74">
        <v>0</v>
      </c>
      <c r="AE348" s="74">
        <v>0</v>
      </c>
      <c r="AF348" s="74">
        <v>0</v>
      </c>
      <c r="AG348" s="90">
        <f t="shared" si="10"/>
        <v>19</v>
      </c>
      <c r="AH348" s="90">
        <f t="shared" si="11"/>
        <v>16</v>
      </c>
      <c r="AI348" s="90">
        <f t="shared" si="12"/>
        <v>3</v>
      </c>
    </row>
    <row r="349" spans="1:35" ht="29" x14ac:dyDescent="0.35">
      <c r="C349" s="96">
        <v>46112</v>
      </c>
      <c r="D349" s="97">
        <v>11</v>
      </c>
      <c r="E349" s="99" t="s">
        <v>1166</v>
      </c>
      <c r="F349" s="10">
        <v>6</v>
      </c>
      <c r="G349" s="10">
        <v>3</v>
      </c>
      <c r="H349" s="10">
        <v>0</v>
      </c>
      <c r="I349" s="10">
        <v>1</v>
      </c>
      <c r="J349" s="74">
        <v>0</v>
      </c>
      <c r="K349" s="74">
        <v>1</v>
      </c>
      <c r="L349" s="74">
        <v>0</v>
      </c>
      <c r="M349" s="74">
        <v>1</v>
      </c>
      <c r="N349" s="74">
        <v>0</v>
      </c>
      <c r="O349" s="74">
        <v>0</v>
      </c>
      <c r="P349" s="74">
        <v>0</v>
      </c>
      <c r="Q349" s="74">
        <v>0</v>
      </c>
      <c r="R349" s="74">
        <v>0</v>
      </c>
      <c r="S349" s="99" t="s">
        <v>1165</v>
      </c>
      <c r="T349" s="10">
        <v>2</v>
      </c>
      <c r="U349" s="10">
        <v>2</v>
      </c>
      <c r="V349" s="10">
        <v>3</v>
      </c>
      <c r="W349" s="10">
        <v>2</v>
      </c>
      <c r="X349" s="74">
        <v>1</v>
      </c>
      <c r="Y349" s="74">
        <v>0</v>
      </c>
      <c r="Z349" s="74">
        <v>0</v>
      </c>
      <c r="AA349" s="74">
        <v>0</v>
      </c>
      <c r="AB349" s="74">
        <v>0</v>
      </c>
      <c r="AC349" s="74">
        <v>0</v>
      </c>
      <c r="AD349" s="74">
        <v>0</v>
      </c>
      <c r="AE349" s="74">
        <v>0</v>
      </c>
      <c r="AF349" s="74">
        <v>0</v>
      </c>
      <c r="AG349" s="90">
        <f t="shared" si="10"/>
        <v>22</v>
      </c>
      <c r="AH349" s="90">
        <f t="shared" si="11"/>
        <v>19</v>
      </c>
      <c r="AI349" s="90">
        <f t="shared" si="12"/>
        <v>3</v>
      </c>
    </row>
    <row r="350" spans="1:35" x14ac:dyDescent="0.35">
      <c r="C350" s="96"/>
    </row>
    <row r="351" spans="1:35" x14ac:dyDescent="0.35">
      <c r="A351" s="93">
        <v>19</v>
      </c>
      <c r="B351" s="95" t="s">
        <v>847</v>
      </c>
      <c r="C351" s="96">
        <v>46056</v>
      </c>
      <c r="D351" s="97">
        <v>9</v>
      </c>
      <c r="E351" s="97" t="s">
        <v>88</v>
      </c>
      <c r="F351" s="10">
        <v>4</v>
      </c>
      <c r="G351" s="10">
        <v>2</v>
      </c>
      <c r="H351" s="10">
        <v>0</v>
      </c>
      <c r="I351" s="10">
        <v>0</v>
      </c>
      <c r="J351" s="74">
        <v>0</v>
      </c>
      <c r="K351" s="74">
        <v>0</v>
      </c>
      <c r="L351" s="74">
        <v>0</v>
      </c>
      <c r="M351" s="74">
        <v>0</v>
      </c>
      <c r="N351" s="74">
        <v>0</v>
      </c>
      <c r="O351" s="74">
        <v>0</v>
      </c>
      <c r="P351" s="74">
        <v>0</v>
      </c>
      <c r="Q351" s="74">
        <v>0</v>
      </c>
      <c r="R351" s="74">
        <v>0</v>
      </c>
      <c r="S351" s="97" t="s">
        <v>208</v>
      </c>
      <c r="T351" s="10">
        <v>3</v>
      </c>
      <c r="U351" s="10">
        <v>2</v>
      </c>
      <c r="V351" s="10">
        <v>0</v>
      </c>
      <c r="W351" s="10">
        <v>0</v>
      </c>
      <c r="X351" s="74">
        <v>0</v>
      </c>
      <c r="Y351" s="74">
        <v>1</v>
      </c>
      <c r="Z351" s="74">
        <v>0</v>
      </c>
      <c r="AA351" s="74">
        <v>0</v>
      </c>
      <c r="AB351" s="74">
        <v>0</v>
      </c>
      <c r="AC351" s="74">
        <v>0</v>
      </c>
      <c r="AD351" s="74">
        <v>0</v>
      </c>
      <c r="AE351" s="74">
        <v>0</v>
      </c>
      <c r="AF351" s="74">
        <v>0</v>
      </c>
      <c r="AG351" s="90">
        <f t="shared" si="10"/>
        <v>12</v>
      </c>
      <c r="AH351" s="90">
        <f t="shared" si="11"/>
        <v>11</v>
      </c>
      <c r="AI351" s="90">
        <f t="shared" si="12"/>
        <v>1</v>
      </c>
    </row>
    <row r="352" spans="1:35" x14ac:dyDescent="0.35">
      <c r="C352" s="96">
        <v>46059</v>
      </c>
      <c r="D352" s="97">
        <v>9</v>
      </c>
      <c r="E352" s="97" t="s">
        <v>98</v>
      </c>
      <c r="F352" s="10">
        <v>4</v>
      </c>
      <c r="G352" s="10">
        <v>0</v>
      </c>
      <c r="H352" s="10">
        <v>0</v>
      </c>
      <c r="I352" s="10">
        <v>0</v>
      </c>
      <c r="J352" s="74">
        <v>0</v>
      </c>
      <c r="K352" s="74">
        <v>0</v>
      </c>
      <c r="L352" s="74">
        <v>0</v>
      </c>
      <c r="M352" s="74">
        <v>0</v>
      </c>
      <c r="N352" s="74">
        <v>0</v>
      </c>
      <c r="O352" s="74">
        <v>0</v>
      </c>
      <c r="P352" s="74">
        <v>0</v>
      </c>
      <c r="Q352" s="74">
        <v>0</v>
      </c>
      <c r="R352" s="74">
        <v>0</v>
      </c>
      <c r="S352" s="97" t="s">
        <v>85</v>
      </c>
      <c r="T352" s="10">
        <v>5</v>
      </c>
      <c r="U352" s="10">
        <v>2</v>
      </c>
      <c r="V352" s="10">
        <v>0</v>
      </c>
      <c r="W352" s="10">
        <v>0</v>
      </c>
      <c r="X352" s="74">
        <v>0</v>
      </c>
      <c r="Y352" s="74">
        <v>0</v>
      </c>
      <c r="Z352" s="74">
        <v>0</v>
      </c>
      <c r="AA352" s="74">
        <v>0</v>
      </c>
      <c r="AB352" s="74">
        <v>0</v>
      </c>
      <c r="AC352" s="74">
        <v>0</v>
      </c>
      <c r="AD352" s="74">
        <v>0</v>
      </c>
      <c r="AE352" s="74">
        <v>0</v>
      </c>
      <c r="AF352" s="74">
        <v>0</v>
      </c>
      <c r="AG352" s="90">
        <f t="shared" si="10"/>
        <v>11</v>
      </c>
      <c r="AH352" s="90">
        <f t="shared" si="11"/>
        <v>11</v>
      </c>
      <c r="AI352" s="90">
        <f t="shared" si="12"/>
        <v>0</v>
      </c>
    </row>
    <row r="353" spans="1:35" x14ac:dyDescent="0.35">
      <c r="C353" s="96">
        <v>46062</v>
      </c>
      <c r="D353" s="97">
        <v>9</v>
      </c>
      <c r="E353" s="97" t="s">
        <v>131</v>
      </c>
      <c r="F353" s="10">
        <v>3</v>
      </c>
      <c r="G353" s="10">
        <v>1</v>
      </c>
      <c r="H353" s="10">
        <v>0</v>
      </c>
      <c r="I353" s="10">
        <v>0</v>
      </c>
      <c r="J353" s="74">
        <v>0</v>
      </c>
      <c r="K353" s="74">
        <v>0</v>
      </c>
      <c r="L353" s="74">
        <v>0</v>
      </c>
      <c r="M353" s="74">
        <v>0</v>
      </c>
      <c r="N353" s="74">
        <v>0</v>
      </c>
      <c r="O353" s="74">
        <v>0</v>
      </c>
      <c r="P353" s="74">
        <v>0</v>
      </c>
      <c r="Q353" s="74">
        <v>0</v>
      </c>
      <c r="R353" s="74">
        <v>0</v>
      </c>
      <c r="S353" s="97" t="s">
        <v>873</v>
      </c>
      <c r="T353" s="10">
        <v>6</v>
      </c>
      <c r="U353" s="10">
        <v>0</v>
      </c>
      <c r="V353" s="10">
        <v>1</v>
      </c>
      <c r="W353" s="10">
        <v>0</v>
      </c>
      <c r="X353" s="74">
        <v>0</v>
      </c>
      <c r="Y353" s="74">
        <v>0</v>
      </c>
      <c r="Z353" s="74">
        <v>0</v>
      </c>
      <c r="AA353" s="74">
        <v>0</v>
      </c>
      <c r="AB353" s="74">
        <v>0</v>
      </c>
      <c r="AC353" s="74">
        <v>1</v>
      </c>
      <c r="AD353" s="74">
        <v>0</v>
      </c>
      <c r="AE353" s="74">
        <v>0</v>
      </c>
      <c r="AF353" s="74">
        <v>0</v>
      </c>
      <c r="AG353" s="90">
        <f t="shared" si="10"/>
        <v>12</v>
      </c>
      <c r="AH353" s="90">
        <f t="shared" si="11"/>
        <v>11</v>
      </c>
      <c r="AI353" s="90">
        <f t="shared" si="12"/>
        <v>1</v>
      </c>
    </row>
    <row r="354" spans="1:35" x14ac:dyDescent="0.35">
      <c r="C354" s="96">
        <v>46066</v>
      </c>
      <c r="D354" s="97">
        <v>9</v>
      </c>
      <c r="E354" s="97" t="s">
        <v>408</v>
      </c>
      <c r="F354" s="10">
        <v>5</v>
      </c>
      <c r="G354" s="10">
        <v>8</v>
      </c>
      <c r="H354" s="10">
        <v>0</v>
      </c>
      <c r="I354" s="10">
        <v>0</v>
      </c>
      <c r="J354" s="74">
        <v>0</v>
      </c>
      <c r="K354" s="74">
        <v>0</v>
      </c>
      <c r="L354" s="74">
        <v>0</v>
      </c>
      <c r="M354" s="74">
        <v>0</v>
      </c>
      <c r="N354" s="74">
        <v>0</v>
      </c>
      <c r="O354" s="74">
        <v>0</v>
      </c>
      <c r="P354" s="74">
        <v>0</v>
      </c>
      <c r="Q354" s="74">
        <v>0</v>
      </c>
      <c r="R354" s="74">
        <v>0</v>
      </c>
      <c r="S354" s="97" t="s">
        <v>897</v>
      </c>
      <c r="T354" s="10">
        <v>10</v>
      </c>
      <c r="U354" s="10">
        <v>5</v>
      </c>
      <c r="V354" s="10">
        <v>0</v>
      </c>
      <c r="W354" s="10">
        <v>3</v>
      </c>
      <c r="X354" s="74">
        <v>0</v>
      </c>
      <c r="Y354" s="74">
        <v>0</v>
      </c>
      <c r="Z354" s="74">
        <v>0</v>
      </c>
      <c r="AA354" s="74">
        <v>0</v>
      </c>
      <c r="AB354" s="74">
        <v>0</v>
      </c>
      <c r="AC354" s="74">
        <v>0</v>
      </c>
      <c r="AD354" s="74">
        <v>0</v>
      </c>
      <c r="AE354" s="74">
        <v>0</v>
      </c>
      <c r="AF354" s="74">
        <v>0</v>
      </c>
      <c r="AG354" s="90">
        <f t="shared" si="10"/>
        <v>31</v>
      </c>
      <c r="AH354" s="90">
        <f t="shared" si="11"/>
        <v>31</v>
      </c>
      <c r="AI354" s="90">
        <f t="shared" si="12"/>
        <v>0</v>
      </c>
    </row>
    <row r="355" spans="1:35" x14ac:dyDescent="0.35">
      <c r="C355" s="96">
        <v>46070</v>
      </c>
      <c r="D355" s="97">
        <v>9</v>
      </c>
      <c r="E355" s="97" t="s">
        <v>577</v>
      </c>
      <c r="F355" s="10">
        <v>4</v>
      </c>
      <c r="G355" s="10">
        <v>2</v>
      </c>
      <c r="H355" s="10">
        <v>0</v>
      </c>
      <c r="I355" s="10">
        <v>1</v>
      </c>
      <c r="J355" s="74">
        <v>0</v>
      </c>
      <c r="K355" s="74">
        <v>0</v>
      </c>
      <c r="L355" s="74">
        <v>0</v>
      </c>
      <c r="M355" s="74">
        <v>0</v>
      </c>
      <c r="N355" s="74">
        <v>0</v>
      </c>
      <c r="O355" s="74">
        <v>0</v>
      </c>
      <c r="P355" s="74">
        <v>0</v>
      </c>
      <c r="Q355" s="74">
        <v>0</v>
      </c>
      <c r="R355" s="74">
        <v>0</v>
      </c>
      <c r="S355" s="97" t="s">
        <v>905</v>
      </c>
      <c r="T355" s="10">
        <v>10</v>
      </c>
      <c r="U355" s="10">
        <v>4</v>
      </c>
      <c r="V355" s="10">
        <v>0</v>
      </c>
      <c r="W355" s="10">
        <v>0</v>
      </c>
      <c r="X355" s="74">
        <v>0</v>
      </c>
      <c r="Y355" s="74">
        <v>0</v>
      </c>
      <c r="Z355" s="74">
        <v>0</v>
      </c>
      <c r="AA355" s="74">
        <v>0</v>
      </c>
      <c r="AB355" s="74">
        <v>0</v>
      </c>
      <c r="AC355" s="74">
        <v>0</v>
      </c>
      <c r="AD355" s="74">
        <v>0</v>
      </c>
      <c r="AE355" s="74">
        <v>0</v>
      </c>
      <c r="AF355" s="74">
        <v>0</v>
      </c>
      <c r="AG355" s="90">
        <f t="shared" si="10"/>
        <v>21</v>
      </c>
      <c r="AH355" s="90">
        <f t="shared" si="11"/>
        <v>21</v>
      </c>
      <c r="AI355" s="90">
        <f t="shared" si="12"/>
        <v>0</v>
      </c>
    </row>
    <row r="356" spans="1:35" x14ac:dyDescent="0.35">
      <c r="C356" s="96">
        <v>46074</v>
      </c>
      <c r="D356" s="97">
        <v>9</v>
      </c>
      <c r="E356" s="97" t="s">
        <v>933</v>
      </c>
      <c r="F356" s="10">
        <v>1</v>
      </c>
      <c r="G356" s="10">
        <v>0</v>
      </c>
      <c r="H356" s="10">
        <v>0</v>
      </c>
      <c r="I356" s="10">
        <v>0</v>
      </c>
      <c r="J356" s="74">
        <v>0</v>
      </c>
      <c r="K356" s="74">
        <v>0</v>
      </c>
      <c r="L356" s="74">
        <v>0</v>
      </c>
      <c r="M356" s="74">
        <v>1</v>
      </c>
      <c r="N356" s="74">
        <v>0</v>
      </c>
      <c r="O356" s="74">
        <v>0</v>
      </c>
      <c r="P356" s="74">
        <v>0</v>
      </c>
      <c r="Q356" s="74">
        <v>0</v>
      </c>
      <c r="R356" s="74">
        <v>0</v>
      </c>
      <c r="S356" s="97" t="s">
        <v>838</v>
      </c>
      <c r="T356" s="10">
        <v>5</v>
      </c>
      <c r="U356" s="10">
        <v>4</v>
      </c>
      <c r="V356" s="10">
        <v>0</v>
      </c>
      <c r="W356" s="10">
        <v>0</v>
      </c>
      <c r="X356" s="74">
        <v>0</v>
      </c>
      <c r="Y356" s="74">
        <v>0</v>
      </c>
      <c r="Z356" s="74">
        <v>0</v>
      </c>
      <c r="AA356" s="74">
        <v>0</v>
      </c>
      <c r="AB356" s="74">
        <v>0</v>
      </c>
      <c r="AC356" s="74">
        <v>0</v>
      </c>
      <c r="AD356" s="74">
        <v>0</v>
      </c>
      <c r="AE356" s="74">
        <v>0</v>
      </c>
      <c r="AF356" s="74">
        <v>0</v>
      </c>
      <c r="AG356" s="90">
        <f t="shared" si="10"/>
        <v>11</v>
      </c>
      <c r="AH356" s="90">
        <f t="shared" si="11"/>
        <v>10</v>
      </c>
      <c r="AI356" s="90">
        <f t="shared" si="12"/>
        <v>1</v>
      </c>
    </row>
    <row r="357" spans="1:35" x14ac:dyDescent="0.35">
      <c r="C357" s="96">
        <v>46077</v>
      </c>
      <c r="D357" s="97">
        <v>9</v>
      </c>
      <c r="E357" s="97" t="s">
        <v>693</v>
      </c>
      <c r="F357" s="10">
        <v>10</v>
      </c>
      <c r="G357" s="10">
        <v>3</v>
      </c>
      <c r="H357" s="10">
        <v>0</v>
      </c>
      <c r="I357" s="10">
        <v>0</v>
      </c>
      <c r="J357" s="74">
        <v>0</v>
      </c>
      <c r="K357" s="74">
        <v>0</v>
      </c>
      <c r="L357" s="74">
        <v>0</v>
      </c>
      <c r="M357" s="74">
        <v>1</v>
      </c>
      <c r="N357" s="74">
        <v>0</v>
      </c>
      <c r="O357" s="74">
        <v>0</v>
      </c>
      <c r="P357" s="74">
        <v>0</v>
      </c>
      <c r="Q357" s="74">
        <v>0</v>
      </c>
      <c r="R357" s="74">
        <v>0</v>
      </c>
      <c r="S357" s="97" t="s">
        <v>957</v>
      </c>
      <c r="T357" s="10">
        <v>5</v>
      </c>
      <c r="U357" s="10">
        <v>4</v>
      </c>
      <c r="V357" s="10">
        <v>0</v>
      </c>
      <c r="W357" s="10">
        <v>1</v>
      </c>
      <c r="X357" s="74">
        <v>0</v>
      </c>
      <c r="Y357" s="74">
        <v>0</v>
      </c>
      <c r="Z357" s="74">
        <v>0</v>
      </c>
      <c r="AA357" s="74">
        <v>0</v>
      </c>
      <c r="AB357" s="74">
        <v>0</v>
      </c>
      <c r="AC357" s="74">
        <v>0</v>
      </c>
      <c r="AD357" s="74">
        <v>0</v>
      </c>
      <c r="AE357" s="74">
        <v>0</v>
      </c>
      <c r="AF357" s="74">
        <v>0</v>
      </c>
      <c r="AG357" s="90">
        <f t="shared" si="10"/>
        <v>24</v>
      </c>
      <c r="AH357" s="90">
        <f t="shared" si="11"/>
        <v>23</v>
      </c>
      <c r="AI357" s="90">
        <f t="shared" si="12"/>
        <v>1</v>
      </c>
    </row>
    <row r="358" spans="1:35" ht="29" x14ac:dyDescent="0.35">
      <c r="C358" s="96">
        <v>46080</v>
      </c>
      <c r="D358" s="97">
        <v>9</v>
      </c>
      <c r="E358" s="99" t="s">
        <v>973</v>
      </c>
      <c r="F358" s="10">
        <v>2</v>
      </c>
      <c r="G358" s="10">
        <v>3</v>
      </c>
      <c r="H358" s="10">
        <v>0</v>
      </c>
      <c r="I358" s="10">
        <v>2</v>
      </c>
      <c r="J358" s="74">
        <v>1</v>
      </c>
      <c r="K358" s="74">
        <v>0</v>
      </c>
      <c r="L358" s="74">
        <v>0</v>
      </c>
      <c r="M358" s="74">
        <v>0</v>
      </c>
      <c r="N358" s="74">
        <v>0</v>
      </c>
      <c r="O358" s="74">
        <v>0</v>
      </c>
      <c r="P358" s="74">
        <v>0</v>
      </c>
      <c r="Q358" s="74">
        <v>0</v>
      </c>
      <c r="R358" s="74">
        <v>0</v>
      </c>
      <c r="S358" s="97" t="s">
        <v>972</v>
      </c>
      <c r="T358" s="10">
        <v>4</v>
      </c>
      <c r="U358" s="10">
        <v>8</v>
      </c>
      <c r="V358" s="10">
        <v>0</v>
      </c>
      <c r="W358" s="10">
        <v>6</v>
      </c>
      <c r="X358" s="74">
        <v>0</v>
      </c>
      <c r="Y358" s="74">
        <v>0</v>
      </c>
      <c r="Z358" s="74">
        <v>0</v>
      </c>
      <c r="AA358" s="74">
        <v>0</v>
      </c>
      <c r="AB358" s="74">
        <v>0</v>
      </c>
      <c r="AC358" s="74">
        <v>0</v>
      </c>
      <c r="AD358" s="74">
        <v>0</v>
      </c>
      <c r="AE358" s="74">
        <v>0</v>
      </c>
      <c r="AF358" s="74">
        <v>0</v>
      </c>
      <c r="AG358" s="90">
        <f t="shared" si="10"/>
        <v>26</v>
      </c>
      <c r="AH358" s="90">
        <f t="shared" si="11"/>
        <v>25</v>
      </c>
      <c r="AI358" s="90">
        <f t="shared" si="12"/>
        <v>1</v>
      </c>
    </row>
    <row r="359" spans="1:35" ht="29" x14ac:dyDescent="0.35">
      <c r="C359" s="96">
        <v>46084</v>
      </c>
      <c r="D359" s="97">
        <v>9</v>
      </c>
      <c r="E359" s="99" t="s">
        <v>1004</v>
      </c>
      <c r="F359" s="10">
        <v>10</v>
      </c>
      <c r="G359" s="10">
        <v>5</v>
      </c>
      <c r="H359" s="10">
        <v>0</v>
      </c>
      <c r="I359" s="10">
        <v>1</v>
      </c>
      <c r="J359" s="74">
        <v>1</v>
      </c>
      <c r="K359" s="74">
        <v>0</v>
      </c>
      <c r="L359" s="74">
        <v>0</v>
      </c>
      <c r="M359" s="74">
        <v>0</v>
      </c>
      <c r="N359" s="74">
        <v>0</v>
      </c>
      <c r="O359" s="74">
        <v>0</v>
      </c>
      <c r="P359" s="74">
        <v>0</v>
      </c>
      <c r="Q359" s="74">
        <v>0</v>
      </c>
      <c r="R359" s="74">
        <v>0</v>
      </c>
      <c r="S359" s="97" t="s">
        <v>1005</v>
      </c>
      <c r="T359" s="10">
        <v>5</v>
      </c>
      <c r="U359" s="10">
        <v>6</v>
      </c>
      <c r="V359" s="10">
        <v>0</v>
      </c>
      <c r="W359" s="10">
        <v>1</v>
      </c>
      <c r="X359" s="74">
        <v>0</v>
      </c>
      <c r="Y359" s="74">
        <v>0</v>
      </c>
      <c r="Z359" s="74">
        <v>0</v>
      </c>
      <c r="AA359" s="74">
        <v>0</v>
      </c>
      <c r="AB359" s="74">
        <v>0</v>
      </c>
      <c r="AC359" s="74">
        <v>0</v>
      </c>
      <c r="AD359" s="74">
        <v>0</v>
      </c>
      <c r="AE359" s="74">
        <v>0</v>
      </c>
      <c r="AF359" s="74">
        <v>0</v>
      </c>
      <c r="AG359" s="90">
        <f t="shared" si="10"/>
        <v>29</v>
      </c>
      <c r="AH359" s="90">
        <f t="shared" si="11"/>
        <v>28</v>
      </c>
      <c r="AI359" s="90">
        <f t="shared" si="12"/>
        <v>1</v>
      </c>
    </row>
    <row r="360" spans="1:35" x14ac:dyDescent="0.35">
      <c r="C360" s="96">
        <v>46088</v>
      </c>
      <c r="D360" s="97">
        <v>9</v>
      </c>
      <c r="E360" s="97" t="s">
        <v>186</v>
      </c>
      <c r="F360" s="10">
        <v>1</v>
      </c>
      <c r="G360" s="10">
        <v>0</v>
      </c>
      <c r="H360" s="10">
        <v>0</v>
      </c>
      <c r="I360" s="10">
        <v>0</v>
      </c>
      <c r="J360" s="74">
        <v>0</v>
      </c>
      <c r="K360" s="74">
        <v>0</v>
      </c>
      <c r="L360" s="74">
        <v>0</v>
      </c>
      <c r="M360" s="74">
        <v>0</v>
      </c>
      <c r="N360" s="74">
        <v>0</v>
      </c>
      <c r="O360" s="74">
        <v>0</v>
      </c>
      <c r="P360" s="74">
        <v>0</v>
      </c>
      <c r="Q360" s="74">
        <v>0</v>
      </c>
      <c r="R360" s="74">
        <v>0</v>
      </c>
      <c r="S360" s="97" t="s">
        <v>1015</v>
      </c>
      <c r="T360" s="10">
        <v>4</v>
      </c>
      <c r="U360" s="10">
        <v>5</v>
      </c>
      <c r="V360" s="10">
        <v>0</v>
      </c>
      <c r="W360" s="10">
        <v>0</v>
      </c>
      <c r="X360" s="74">
        <v>0</v>
      </c>
      <c r="Y360" s="74">
        <v>0</v>
      </c>
      <c r="Z360" s="74">
        <v>0</v>
      </c>
      <c r="AA360" s="74">
        <v>0</v>
      </c>
      <c r="AB360" s="74">
        <v>0</v>
      </c>
      <c r="AC360" s="74">
        <v>1</v>
      </c>
      <c r="AD360" s="74">
        <v>0</v>
      </c>
      <c r="AE360" s="74">
        <v>0</v>
      </c>
      <c r="AF360" s="74">
        <v>0</v>
      </c>
      <c r="AG360" s="90">
        <f t="shared" si="10"/>
        <v>11</v>
      </c>
      <c r="AH360" s="90">
        <f t="shared" si="11"/>
        <v>10</v>
      </c>
      <c r="AI360" s="90">
        <f t="shared" si="12"/>
        <v>1</v>
      </c>
    </row>
    <row r="361" spans="1:35" x14ac:dyDescent="0.35">
      <c r="C361" s="96">
        <v>46091</v>
      </c>
      <c r="D361" s="97">
        <v>9</v>
      </c>
      <c r="E361" s="97" t="s">
        <v>1057</v>
      </c>
      <c r="F361" s="10">
        <v>10</v>
      </c>
      <c r="G361" s="10">
        <v>2</v>
      </c>
      <c r="H361" s="10">
        <v>1</v>
      </c>
      <c r="I361" s="10">
        <v>0</v>
      </c>
      <c r="J361" s="74">
        <v>0</v>
      </c>
      <c r="K361" s="74">
        <v>0</v>
      </c>
      <c r="L361" s="74">
        <v>0</v>
      </c>
      <c r="M361" s="74">
        <v>0</v>
      </c>
      <c r="N361" s="74">
        <v>0</v>
      </c>
      <c r="O361" s="74">
        <v>0</v>
      </c>
      <c r="P361" s="74">
        <v>0</v>
      </c>
      <c r="Q361" s="74">
        <v>0</v>
      </c>
      <c r="R361" s="74">
        <v>0</v>
      </c>
      <c r="S361" s="97" t="s">
        <v>1056</v>
      </c>
      <c r="T361" s="10">
        <v>3</v>
      </c>
      <c r="U361" s="10">
        <v>4</v>
      </c>
      <c r="V361" s="10">
        <v>0</v>
      </c>
      <c r="W361" s="10">
        <v>0</v>
      </c>
      <c r="X361" s="74">
        <v>0</v>
      </c>
      <c r="Y361" s="74">
        <v>1</v>
      </c>
      <c r="Z361" s="74">
        <v>0</v>
      </c>
      <c r="AA361" s="74">
        <v>1</v>
      </c>
      <c r="AB361" s="74">
        <v>0</v>
      </c>
      <c r="AC361" s="74">
        <v>0</v>
      </c>
      <c r="AD361" s="74">
        <v>0</v>
      </c>
      <c r="AE361" s="74">
        <v>0</v>
      </c>
      <c r="AF361" s="74">
        <v>0</v>
      </c>
      <c r="AG361" s="90">
        <f t="shared" si="10"/>
        <v>22</v>
      </c>
      <c r="AH361" s="90">
        <f t="shared" si="11"/>
        <v>20</v>
      </c>
      <c r="AI361" s="90">
        <f t="shared" si="12"/>
        <v>2</v>
      </c>
    </row>
    <row r="362" spans="1:35" ht="29" x14ac:dyDescent="0.35">
      <c r="C362" s="96">
        <v>46094</v>
      </c>
      <c r="D362" s="97">
        <v>9</v>
      </c>
      <c r="E362" s="99" t="s">
        <v>1082</v>
      </c>
      <c r="F362" s="10">
        <v>6</v>
      </c>
      <c r="G362" s="10">
        <v>4</v>
      </c>
      <c r="H362" s="10">
        <v>2</v>
      </c>
      <c r="I362" s="10">
        <v>2</v>
      </c>
      <c r="J362" s="74">
        <v>0</v>
      </c>
      <c r="K362" s="74">
        <v>0</v>
      </c>
      <c r="L362" s="74">
        <v>0</v>
      </c>
      <c r="M362" s="74">
        <v>0</v>
      </c>
      <c r="N362" s="74">
        <v>0</v>
      </c>
      <c r="O362" s="74">
        <v>0</v>
      </c>
      <c r="P362" s="74">
        <v>0</v>
      </c>
      <c r="Q362" s="74">
        <v>0</v>
      </c>
      <c r="R362" s="74">
        <v>0</v>
      </c>
      <c r="S362" s="97" t="s">
        <v>1081</v>
      </c>
      <c r="T362" s="10">
        <v>4</v>
      </c>
      <c r="U362" s="10">
        <v>5</v>
      </c>
      <c r="V362" s="10">
        <v>0</v>
      </c>
      <c r="W362" s="10">
        <v>3</v>
      </c>
      <c r="X362" s="74">
        <v>0</v>
      </c>
      <c r="Y362" s="74">
        <v>0</v>
      </c>
      <c r="Z362" s="74">
        <v>0</v>
      </c>
      <c r="AA362" s="74">
        <v>0</v>
      </c>
      <c r="AB362" s="74">
        <v>0</v>
      </c>
      <c r="AC362" s="74">
        <v>1</v>
      </c>
      <c r="AD362" s="74">
        <v>0</v>
      </c>
      <c r="AE362" s="74">
        <v>0</v>
      </c>
      <c r="AF362" s="74">
        <v>0</v>
      </c>
      <c r="AG362" s="90">
        <f t="shared" si="10"/>
        <v>27</v>
      </c>
      <c r="AH362" s="90">
        <f t="shared" si="11"/>
        <v>26</v>
      </c>
      <c r="AI362" s="90">
        <f t="shared" si="12"/>
        <v>1</v>
      </c>
    </row>
    <row r="363" spans="1:35" x14ac:dyDescent="0.35">
      <c r="C363" s="96">
        <v>46098</v>
      </c>
      <c r="D363" s="97">
        <v>9</v>
      </c>
      <c r="E363" s="97" t="s">
        <v>1106</v>
      </c>
      <c r="F363" s="10">
        <v>8</v>
      </c>
      <c r="G363" s="10">
        <v>12</v>
      </c>
      <c r="H363" s="10">
        <v>0</v>
      </c>
      <c r="I363" s="10">
        <v>1</v>
      </c>
      <c r="J363" s="74">
        <v>0</v>
      </c>
      <c r="K363" s="74">
        <v>1</v>
      </c>
      <c r="L363" s="74">
        <v>0</v>
      </c>
      <c r="M363" s="74">
        <v>0</v>
      </c>
      <c r="N363" s="74">
        <v>0</v>
      </c>
      <c r="O363" s="74">
        <v>0</v>
      </c>
      <c r="P363" s="74">
        <v>0</v>
      </c>
      <c r="Q363" s="74">
        <v>0</v>
      </c>
      <c r="R363" s="74">
        <v>0</v>
      </c>
      <c r="S363" s="97" t="s">
        <v>1107</v>
      </c>
      <c r="T363" s="10">
        <v>5</v>
      </c>
      <c r="U363" s="10">
        <v>14</v>
      </c>
      <c r="V363" s="10">
        <v>0</v>
      </c>
      <c r="W363" s="10">
        <v>1</v>
      </c>
      <c r="X363" s="74">
        <v>0</v>
      </c>
      <c r="Y363" s="74">
        <v>1</v>
      </c>
      <c r="Z363" s="74">
        <v>0</v>
      </c>
      <c r="AA363" s="74">
        <v>0</v>
      </c>
      <c r="AB363" s="74">
        <v>0</v>
      </c>
      <c r="AC363" s="74">
        <v>0</v>
      </c>
      <c r="AD363" s="74">
        <v>0</v>
      </c>
      <c r="AE363" s="74">
        <v>0</v>
      </c>
      <c r="AF363" s="74">
        <v>0</v>
      </c>
      <c r="AG363" s="90">
        <f t="shared" si="10"/>
        <v>43</v>
      </c>
      <c r="AH363" s="90">
        <f t="shared" si="11"/>
        <v>41</v>
      </c>
      <c r="AI363" s="90">
        <f t="shared" si="12"/>
        <v>2</v>
      </c>
    </row>
    <row r="364" spans="1:35" x14ac:dyDescent="0.35">
      <c r="C364" s="96">
        <v>46105</v>
      </c>
      <c r="D364" s="97">
        <v>9</v>
      </c>
      <c r="E364" s="97" t="s">
        <v>1146</v>
      </c>
      <c r="F364" s="10">
        <v>0</v>
      </c>
      <c r="G364" s="10">
        <v>4</v>
      </c>
      <c r="H364" s="10">
        <v>2</v>
      </c>
      <c r="I364" s="10">
        <v>1</v>
      </c>
      <c r="J364" s="74">
        <v>0</v>
      </c>
      <c r="K364" s="74">
        <v>1</v>
      </c>
      <c r="L364" s="74">
        <v>0</v>
      </c>
      <c r="M364" s="74">
        <v>0</v>
      </c>
      <c r="N364" s="74">
        <v>0</v>
      </c>
      <c r="O364" s="74">
        <v>0</v>
      </c>
      <c r="P364" s="74">
        <v>0</v>
      </c>
      <c r="Q364" s="74">
        <v>0</v>
      </c>
      <c r="R364" s="74">
        <v>0</v>
      </c>
      <c r="S364" s="97" t="s">
        <v>384</v>
      </c>
      <c r="T364" s="10">
        <v>0</v>
      </c>
      <c r="U364" s="10">
        <v>2</v>
      </c>
      <c r="V364" s="10">
        <v>0</v>
      </c>
      <c r="W364" s="10">
        <v>0</v>
      </c>
      <c r="X364" s="74">
        <v>0</v>
      </c>
      <c r="Y364" s="74">
        <v>0</v>
      </c>
      <c r="Z364" s="74">
        <v>0</v>
      </c>
      <c r="AA364" s="74">
        <v>0</v>
      </c>
      <c r="AB364" s="74">
        <v>0</v>
      </c>
      <c r="AC364" s="74">
        <v>1</v>
      </c>
      <c r="AD364" s="74">
        <v>0</v>
      </c>
      <c r="AE364" s="74">
        <v>0</v>
      </c>
      <c r="AF364" s="74">
        <v>0</v>
      </c>
      <c r="AG364" s="90">
        <f t="shared" si="10"/>
        <v>11</v>
      </c>
      <c r="AH364" s="90">
        <f t="shared" si="11"/>
        <v>9</v>
      </c>
      <c r="AI364" s="90">
        <f t="shared" si="12"/>
        <v>2</v>
      </c>
    </row>
    <row r="365" spans="1:35" ht="29" x14ac:dyDescent="0.35">
      <c r="C365" s="96">
        <v>46112</v>
      </c>
      <c r="D365" s="97">
        <v>9</v>
      </c>
      <c r="E365" s="99" t="s">
        <v>1191</v>
      </c>
      <c r="F365" s="10">
        <v>3</v>
      </c>
      <c r="G365" s="10">
        <v>5</v>
      </c>
      <c r="H365" s="10">
        <v>0</v>
      </c>
      <c r="I365" s="10">
        <v>1</v>
      </c>
      <c r="J365" s="74">
        <v>1</v>
      </c>
      <c r="K365" s="74">
        <v>0</v>
      </c>
      <c r="L365" s="74">
        <v>0</v>
      </c>
      <c r="M365" s="74">
        <v>0</v>
      </c>
      <c r="N365" s="74">
        <v>0</v>
      </c>
      <c r="O365" s="74">
        <v>0</v>
      </c>
      <c r="P365" s="74">
        <v>0</v>
      </c>
      <c r="Q365" s="74">
        <v>0</v>
      </c>
      <c r="R365" s="74">
        <v>0</v>
      </c>
      <c r="S365" s="97" t="s">
        <v>1161</v>
      </c>
      <c r="T365" s="10">
        <v>3</v>
      </c>
      <c r="U365" s="10">
        <v>5</v>
      </c>
      <c r="V365" s="10">
        <v>0</v>
      </c>
      <c r="W365" s="10">
        <v>3</v>
      </c>
      <c r="X365" s="74">
        <v>0</v>
      </c>
      <c r="Y365" s="74">
        <v>0</v>
      </c>
      <c r="Z365" s="74">
        <v>0</v>
      </c>
      <c r="AA365" s="74">
        <v>0</v>
      </c>
      <c r="AB365" s="74">
        <v>0</v>
      </c>
      <c r="AC365" s="74">
        <v>0</v>
      </c>
      <c r="AD365" s="74">
        <v>0</v>
      </c>
      <c r="AE365" s="74">
        <v>0</v>
      </c>
      <c r="AF365" s="74">
        <v>0</v>
      </c>
      <c r="AG365" s="90">
        <f t="shared" si="10"/>
        <v>21</v>
      </c>
      <c r="AH365" s="90">
        <f t="shared" si="11"/>
        <v>20</v>
      </c>
      <c r="AI365" s="90">
        <f t="shared" si="12"/>
        <v>1</v>
      </c>
    </row>
    <row r="367" spans="1:35" x14ac:dyDescent="0.35">
      <c r="A367" s="93">
        <v>20</v>
      </c>
      <c r="B367" s="95" t="s">
        <v>937</v>
      </c>
      <c r="C367" s="96">
        <v>46074</v>
      </c>
      <c r="D367" s="97">
        <v>9</v>
      </c>
      <c r="E367" s="97" t="s">
        <v>930</v>
      </c>
      <c r="F367" s="10">
        <v>3</v>
      </c>
      <c r="G367" s="10">
        <v>2</v>
      </c>
      <c r="H367" s="10">
        <v>3</v>
      </c>
      <c r="I367" s="10">
        <v>0</v>
      </c>
      <c r="J367" s="74">
        <v>0</v>
      </c>
      <c r="K367" s="74">
        <v>0</v>
      </c>
      <c r="L367" s="74">
        <v>0</v>
      </c>
      <c r="M367" s="74">
        <v>0</v>
      </c>
      <c r="N367" s="74">
        <v>0</v>
      </c>
      <c r="O367" s="74">
        <v>0</v>
      </c>
      <c r="P367" s="74">
        <v>0</v>
      </c>
      <c r="Q367" s="74">
        <v>0</v>
      </c>
      <c r="R367" s="74">
        <v>0</v>
      </c>
      <c r="S367" s="97" t="s">
        <v>931</v>
      </c>
      <c r="T367" s="10">
        <v>8</v>
      </c>
      <c r="U367" s="10">
        <v>1</v>
      </c>
      <c r="V367" s="10">
        <v>0</v>
      </c>
      <c r="W367" s="10">
        <v>0</v>
      </c>
      <c r="X367" s="74">
        <v>0</v>
      </c>
      <c r="Y367" s="74">
        <v>0</v>
      </c>
      <c r="Z367" s="74">
        <v>0</v>
      </c>
      <c r="AA367" s="74">
        <v>0</v>
      </c>
      <c r="AB367" s="74">
        <v>0</v>
      </c>
      <c r="AC367" s="74">
        <v>1</v>
      </c>
      <c r="AD367" s="74">
        <v>0</v>
      </c>
      <c r="AE367" s="74">
        <v>0</v>
      </c>
      <c r="AF367" s="74">
        <v>0</v>
      </c>
      <c r="AG367" s="90">
        <f t="shared" si="10"/>
        <v>18</v>
      </c>
      <c r="AH367" s="90">
        <f t="shared" si="11"/>
        <v>17</v>
      </c>
      <c r="AI367" s="90">
        <f t="shared" si="12"/>
        <v>1</v>
      </c>
    </row>
    <row r="368" spans="1:35" x14ac:dyDescent="0.35">
      <c r="C368" s="96">
        <v>46077</v>
      </c>
      <c r="D368" s="97">
        <v>9</v>
      </c>
      <c r="E368" s="97" t="s">
        <v>959</v>
      </c>
      <c r="F368" s="10">
        <v>4</v>
      </c>
      <c r="G368" s="10">
        <v>5</v>
      </c>
      <c r="H368" s="10">
        <v>0</v>
      </c>
      <c r="I368" s="10">
        <v>0</v>
      </c>
      <c r="J368" s="74">
        <v>0</v>
      </c>
      <c r="K368" s="74">
        <v>0</v>
      </c>
      <c r="L368" s="74">
        <v>0</v>
      </c>
      <c r="M368" s="74">
        <v>0</v>
      </c>
      <c r="N368" s="74">
        <v>0</v>
      </c>
      <c r="O368" s="74">
        <v>0</v>
      </c>
      <c r="P368" s="74">
        <v>0</v>
      </c>
      <c r="Q368" s="74">
        <v>0</v>
      </c>
      <c r="R368" s="74">
        <v>0</v>
      </c>
      <c r="S368" s="97" t="s">
        <v>958</v>
      </c>
      <c r="T368" s="10">
        <v>4</v>
      </c>
      <c r="U368" s="10">
        <v>2</v>
      </c>
      <c r="V368" s="10">
        <v>0</v>
      </c>
      <c r="W368" s="10">
        <v>0</v>
      </c>
      <c r="X368" s="74">
        <v>0</v>
      </c>
      <c r="Y368" s="74">
        <v>0</v>
      </c>
      <c r="Z368" s="74">
        <v>0</v>
      </c>
      <c r="AA368" s="74">
        <v>0</v>
      </c>
      <c r="AB368" s="74">
        <v>0</v>
      </c>
      <c r="AC368" s="74">
        <v>1</v>
      </c>
      <c r="AD368" s="74">
        <v>0</v>
      </c>
      <c r="AE368" s="74">
        <v>0</v>
      </c>
      <c r="AF368" s="74">
        <v>0</v>
      </c>
      <c r="AG368" s="90">
        <f t="shared" si="10"/>
        <v>16</v>
      </c>
      <c r="AH368" s="90">
        <f t="shared" si="11"/>
        <v>15</v>
      </c>
      <c r="AI368" s="90">
        <f t="shared" si="12"/>
        <v>1</v>
      </c>
    </row>
    <row r="369" spans="1:35" ht="29" x14ac:dyDescent="0.35">
      <c r="C369" s="96">
        <v>46080</v>
      </c>
      <c r="D369" s="97">
        <v>9</v>
      </c>
      <c r="E369" s="99" t="s">
        <v>977</v>
      </c>
      <c r="F369" s="10">
        <v>5</v>
      </c>
      <c r="G369" s="10">
        <v>2</v>
      </c>
      <c r="H369" s="10">
        <v>0</v>
      </c>
      <c r="I369" s="10">
        <v>0</v>
      </c>
      <c r="J369" s="74">
        <v>0</v>
      </c>
      <c r="K369" s="74">
        <v>1</v>
      </c>
      <c r="L369" s="74">
        <v>0</v>
      </c>
      <c r="M369" s="74">
        <v>1</v>
      </c>
      <c r="N369" s="74">
        <v>0</v>
      </c>
      <c r="O369" s="74">
        <v>1</v>
      </c>
      <c r="P369" s="74">
        <v>0</v>
      </c>
      <c r="Q369" s="74">
        <v>0</v>
      </c>
      <c r="R369" s="74">
        <v>0</v>
      </c>
      <c r="S369" s="97" t="s">
        <v>966</v>
      </c>
      <c r="T369" s="10">
        <v>4</v>
      </c>
      <c r="U369" s="10">
        <v>2</v>
      </c>
      <c r="V369" s="10">
        <v>0</v>
      </c>
      <c r="W369" s="10">
        <v>1</v>
      </c>
      <c r="X369" s="74">
        <v>0</v>
      </c>
      <c r="Y369" s="74">
        <v>1</v>
      </c>
      <c r="Z369" s="74">
        <v>0</v>
      </c>
      <c r="AA369" s="74">
        <v>0</v>
      </c>
      <c r="AB369" s="74">
        <v>0</v>
      </c>
      <c r="AC369" s="74">
        <v>0</v>
      </c>
      <c r="AD369" s="74">
        <v>0</v>
      </c>
      <c r="AE369" s="74">
        <v>0</v>
      </c>
      <c r="AF369" s="74">
        <v>0</v>
      </c>
      <c r="AG369" s="90">
        <f t="shared" si="10"/>
        <v>18</v>
      </c>
      <c r="AH369" s="90">
        <f t="shared" si="11"/>
        <v>14</v>
      </c>
      <c r="AI369" s="90">
        <f t="shared" si="12"/>
        <v>4</v>
      </c>
    </row>
    <row r="370" spans="1:35" x14ac:dyDescent="0.35">
      <c r="C370" s="96">
        <v>46084</v>
      </c>
      <c r="D370" s="97">
        <v>9</v>
      </c>
      <c r="E370" s="97" t="s">
        <v>992</v>
      </c>
      <c r="F370" s="10">
        <v>3</v>
      </c>
      <c r="G370" s="10">
        <v>2</v>
      </c>
      <c r="H370" s="10">
        <v>0</v>
      </c>
      <c r="I370" s="10">
        <v>1</v>
      </c>
      <c r="J370" s="74">
        <v>0</v>
      </c>
      <c r="K370" s="74">
        <v>0</v>
      </c>
      <c r="L370" s="74">
        <v>0</v>
      </c>
      <c r="M370" s="74">
        <v>2</v>
      </c>
      <c r="N370" s="74">
        <v>0</v>
      </c>
      <c r="O370" s="74">
        <v>0</v>
      </c>
      <c r="P370" s="74">
        <v>0</v>
      </c>
      <c r="Q370" s="74">
        <v>0</v>
      </c>
      <c r="R370" s="74">
        <v>0</v>
      </c>
      <c r="S370" s="97" t="s">
        <v>98</v>
      </c>
      <c r="T370" s="10">
        <v>4</v>
      </c>
      <c r="U370" s="10">
        <v>0</v>
      </c>
      <c r="V370" s="10">
        <v>0</v>
      </c>
      <c r="W370" s="10">
        <v>0</v>
      </c>
      <c r="X370" s="74">
        <v>0</v>
      </c>
      <c r="Y370" s="74">
        <v>0</v>
      </c>
      <c r="Z370" s="74">
        <v>0</v>
      </c>
      <c r="AA370" s="74">
        <v>0</v>
      </c>
      <c r="AB370" s="74">
        <v>0</v>
      </c>
      <c r="AC370" s="74">
        <v>0</v>
      </c>
      <c r="AD370" s="74">
        <v>0</v>
      </c>
      <c r="AE370" s="74">
        <v>0</v>
      </c>
      <c r="AF370" s="74">
        <v>0</v>
      </c>
      <c r="AG370" s="90">
        <f t="shared" si="10"/>
        <v>12</v>
      </c>
      <c r="AH370" s="90">
        <f t="shared" si="11"/>
        <v>10</v>
      </c>
      <c r="AI370" s="90">
        <f t="shared" si="12"/>
        <v>2</v>
      </c>
    </row>
    <row r="371" spans="1:35" x14ac:dyDescent="0.35">
      <c r="C371" s="96">
        <v>46088</v>
      </c>
      <c r="D371" s="97">
        <v>9</v>
      </c>
      <c r="E371" s="97" t="s">
        <v>1012</v>
      </c>
      <c r="F371" s="10">
        <v>3</v>
      </c>
      <c r="G371" s="10">
        <v>1</v>
      </c>
      <c r="H371" s="10">
        <v>0</v>
      </c>
      <c r="I371" s="10">
        <v>1</v>
      </c>
      <c r="J371" s="74">
        <v>0</v>
      </c>
      <c r="K371" s="74">
        <v>1</v>
      </c>
      <c r="L371" s="74">
        <v>0</v>
      </c>
      <c r="M371" s="74">
        <v>1</v>
      </c>
      <c r="N371" s="74">
        <v>0</v>
      </c>
      <c r="O371" s="74">
        <v>0</v>
      </c>
      <c r="P371" s="74">
        <v>0</v>
      </c>
      <c r="Q371" s="74">
        <v>0</v>
      </c>
      <c r="R371" s="74">
        <v>0</v>
      </c>
      <c r="S371" s="97" t="s">
        <v>1011</v>
      </c>
      <c r="T371" s="10">
        <v>4</v>
      </c>
      <c r="U371" s="10">
        <v>1</v>
      </c>
      <c r="V371" s="10">
        <v>1</v>
      </c>
      <c r="W371" s="10">
        <v>0</v>
      </c>
      <c r="X371" s="74">
        <v>0</v>
      </c>
      <c r="Y371" s="74">
        <v>0</v>
      </c>
      <c r="Z371" s="74">
        <v>0</v>
      </c>
      <c r="AA371" s="74">
        <v>0</v>
      </c>
      <c r="AB371" s="74">
        <v>0</v>
      </c>
      <c r="AC371" s="74">
        <v>0</v>
      </c>
      <c r="AD371" s="74">
        <v>0</v>
      </c>
      <c r="AE371" s="74">
        <v>0</v>
      </c>
      <c r="AF371" s="74">
        <v>0</v>
      </c>
      <c r="AG371" s="90">
        <f t="shared" si="10"/>
        <v>13</v>
      </c>
      <c r="AH371" s="90">
        <f t="shared" si="11"/>
        <v>11</v>
      </c>
      <c r="AI371" s="90">
        <f t="shared" si="12"/>
        <v>2</v>
      </c>
    </row>
    <row r="372" spans="1:35" x14ac:dyDescent="0.35">
      <c r="C372" s="96">
        <v>46091</v>
      </c>
      <c r="D372" s="97">
        <v>9</v>
      </c>
      <c r="E372" s="97" t="s">
        <v>1055</v>
      </c>
      <c r="F372" s="10">
        <v>6</v>
      </c>
      <c r="G372" s="10">
        <v>3</v>
      </c>
      <c r="H372" s="10">
        <v>0</v>
      </c>
      <c r="I372" s="10">
        <v>0</v>
      </c>
      <c r="J372" s="74">
        <v>0</v>
      </c>
      <c r="K372" s="74">
        <v>0</v>
      </c>
      <c r="L372" s="74">
        <v>0</v>
      </c>
      <c r="M372" s="74">
        <v>2</v>
      </c>
      <c r="N372" s="74">
        <v>0</v>
      </c>
      <c r="O372" s="74">
        <v>0</v>
      </c>
      <c r="P372" s="74">
        <v>0</v>
      </c>
      <c r="Q372" s="74">
        <v>0</v>
      </c>
      <c r="R372" s="74">
        <v>0</v>
      </c>
      <c r="S372" s="97" t="s">
        <v>139</v>
      </c>
      <c r="T372" s="10">
        <v>12</v>
      </c>
      <c r="U372" s="10">
        <v>0</v>
      </c>
      <c r="V372" s="10">
        <v>0</v>
      </c>
      <c r="W372" s="10">
        <v>0</v>
      </c>
      <c r="X372" s="74">
        <v>0</v>
      </c>
      <c r="Y372" s="74">
        <v>0</v>
      </c>
      <c r="Z372" s="74">
        <v>0</v>
      </c>
      <c r="AA372" s="74">
        <v>0</v>
      </c>
      <c r="AB372" s="74">
        <v>0</v>
      </c>
      <c r="AC372" s="74">
        <v>0</v>
      </c>
      <c r="AD372" s="74">
        <v>0</v>
      </c>
      <c r="AE372" s="74">
        <v>0</v>
      </c>
      <c r="AF372" s="74">
        <v>0</v>
      </c>
      <c r="AG372" s="90">
        <f t="shared" si="10"/>
        <v>23</v>
      </c>
      <c r="AH372" s="90">
        <f t="shared" si="11"/>
        <v>21</v>
      </c>
      <c r="AI372" s="90">
        <f t="shared" si="12"/>
        <v>2</v>
      </c>
    </row>
    <row r="373" spans="1:35" x14ac:dyDescent="0.35">
      <c r="C373" s="96">
        <v>46094</v>
      </c>
      <c r="D373" s="97">
        <v>9</v>
      </c>
      <c r="E373" s="97" t="s">
        <v>1086</v>
      </c>
      <c r="F373" s="10">
        <v>3</v>
      </c>
      <c r="G373" s="10">
        <v>4</v>
      </c>
      <c r="H373" s="10">
        <v>0</v>
      </c>
      <c r="I373" s="10">
        <v>0</v>
      </c>
      <c r="J373" s="74">
        <v>0</v>
      </c>
      <c r="K373" s="74">
        <v>0</v>
      </c>
      <c r="L373" s="74">
        <v>0</v>
      </c>
      <c r="M373" s="74">
        <v>0</v>
      </c>
      <c r="N373" s="74">
        <v>0</v>
      </c>
      <c r="O373" s="74">
        <v>0</v>
      </c>
      <c r="P373" s="74">
        <v>1</v>
      </c>
      <c r="Q373" s="74">
        <v>0</v>
      </c>
      <c r="R373" s="74">
        <v>0</v>
      </c>
      <c r="S373" s="97" t="s">
        <v>1087</v>
      </c>
      <c r="T373" s="10">
        <v>4</v>
      </c>
      <c r="U373" s="10">
        <v>4</v>
      </c>
      <c r="V373" s="10">
        <v>0</v>
      </c>
      <c r="W373" s="10">
        <v>0</v>
      </c>
      <c r="X373" s="74">
        <v>0</v>
      </c>
      <c r="Y373" s="74">
        <v>0</v>
      </c>
      <c r="Z373" s="74">
        <v>0</v>
      </c>
      <c r="AA373" s="74">
        <v>1</v>
      </c>
      <c r="AB373" s="74">
        <v>0</v>
      </c>
      <c r="AC373" s="74">
        <v>0</v>
      </c>
      <c r="AD373" s="74">
        <v>0</v>
      </c>
      <c r="AE373" s="74">
        <v>0</v>
      </c>
      <c r="AF373" s="74">
        <v>0</v>
      </c>
      <c r="AG373" s="90">
        <f t="shared" si="10"/>
        <v>17</v>
      </c>
      <c r="AH373" s="90">
        <f t="shared" si="11"/>
        <v>15</v>
      </c>
      <c r="AI373" s="90">
        <f t="shared" si="12"/>
        <v>2</v>
      </c>
    </row>
    <row r="374" spans="1:35" x14ac:dyDescent="0.35">
      <c r="C374" s="96">
        <v>46098</v>
      </c>
      <c r="D374" s="97">
        <v>9</v>
      </c>
      <c r="E374" s="97" t="s">
        <v>1097</v>
      </c>
      <c r="F374" s="10">
        <v>4</v>
      </c>
      <c r="G374" s="10">
        <v>0</v>
      </c>
      <c r="H374" s="10">
        <v>0</v>
      </c>
      <c r="I374" s="10">
        <v>3</v>
      </c>
      <c r="J374" s="74">
        <v>0</v>
      </c>
      <c r="K374" s="74">
        <v>0</v>
      </c>
      <c r="L374" s="74">
        <v>0</v>
      </c>
      <c r="M374" s="74">
        <v>0</v>
      </c>
      <c r="N374" s="74">
        <v>0</v>
      </c>
      <c r="O374" s="74">
        <v>0</v>
      </c>
      <c r="P374" s="74">
        <v>0</v>
      </c>
      <c r="Q374" s="74">
        <v>0</v>
      </c>
      <c r="R374" s="74">
        <v>0</v>
      </c>
      <c r="S374" s="97" t="s">
        <v>1096</v>
      </c>
      <c r="T374" s="10">
        <v>1</v>
      </c>
      <c r="U374" s="10">
        <v>1</v>
      </c>
      <c r="V374" s="10">
        <v>0</v>
      </c>
      <c r="W374" s="10">
        <v>0</v>
      </c>
      <c r="X374" s="74">
        <v>0</v>
      </c>
      <c r="Y374" s="74">
        <v>0</v>
      </c>
      <c r="Z374" s="74">
        <v>0</v>
      </c>
      <c r="AA374" s="74">
        <v>0</v>
      </c>
      <c r="AB374" s="74">
        <v>0</v>
      </c>
      <c r="AC374" s="74">
        <v>0</v>
      </c>
      <c r="AD374" s="74">
        <v>1</v>
      </c>
      <c r="AE374" s="74">
        <v>0</v>
      </c>
      <c r="AF374" s="74">
        <v>0</v>
      </c>
      <c r="AG374" s="90">
        <f t="shared" si="10"/>
        <v>10</v>
      </c>
      <c r="AH374" s="90">
        <f t="shared" si="11"/>
        <v>9</v>
      </c>
      <c r="AI374" s="90">
        <f t="shared" si="12"/>
        <v>1</v>
      </c>
    </row>
    <row r="375" spans="1:35" x14ac:dyDescent="0.35">
      <c r="C375" s="96">
        <v>46101</v>
      </c>
      <c r="D375" s="97">
        <v>9</v>
      </c>
      <c r="E375" s="97" t="s">
        <v>1120</v>
      </c>
      <c r="F375" s="10">
        <v>15</v>
      </c>
      <c r="G375" s="10">
        <v>6</v>
      </c>
      <c r="H375" s="10">
        <v>0</v>
      </c>
      <c r="I375" s="10">
        <v>0</v>
      </c>
      <c r="J375" s="74">
        <v>0</v>
      </c>
      <c r="K375" s="74">
        <v>1</v>
      </c>
      <c r="L375" s="74">
        <v>0</v>
      </c>
      <c r="M375" s="74">
        <v>0</v>
      </c>
      <c r="N375" s="74">
        <v>0</v>
      </c>
      <c r="O375" s="74">
        <v>0</v>
      </c>
      <c r="P375" s="74">
        <v>0</v>
      </c>
      <c r="Q375" s="74">
        <v>0</v>
      </c>
      <c r="R375" s="74">
        <v>0</v>
      </c>
      <c r="S375" s="97" t="s">
        <v>1121</v>
      </c>
      <c r="T375" s="10">
        <v>10</v>
      </c>
      <c r="U375" s="10">
        <v>4</v>
      </c>
      <c r="V375" s="10">
        <v>0</v>
      </c>
      <c r="W375" s="10">
        <v>0</v>
      </c>
      <c r="X375" s="74">
        <v>0</v>
      </c>
      <c r="Y375" s="74">
        <v>0</v>
      </c>
      <c r="Z375" s="74">
        <v>0</v>
      </c>
      <c r="AA375" s="74">
        <v>1</v>
      </c>
      <c r="AB375" s="74">
        <v>0</v>
      </c>
      <c r="AC375" s="74">
        <v>0</v>
      </c>
      <c r="AD375" s="74">
        <v>0</v>
      </c>
      <c r="AE375" s="74">
        <v>0</v>
      </c>
      <c r="AF375" s="74">
        <v>0</v>
      </c>
      <c r="AG375" s="90">
        <f t="shared" si="10"/>
        <v>37</v>
      </c>
      <c r="AH375" s="90">
        <f t="shared" si="11"/>
        <v>35</v>
      </c>
      <c r="AI375" s="90">
        <f t="shared" si="12"/>
        <v>2</v>
      </c>
    </row>
    <row r="376" spans="1:35" ht="29" x14ac:dyDescent="0.35">
      <c r="C376" s="96">
        <v>46105</v>
      </c>
      <c r="D376" s="97">
        <v>9</v>
      </c>
      <c r="E376" s="99" t="s">
        <v>1149</v>
      </c>
      <c r="F376" s="10">
        <v>4</v>
      </c>
      <c r="G376" s="10">
        <v>2</v>
      </c>
      <c r="H376" s="10">
        <v>0</v>
      </c>
      <c r="I376" s="10">
        <v>1</v>
      </c>
      <c r="J376" s="74">
        <v>0</v>
      </c>
      <c r="K376" s="74">
        <v>0</v>
      </c>
      <c r="L376" s="74">
        <v>1</v>
      </c>
      <c r="M376" s="74">
        <v>0</v>
      </c>
      <c r="N376" s="74">
        <v>0</v>
      </c>
      <c r="O376" s="74">
        <v>1</v>
      </c>
      <c r="P376" s="74">
        <v>0</v>
      </c>
      <c r="Q376" s="74">
        <v>0</v>
      </c>
      <c r="R376" s="74">
        <v>0</v>
      </c>
      <c r="S376" s="97" t="s">
        <v>1148</v>
      </c>
      <c r="T376" s="10">
        <v>4</v>
      </c>
      <c r="U376" s="10">
        <v>1</v>
      </c>
      <c r="V376" s="10">
        <v>0</v>
      </c>
      <c r="W376" s="10">
        <v>3</v>
      </c>
      <c r="X376" s="74">
        <v>0</v>
      </c>
      <c r="Y376" s="74">
        <v>0</v>
      </c>
      <c r="Z376" s="74">
        <v>1</v>
      </c>
      <c r="AA376" s="74">
        <v>0</v>
      </c>
      <c r="AB376" s="74">
        <v>0</v>
      </c>
      <c r="AC376" s="74">
        <v>0</v>
      </c>
      <c r="AD376" s="74">
        <v>0</v>
      </c>
      <c r="AE376" s="74">
        <v>0</v>
      </c>
      <c r="AF376" s="74">
        <v>0</v>
      </c>
      <c r="AG376" s="90">
        <f t="shared" si="10"/>
        <v>18</v>
      </c>
      <c r="AH376" s="90">
        <f t="shared" si="11"/>
        <v>15</v>
      </c>
      <c r="AI376" s="90">
        <f t="shared" si="12"/>
        <v>3</v>
      </c>
    </row>
    <row r="377" spans="1:35" ht="29" x14ac:dyDescent="0.35">
      <c r="C377" s="96">
        <v>46108</v>
      </c>
      <c r="D377" s="97">
        <v>9</v>
      </c>
      <c r="E377" s="99" t="s">
        <v>1153</v>
      </c>
      <c r="F377" s="10">
        <v>5</v>
      </c>
      <c r="G377" s="10">
        <v>1</v>
      </c>
      <c r="H377" s="10">
        <v>1</v>
      </c>
      <c r="I377" s="10">
        <v>0</v>
      </c>
      <c r="J377" s="74">
        <v>0</v>
      </c>
      <c r="K377" s="74">
        <v>0</v>
      </c>
      <c r="L377" s="74">
        <v>0</v>
      </c>
      <c r="M377" s="74">
        <v>0</v>
      </c>
      <c r="N377" s="74">
        <v>1</v>
      </c>
      <c r="O377" s="74">
        <v>0</v>
      </c>
      <c r="P377" s="74">
        <v>0</v>
      </c>
      <c r="Q377" s="74">
        <v>0</v>
      </c>
      <c r="R377" s="74">
        <v>0</v>
      </c>
      <c r="S377" s="97" t="s">
        <v>1152</v>
      </c>
      <c r="T377" s="10">
        <v>3</v>
      </c>
      <c r="U377" s="10">
        <v>5</v>
      </c>
      <c r="V377" s="10">
        <v>0</v>
      </c>
      <c r="W377" s="10">
        <v>0</v>
      </c>
      <c r="X377" s="74">
        <v>0</v>
      </c>
      <c r="Y377" s="74">
        <v>0</v>
      </c>
      <c r="Z377" s="74">
        <v>0</v>
      </c>
      <c r="AA377" s="74">
        <v>1</v>
      </c>
      <c r="AB377" s="74">
        <v>0</v>
      </c>
      <c r="AC377" s="74">
        <v>0</v>
      </c>
      <c r="AD377" s="74">
        <v>0</v>
      </c>
      <c r="AE377" s="74">
        <v>0</v>
      </c>
      <c r="AF377" s="74">
        <v>0</v>
      </c>
      <c r="AG377" s="90">
        <f t="shared" si="10"/>
        <v>17</v>
      </c>
      <c r="AH377" s="90">
        <f t="shared" si="11"/>
        <v>15</v>
      </c>
      <c r="AI377" s="90">
        <f t="shared" si="12"/>
        <v>2</v>
      </c>
    </row>
    <row r="378" spans="1:35" ht="29" x14ac:dyDescent="0.35">
      <c r="C378" s="96">
        <v>46112</v>
      </c>
      <c r="D378" s="97">
        <v>9</v>
      </c>
      <c r="E378" s="97" t="s">
        <v>1177</v>
      </c>
      <c r="F378" s="10">
        <v>3</v>
      </c>
      <c r="G378" s="10">
        <v>6</v>
      </c>
      <c r="H378" s="10">
        <v>0</v>
      </c>
      <c r="I378" s="10">
        <v>0</v>
      </c>
      <c r="J378" s="74">
        <v>0</v>
      </c>
      <c r="K378" s="74">
        <v>0</v>
      </c>
      <c r="L378" s="74">
        <v>1</v>
      </c>
      <c r="M378" s="74">
        <v>1</v>
      </c>
      <c r="N378" s="74">
        <v>0</v>
      </c>
      <c r="O378" s="74">
        <v>0</v>
      </c>
      <c r="P378" s="74">
        <v>0</v>
      </c>
      <c r="Q378" s="74">
        <v>0</v>
      </c>
      <c r="R378" s="74">
        <v>0</v>
      </c>
      <c r="S378" s="99" t="s">
        <v>1176</v>
      </c>
      <c r="T378" s="10">
        <v>6</v>
      </c>
      <c r="U378" s="10">
        <v>3</v>
      </c>
      <c r="V378" s="10">
        <v>0</v>
      </c>
      <c r="W378" s="10">
        <v>1</v>
      </c>
      <c r="X378" s="74">
        <v>0</v>
      </c>
      <c r="Y378" s="74">
        <v>0</v>
      </c>
      <c r="Z378" s="74">
        <v>1</v>
      </c>
      <c r="AA378" s="74">
        <v>0</v>
      </c>
      <c r="AB378" s="74">
        <v>0</v>
      </c>
      <c r="AC378" s="74">
        <v>0</v>
      </c>
      <c r="AD378" s="74">
        <v>1</v>
      </c>
      <c r="AE378" s="74">
        <v>0</v>
      </c>
      <c r="AF378" s="74">
        <v>0</v>
      </c>
      <c r="AG378" s="90">
        <f t="shared" si="10"/>
        <v>23</v>
      </c>
      <c r="AH378" s="90">
        <f t="shared" si="11"/>
        <v>19</v>
      </c>
      <c r="AI378" s="90">
        <f t="shared" si="12"/>
        <v>4</v>
      </c>
    </row>
    <row r="379" spans="1:35" x14ac:dyDescent="0.35">
      <c r="C379" s="96"/>
    </row>
    <row r="380" spans="1:35" x14ac:dyDescent="0.35">
      <c r="A380" s="93">
        <v>21</v>
      </c>
      <c r="B380" s="95" t="s">
        <v>967</v>
      </c>
      <c r="C380" s="96">
        <v>46080</v>
      </c>
      <c r="D380" s="97">
        <v>9</v>
      </c>
      <c r="E380" s="97" t="s">
        <v>647</v>
      </c>
      <c r="F380" s="10">
        <v>0</v>
      </c>
      <c r="G380" s="10">
        <v>0</v>
      </c>
      <c r="H380" s="10">
        <v>0</v>
      </c>
      <c r="I380" s="10">
        <v>0</v>
      </c>
      <c r="J380" s="74">
        <v>0</v>
      </c>
      <c r="K380" s="74">
        <v>0</v>
      </c>
      <c r="L380" s="74">
        <v>0</v>
      </c>
      <c r="M380" s="74">
        <v>0</v>
      </c>
      <c r="N380" s="74">
        <v>0</v>
      </c>
      <c r="O380" s="74">
        <v>0</v>
      </c>
      <c r="P380" s="74">
        <v>0</v>
      </c>
      <c r="Q380" s="74">
        <v>0</v>
      </c>
      <c r="R380" s="74">
        <v>0</v>
      </c>
      <c r="S380" s="97" t="s">
        <v>838</v>
      </c>
      <c r="T380" s="10">
        <v>5</v>
      </c>
      <c r="U380" s="10">
        <v>4</v>
      </c>
      <c r="V380" s="10">
        <v>0</v>
      </c>
      <c r="W380" s="10">
        <v>0</v>
      </c>
      <c r="X380" s="74">
        <v>0</v>
      </c>
      <c r="Y380" s="74">
        <v>0</v>
      </c>
      <c r="Z380" s="74">
        <v>0</v>
      </c>
      <c r="AA380" s="74">
        <v>0</v>
      </c>
      <c r="AB380" s="74">
        <v>0</v>
      </c>
      <c r="AC380" s="74">
        <v>0</v>
      </c>
      <c r="AD380" s="74">
        <v>0</v>
      </c>
      <c r="AE380" s="74">
        <v>0</v>
      </c>
      <c r="AF380" s="74">
        <v>0</v>
      </c>
      <c r="AG380" s="90">
        <f t="shared" si="10"/>
        <v>9</v>
      </c>
      <c r="AH380" s="90">
        <f t="shared" si="11"/>
        <v>9</v>
      </c>
      <c r="AI380" s="90">
        <f t="shared" si="12"/>
        <v>0</v>
      </c>
    </row>
    <row r="381" spans="1:35" x14ac:dyDescent="0.35">
      <c r="C381" s="96">
        <v>46084</v>
      </c>
      <c r="D381" s="97">
        <v>9</v>
      </c>
      <c r="E381" s="97" t="s">
        <v>647</v>
      </c>
      <c r="F381" s="10">
        <v>0</v>
      </c>
      <c r="G381" s="10">
        <v>0</v>
      </c>
      <c r="H381" s="10">
        <v>0</v>
      </c>
      <c r="I381" s="10">
        <v>0</v>
      </c>
      <c r="J381" s="74">
        <v>0</v>
      </c>
      <c r="K381" s="74">
        <v>0</v>
      </c>
      <c r="L381" s="74">
        <v>0</v>
      </c>
      <c r="M381" s="74">
        <v>0</v>
      </c>
      <c r="N381" s="74">
        <v>0</v>
      </c>
      <c r="O381" s="74">
        <v>0</v>
      </c>
      <c r="P381" s="74">
        <v>0</v>
      </c>
      <c r="Q381" s="74">
        <v>0</v>
      </c>
      <c r="R381" s="74">
        <v>0</v>
      </c>
      <c r="S381" s="97" t="s">
        <v>267</v>
      </c>
      <c r="T381" s="10">
        <v>3</v>
      </c>
      <c r="U381" s="10">
        <v>0</v>
      </c>
      <c r="V381" s="10">
        <v>0</v>
      </c>
      <c r="W381" s="10">
        <v>0</v>
      </c>
      <c r="X381" s="74">
        <v>0</v>
      </c>
      <c r="Y381" s="74">
        <v>0</v>
      </c>
      <c r="Z381" s="74">
        <v>0</v>
      </c>
      <c r="AA381" s="74">
        <v>1</v>
      </c>
      <c r="AB381" s="74">
        <v>0</v>
      </c>
      <c r="AC381" s="74">
        <v>0</v>
      </c>
      <c r="AD381" s="74">
        <v>0</v>
      </c>
      <c r="AE381" s="74">
        <v>0</v>
      </c>
      <c r="AF381" s="74">
        <v>0</v>
      </c>
      <c r="AG381" s="90">
        <f t="shared" si="10"/>
        <v>4</v>
      </c>
      <c r="AH381" s="90">
        <f t="shared" si="11"/>
        <v>3</v>
      </c>
      <c r="AI381" s="90">
        <f t="shared" si="12"/>
        <v>1</v>
      </c>
    </row>
    <row r="382" spans="1:35" x14ac:dyDescent="0.35">
      <c r="C382" s="96">
        <v>46088</v>
      </c>
      <c r="D382" s="97">
        <v>9</v>
      </c>
      <c r="E382" s="97" t="s">
        <v>1026</v>
      </c>
      <c r="F382" s="10">
        <v>4</v>
      </c>
      <c r="G382" s="10">
        <v>2</v>
      </c>
      <c r="H382" s="10">
        <v>1</v>
      </c>
      <c r="I382" s="10">
        <v>1</v>
      </c>
      <c r="J382" s="74">
        <v>0</v>
      </c>
      <c r="K382" s="74">
        <v>0</v>
      </c>
      <c r="L382" s="74">
        <v>0</v>
      </c>
      <c r="M382" s="74">
        <v>0</v>
      </c>
      <c r="N382" s="74">
        <v>0</v>
      </c>
      <c r="O382" s="74">
        <v>0</v>
      </c>
      <c r="P382" s="74">
        <v>0</v>
      </c>
      <c r="Q382" s="74">
        <v>0</v>
      </c>
      <c r="R382" s="74">
        <v>0</v>
      </c>
      <c r="S382" s="97" t="s">
        <v>1027</v>
      </c>
      <c r="T382" s="10">
        <v>2</v>
      </c>
      <c r="U382" s="10">
        <v>2</v>
      </c>
      <c r="V382" s="10">
        <v>0</v>
      </c>
      <c r="W382" s="10">
        <v>1</v>
      </c>
      <c r="X382" s="74">
        <v>0</v>
      </c>
      <c r="Y382" s="74">
        <v>1</v>
      </c>
      <c r="Z382" s="74">
        <v>0</v>
      </c>
      <c r="AA382" s="74">
        <v>0</v>
      </c>
      <c r="AB382" s="74">
        <v>0</v>
      </c>
      <c r="AC382" s="74">
        <v>0</v>
      </c>
      <c r="AD382" s="74">
        <v>0</v>
      </c>
      <c r="AE382" s="74">
        <v>0</v>
      </c>
      <c r="AF382" s="74">
        <v>0</v>
      </c>
      <c r="AG382" s="90">
        <f t="shared" si="10"/>
        <v>14</v>
      </c>
      <c r="AH382" s="90">
        <f t="shared" si="11"/>
        <v>13</v>
      </c>
      <c r="AI382" s="90">
        <f t="shared" si="12"/>
        <v>1</v>
      </c>
    </row>
    <row r="383" spans="1:35" x14ac:dyDescent="0.35">
      <c r="C383" s="96">
        <v>46091</v>
      </c>
      <c r="D383" s="97">
        <v>9</v>
      </c>
      <c r="E383" s="97" t="s">
        <v>472</v>
      </c>
      <c r="F383" s="10">
        <v>4</v>
      </c>
      <c r="G383" s="10">
        <v>1</v>
      </c>
      <c r="H383" s="10">
        <v>2</v>
      </c>
      <c r="I383" s="10">
        <v>0</v>
      </c>
      <c r="J383" s="74">
        <v>0</v>
      </c>
      <c r="K383" s="74">
        <v>0</v>
      </c>
      <c r="L383" s="74">
        <v>0</v>
      </c>
      <c r="M383" s="74">
        <v>0</v>
      </c>
      <c r="N383" s="74">
        <v>0</v>
      </c>
      <c r="O383" s="74">
        <v>0</v>
      </c>
      <c r="P383" s="74">
        <v>0</v>
      </c>
      <c r="Q383" s="74">
        <v>0</v>
      </c>
      <c r="R383" s="74">
        <v>0</v>
      </c>
      <c r="S383" s="97" t="s">
        <v>1062</v>
      </c>
      <c r="T383" s="10">
        <v>6</v>
      </c>
      <c r="U383" s="10">
        <v>4</v>
      </c>
      <c r="V383" s="10">
        <v>0</v>
      </c>
      <c r="W383" s="10">
        <v>0</v>
      </c>
      <c r="X383" s="74">
        <v>0</v>
      </c>
      <c r="Y383" s="74">
        <v>0</v>
      </c>
      <c r="Z383" s="74">
        <v>0</v>
      </c>
      <c r="AA383" s="74">
        <v>0</v>
      </c>
      <c r="AB383" s="74">
        <v>0</v>
      </c>
      <c r="AC383" s="74">
        <v>1</v>
      </c>
      <c r="AD383" s="74">
        <v>0</v>
      </c>
      <c r="AE383" s="74">
        <v>0</v>
      </c>
      <c r="AF383" s="74">
        <v>0</v>
      </c>
      <c r="AG383" s="90">
        <f t="shared" si="10"/>
        <v>18</v>
      </c>
      <c r="AH383" s="90">
        <f t="shared" si="11"/>
        <v>17</v>
      </c>
      <c r="AI383" s="90">
        <f t="shared" si="12"/>
        <v>1</v>
      </c>
    </row>
    <row r="384" spans="1:35" x14ac:dyDescent="0.35">
      <c r="C384" s="96">
        <v>46094</v>
      </c>
      <c r="D384" s="97">
        <v>9</v>
      </c>
      <c r="E384" s="97" t="s">
        <v>355</v>
      </c>
      <c r="F384" s="10">
        <v>5</v>
      </c>
      <c r="G384" s="10">
        <v>1</v>
      </c>
      <c r="H384" s="10">
        <v>0</v>
      </c>
      <c r="I384" s="10">
        <v>0</v>
      </c>
      <c r="J384" s="74">
        <v>0</v>
      </c>
      <c r="K384" s="74">
        <v>0</v>
      </c>
      <c r="L384" s="74">
        <v>0</v>
      </c>
      <c r="M384" s="74">
        <v>0</v>
      </c>
      <c r="N384" s="74">
        <v>0</v>
      </c>
      <c r="O384" s="74">
        <v>0</v>
      </c>
      <c r="P384" s="74">
        <v>0</v>
      </c>
      <c r="Q384" s="74">
        <v>0</v>
      </c>
      <c r="R384" s="74">
        <v>0</v>
      </c>
      <c r="S384" s="97" t="s">
        <v>1079</v>
      </c>
      <c r="T384" s="10">
        <v>6</v>
      </c>
      <c r="U384" s="10">
        <v>0</v>
      </c>
      <c r="V384" s="10">
        <v>0</v>
      </c>
      <c r="W384" s="10">
        <v>0</v>
      </c>
      <c r="X384" s="74">
        <v>1</v>
      </c>
      <c r="Y384" s="74">
        <v>0</v>
      </c>
      <c r="Z384" s="74">
        <v>0</v>
      </c>
      <c r="AA384" s="74">
        <v>0</v>
      </c>
      <c r="AB384" s="74">
        <v>0</v>
      </c>
      <c r="AC384" s="74">
        <v>1</v>
      </c>
      <c r="AD384" s="74">
        <v>0</v>
      </c>
      <c r="AE384" s="74">
        <v>0</v>
      </c>
      <c r="AF384" s="74">
        <v>0</v>
      </c>
      <c r="AG384" s="90">
        <f t="shared" si="10"/>
        <v>14</v>
      </c>
      <c r="AH384" s="90">
        <f t="shared" si="11"/>
        <v>12</v>
      </c>
      <c r="AI384" s="90">
        <f t="shared" si="12"/>
        <v>2</v>
      </c>
    </row>
    <row r="385" spans="1:35" x14ac:dyDescent="0.35">
      <c r="C385" s="96">
        <v>46098</v>
      </c>
      <c r="D385" s="97">
        <v>9</v>
      </c>
      <c r="E385" s="97" t="s">
        <v>838</v>
      </c>
      <c r="F385" s="10">
        <v>5</v>
      </c>
      <c r="G385" s="10">
        <v>4</v>
      </c>
      <c r="H385" s="10">
        <v>0</v>
      </c>
      <c r="I385" s="10">
        <v>0</v>
      </c>
      <c r="J385" s="74">
        <v>0</v>
      </c>
      <c r="K385" s="74">
        <v>0</v>
      </c>
      <c r="L385" s="74">
        <v>0</v>
      </c>
      <c r="M385" s="74">
        <v>0</v>
      </c>
      <c r="N385" s="74">
        <v>0</v>
      </c>
      <c r="O385" s="74">
        <v>0</v>
      </c>
      <c r="P385" s="74">
        <v>0</v>
      </c>
      <c r="Q385" s="74">
        <v>0</v>
      </c>
      <c r="R385" s="74">
        <v>0</v>
      </c>
      <c r="S385" s="97" t="s">
        <v>299</v>
      </c>
      <c r="T385" s="10">
        <v>2</v>
      </c>
      <c r="U385" s="10">
        <v>3</v>
      </c>
      <c r="V385" s="10">
        <v>0</v>
      </c>
      <c r="W385" s="10">
        <v>0</v>
      </c>
      <c r="X385" s="74">
        <v>0</v>
      </c>
      <c r="Y385" s="74">
        <v>0</v>
      </c>
      <c r="Z385" s="74">
        <v>0</v>
      </c>
      <c r="AA385" s="74">
        <v>0</v>
      </c>
      <c r="AB385" s="74">
        <v>0</v>
      </c>
      <c r="AC385" s="74">
        <v>0</v>
      </c>
      <c r="AD385" s="74">
        <v>0</v>
      </c>
      <c r="AE385" s="74">
        <v>0</v>
      </c>
      <c r="AF385" s="74">
        <v>0</v>
      </c>
      <c r="AG385" s="90">
        <f t="shared" si="10"/>
        <v>14</v>
      </c>
      <c r="AH385" s="90">
        <f t="shared" si="11"/>
        <v>14</v>
      </c>
      <c r="AI385" s="90">
        <f t="shared" si="12"/>
        <v>0</v>
      </c>
    </row>
    <row r="386" spans="1:35" x14ac:dyDescent="0.35">
      <c r="C386" s="96">
        <v>46101</v>
      </c>
      <c r="D386" s="97">
        <v>9</v>
      </c>
      <c r="E386" s="97" t="s">
        <v>139</v>
      </c>
      <c r="F386" s="10">
        <v>12</v>
      </c>
      <c r="G386" s="10">
        <v>0</v>
      </c>
      <c r="H386" s="10">
        <v>0</v>
      </c>
      <c r="I386" s="10">
        <v>0</v>
      </c>
      <c r="J386" s="74">
        <v>0</v>
      </c>
      <c r="K386" s="74">
        <v>0</v>
      </c>
      <c r="L386" s="74">
        <v>0</v>
      </c>
      <c r="M386" s="74">
        <v>0</v>
      </c>
      <c r="N386" s="74">
        <v>0</v>
      </c>
      <c r="O386" s="74">
        <v>0</v>
      </c>
      <c r="P386" s="74">
        <v>0</v>
      </c>
      <c r="Q386" s="74">
        <v>0</v>
      </c>
      <c r="R386" s="74">
        <v>0</v>
      </c>
      <c r="S386" s="97" t="s">
        <v>741</v>
      </c>
      <c r="T386" s="10">
        <v>3</v>
      </c>
      <c r="U386" s="10">
        <v>1</v>
      </c>
      <c r="V386" s="10">
        <v>0</v>
      </c>
      <c r="W386" s="10">
        <v>0</v>
      </c>
      <c r="X386" s="74">
        <v>0</v>
      </c>
      <c r="Y386" s="74">
        <v>0</v>
      </c>
      <c r="Z386" s="74">
        <v>0</v>
      </c>
      <c r="AA386" s="74">
        <v>1</v>
      </c>
      <c r="AB386" s="74">
        <v>0</v>
      </c>
      <c r="AC386" s="74">
        <v>0</v>
      </c>
      <c r="AD386" s="74">
        <v>0</v>
      </c>
      <c r="AE386" s="74">
        <v>0</v>
      </c>
      <c r="AF386" s="74">
        <v>0</v>
      </c>
      <c r="AG386" s="90">
        <f t="shared" si="10"/>
        <v>17</v>
      </c>
      <c r="AH386" s="90">
        <f t="shared" si="11"/>
        <v>16</v>
      </c>
      <c r="AI386" s="90">
        <f t="shared" si="12"/>
        <v>1</v>
      </c>
    </row>
    <row r="387" spans="1:35" ht="29" x14ac:dyDescent="0.35">
      <c r="C387" s="96">
        <v>46105</v>
      </c>
      <c r="D387" s="97">
        <v>9</v>
      </c>
      <c r="E387" s="97" t="s">
        <v>1137</v>
      </c>
      <c r="F387" s="10">
        <v>1</v>
      </c>
      <c r="G387" s="10">
        <v>4</v>
      </c>
      <c r="H387" s="10">
        <v>0</v>
      </c>
      <c r="I387" s="10">
        <v>2</v>
      </c>
      <c r="J387" s="74">
        <v>0</v>
      </c>
      <c r="K387" s="74">
        <v>0</v>
      </c>
      <c r="L387" s="74">
        <v>0</v>
      </c>
      <c r="M387" s="74">
        <v>0</v>
      </c>
      <c r="N387" s="74">
        <v>0</v>
      </c>
      <c r="O387" s="74">
        <v>0</v>
      </c>
      <c r="P387" s="74">
        <v>0</v>
      </c>
      <c r="Q387" s="74">
        <v>0</v>
      </c>
      <c r="R387" s="74">
        <v>0</v>
      </c>
      <c r="S387" s="99" t="s">
        <v>1136</v>
      </c>
      <c r="T387" s="10">
        <v>3</v>
      </c>
      <c r="U387" s="10">
        <v>0</v>
      </c>
      <c r="V387" s="10">
        <v>1</v>
      </c>
      <c r="W387" s="10">
        <v>0</v>
      </c>
      <c r="X387" s="74">
        <v>0</v>
      </c>
      <c r="Y387" s="74">
        <v>0</v>
      </c>
      <c r="Z387" s="74">
        <v>0</v>
      </c>
      <c r="AA387" s="74">
        <v>1</v>
      </c>
      <c r="AB387" s="74">
        <v>1</v>
      </c>
      <c r="AC387" s="74">
        <v>0</v>
      </c>
      <c r="AD387" s="74">
        <v>0</v>
      </c>
      <c r="AE387" s="74">
        <v>0</v>
      </c>
      <c r="AF387" s="74">
        <v>0</v>
      </c>
      <c r="AG387" s="90">
        <f t="shared" si="10"/>
        <v>13</v>
      </c>
      <c r="AH387" s="90">
        <f t="shared" si="11"/>
        <v>11</v>
      </c>
      <c r="AI387" s="90">
        <f t="shared" si="12"/>
        <v>2</v>
      </c>
    </row>
    <row r="388" spans="1:35" x14ac:dyDescent="0.35">
      <c r="C388" s="96">
        <v>46108</v>
      </c>
      <c r="D388" s="97">
        <v>9</v>
      </c>
      <c r="E388" s="97" t="s">
        <v>130</v>
      </c>
      <c r="F388" s="10">
        <v>2</v>
      </c>
      <c r="G388" s="10">
        <v>0</v>
      </c>
      <c r="H388" s="10">
        <v>0</v>
      </c>
      <c r="I388" s="10">
        <v>0</v>
      </c>
      <c r="J388" s="74">
        <v>0</v>
      </c>
      <c r="K388" s="74">
        <v>0</v>
      </c>
      <c r="L388" s="74">
        <v>0</v>
      </c>
      <c r="M388" s="74">
        <v>1</v>
      </c>
      <c r="N388" s="74">
        <v>0</v>
      </c>
      <c r="O388" s="74">
        <v>0</v>
      </c>
      <c r="P388" s="74">
        <v>0</v>
      </c>
      <c r="Q388" s="74">
        <v>0</v>
      </c>
      <c r="R388" s="74">
        <v>0</v>
      </c>
      <c r="S388" s="97" t="s">
        <v>1151</v>
      </c>
      <c r="T388" s="10">
        <v>0</v>
      </c>
      <c r="U388" s="10">
        <v>3</v>
      </c>
      <c r="V388" s="10">
        <v>0</v>
      </c>
      <c r="W388" s="10">
        <v>0</v>
      </c>
      <c r="X388" s="74">
        <v>0</v>
      </c>
      <c r="Y388" s="74">
        <v>0</v>
      </c>
      <c r="Z388" s="74">
        <v>0</v>
      </c>
      <c r="AA388" s="74">
        <v>0</v>
      </c>
      <c r="AB388" s="74">
        <v>0</v>
      </c>
      <c r="AC388" s="74">
        <v>0</v>
      </c>
      <c r="AD388" s="74">
        <v>0</v>
      </c>
      <c r="AE388" s="74">
        <v>0</v>
      </c>
      <c r="AF388" s="74">
        <v>0</v>
      </c>
      <c r="AG388" s="90">
        <f t="shared" si="10"/>
        <v>6</v>
      </c>
      <c r="AH388" s="90">
        <f t="shared" si="11"/>
        <v>5</v>
      </c>
      <c r="AI388" s="90">
        <f t="shared" si="12"/>
        <v>1</v>
      </c>
    </row>
    <row r="389" spans="1:35" x14ac:dyDescent="0.35">
      <c r="C389" s="96">
        <v>46112</v>
      </c>
      <c r="D389" s="97">
        <v>9</v>
      </c>
      <c r="E389" s="97" t="s">
        <v>1180</v>
      </c>
      <c r="F389" s="10">
        <v>5</v>
      </c>
      <c r="G389" s="10">
        <v>4</v>
      </c>
      <c r="H389" s="10">
        <v>0</v>
      </c>
      <c r="I389" s="10">
        <v>0</v>
      </c>
      <c r="J389" s="74">
        <v>0</v>
      </c>
      <c r="K389" s="74">
        <v>0</v>
      </c>
      <c r="L389" s="74">
        <v>0</v>
      </c>
      <c r="M389" s="74">
        <v>0</v>
      </c>
      <c r="N389" s="74">
        <v>0</v>
      </c>
      <c r="O389" s="74">
        <v>0</v>
      </c>
      <c r="P389" s="74">
        <v>0</v>
      </c>
      <c r="Q389" s="74">
        <v>0</v>
      </c>
      <c r="R389" s="74">
        <v>0</v>
      </c>
      <c r="S389" s="97" t="s">
        <v>959</v>
      </c>
      <c r="T389" s="10">
        <v>4</v>
      </c>
      <c r="U389" s="10">
        <v>5</v>
      </c>
      <c r="V389" s="10">
        <v>0</v>
      </c>
      <c r="W389" s="10">
        <v>0</v>
      </c>
      <c r="X389" s="74">
        <v>0</v>
      </c>
      <c r="Y389" s="74">
        <v>0</v>
      </c>
      <c r="Z389" s="74">
        <v>0</v>
      </c>
      <c r="AA389" s="74">
        <v>0</v>
      </c>
      <c r="AB389" s="74">
        <v>0</v>
      </c>
      <c r="AC389" s="74">
        <v>0</v>
      </c>
      <c r="AD389" s="74">
        <v>0</v>
      </c>
      <c r="AE389" s="74">
        <v>0</v>
      </c>
      <c r="AF389" s="74">
        <v>0</v>
      </c>
      <c r="AG389" s="90">
        <f t="shared" si="10"/>
        <v>18</v>
      </c>
      <c r="AH389" s="90">
        <f t="shared" si="11"/>
        <v>18</v>
      </c>
      <c r="AI389" s="90">
        <f t="shared" si="12"/>
        <v>0</v>
      </c>
    </row>
    <row r="391" spans="1:35" x14ac:dyDescent="0.35">
      <c r="A391" s="93">
        <v>22</v>
      </c>
      <c r="B391" s="95" t="s">
        <v>1033</v>
      </c>
      <c r="C391" s="96">
        <v>46088</v>
      </c>
      <c r="D391" s="97">
        <v>16</v>
      </c>
      <c r="E391" s="97" t="s">
        <v>1014</v>
      </c>
      <c r="F391" s="10">
        <v>2</v>
      </c>
      <c r="G391" s="10">
        <v>0</v>
      </c>
      <c r="H391" s="10">
        <v>0</v>
      </c>
      <c r="I391" s="10">
        <v>0</v>
      </c>
      <c r="J391" s="74">
        <v>0</v>
      </c>
      <c r="K391" s="74">
        <v>1</v>
      </c>
      <c r="L391" s="74">
        <v>0</v>
      </c>
      <c r="M391" s="74">
        <v>0</v>
      </c>
      <c r="N391" s="74">
        <v>0</v>
      </c>
      <c r="O391" s="74">
        <v>1</v>
      </c>
      <c r="P391" s="74">
        <v>0</v>
      </c>
      <c r="Q391" s="74">
        <v>0</v>
      </c>
      <c r="R391" s="74">
        <v>0</v>
      </c>
      <c r="S391" s="97" t="s">
        <v>691</v>
      </c>
      <c r="T391" s="10">
        <v>2</v>
      </c>
      <c r="U391" s="10">
        <v>2</v>
      </c>
      <c r="V391" s="10">
        <v>0</v>
      </c>
      <c r="W391" s="10">
        <v>0</v>
      </c>
      <c r="X391" s="74">
        <v>0</v>
      </c>
      <c r="Y391" s="74">
        <v>0</v>
      </c>
      <c r="Z391" s="74">
        <v>0</v>
      </c>
      <c r="AA391" s="74">
        <v>0</v>
      </c>
      <c r="AB391" s="74">
        <v>0</v>
      </c>
      <c r="AC391" s="74">
        <v>0</v>
      </c>
      <c r="AD391" s="74">
        <v>0</v>
      </c>
      <c r="AE391" s="74">
        <v>0</v>
      </c>
      <c r="AF391" s="74">
        <v>0</v>
      </c>
      <c r="AG391" s="90">
        <f t="shared" si="10"/>
        <v>8</v>
      </c>
      <c r="AH391" s="90">
        <f t="shared" si="11"/>
        <v>6</v>
      </c>
      <c r="AI391" s="90">
        <f t="shared" si="12"/>
        <v>2</v>
      </c>
    </row>
    <row r="392" spans="1:35" x14ac:dyDescent="0.35">
      <c r="C392" s="96">
        <v>46091</v>
      </c>
      <c r="D392" s="97">
        <v>16</v>
      </c>
      <c r="E392" s="97" t="s">
        <v>1014</v>
      </c>
      <c r="F392" s="10">
        <v>2</v>
      </c>
      <c r="G392" s="10">
        <v>0</v>
      </c>
      <c r="H392" s="10">
        <v>0</v>
      </c>
      <c r="I392" s="10">
        <v>0</v>
      </c>
      <c r="J392" s="74">
        <v>0</v>
      </c>
      <c r="K392" s="74">
        <v>1</v>
      </c>
      <c r="L392" s="74">
        <v>0</v>
      </c>
      <c r="M392" s="74">
        <v>0</v>
      </c>
      <c r="N392" s="74">
        <v>0</v>
      </c>
      <c r="O392" s="74">
        <v>1</v>
      </c>
      <c r="P392" s="74">
        <v>0</v>
      </c>
      <c r="Q392" s="74">
        <v>0</v>
      </c>
      <c r="R392" s="74">
        <v>0</v>
      </c>
      <c r="S392" s="97" t="s">
        <v>721</v>
      </c>
      <c r="T392" s="10">
        <v>2</v>
      </c>
      <c r="U392" s="10">
        <v>2</v>
      </c>
      <c r="V392" s="10">
        <v>0</v>
      </c>
      <c r="W392" s="10">
        <v>1</v>
      </c>
      <c r="X392" s="74">
        <v>0</v>
      </c>
      <c r="Y392" s="74">
        <v>0</v>
      </c>
      <c r="Z392" s="74">
        <v>0</v>
      </c>
      <c r="AA392" s="74">
        <v>0</v>
      </c>
      <c r="AB392" s="74">
        <v>0</v>
      </c>
      <c r="AC392" s="74">
        <v>0</v>
      </c>
      <c r="AD392" s="74">
        <v>0</v>
      </c>
      <c r="AE392" s="74">
        <v>0</v>
      </c>
      <c r="AF392" s="74">
        <v>0</v>
      </c>
      <c r="AG392" s="90">
        <f t="shared" si="10"/>
        <v>9</v>
      </c>
      <c r="AH392" s="90">
        <f t="shared" si="11"/>
        <v>7</v>
      </c>
      <c r="AI392" s="90">
        <f t="shared" si="12"/>
        <v>2</v>
      </c>
    </row>
    <row r="393" spans="1:35" x14ac:dyDescent="0.35">
      <c r="C393" s="96">
        <v>46094</v>
      </c>
      <c r="D393" s="97">
        <v>16</v>
      </c>
      <c r="E393" s="97" t="s">
        <v>157</v>
      </c>
      <c r="F393" s="10">
        <v>4</v>
      </c>
      <c r="G393" s="10">
        <v>0</v>
      </c>
      <c r="H393" s="10">
        <v>0</v>
      </c>
      <c r="I393" s="10">
        <v>0</v>
      </c>
      <c r="J393" s="74">
        <v>1</v>
      </c>
      <c r="K393" s="74">
        <v>0</v>
      </c>
      <c r="L393" s="74">
        <v>0</v>
      </c>
      <c r="M393" s="74">
        <v>0</v>
      </c>
      <c r="N393" s="74">
        <v>0</v>
      </c>
      <c r="O393" s="74">
        <v>0</v>
      </c>
      <c r="P393" s="74">
        <v>0</v>
      </c>
      <c r="Q393" s="74">
        <v>0</v>
      </c>
      <c r="R393" s="74">
        <v>0</v>
      </c>
      <c r="S393" s="97" t="s">
        <v>1080</v>
      </c>
      <c r="T393" s="10">
        <v>2</v>
      </c>
      <c r="U393" s="10">
        <v>1</v>
      </c>
      <c r="V393" s="10">
        <v>0</v>
      </c>
      <c r="W393" s="10">
        <v>1</v>
      </c>
      <c r="X393" s="74">
        <v>1</v>
      </c>
      <c r="Y393" s="74">
        <v>0</v>
      </c>
      <c r="Z393" s="74">
        <v>0</v>
      </c>
      <c r="AA393" s="74">
        <v>0</v>
      </c>
      <c r="AB393" s="74">
        <v>0</v>
      </c>
      <c r="AC393" s="74">
        <v>0</v>
      </c>
      <c r="AD393" s="74">
        <v>0</v>
      </c>
      <c r="AE393" s="74">
        <v>0</v>
      </c>
      <c r="AF393" s="74">
        <v>0</v>
      </c>
      <c r="AG393" s="90">
        <f t="shared" si="10"/>
        <v>10</v>
      </c>
      <c r="AH393" s="90">
        <f t="shared" si="11"/>
        <v>8</v>
      </c>
      <c r="AI393" s="90">
        <f t="shared" si="12"/>
        <v>2</v>
      </c>
    </row>
    <row r="394" spans="1:35" x14ac:dyDescent="0.35">
      <c r="C394" s="96">
        <v>46098</v>
      </c>
      <c r="D394" s="97">
        <v>16</v>
      </c>
      <c r="E394" s="97" t="s">
        <v>648</v>
      </c>
      <c r="F394" s="10">
        <v>3</v>
      </c>
      <c r="G394" s="10">
        <v>1</v>
      </c>
      <c r="H394" s="10">
        <v>0</v>
      </c>
      <c r="I394" s="10">
        <v>0</v>
      </c>
      <c r="J394" s="74">
        <v>0</v>
      </c>
      <c r="K394" s="74">
        <v>1</v>
      </c>
      <c r="L394" s="74">
        <v>0</v>
      </c>
      <c r="M394" s="74">
        <v>0</v>
      </c>
      <c r="N394" s="74">
        <v>0</v>
      </c>
      <c r="O394" s="74">
        <v>0</v>
      </c>
      <c r="P394" s="74">
        <v>0</v>
      </c>
      <c r="Q394" s="74">
        <v>0</v>
      </c>
      <c r="R394" s="74">
        <v>0</v>
      </c>
      <c r="S394" s="97" t="s">
        <v>1095</v>
      </c>
      <c r="T394" s="10">
        <v>2</v>
      </c>
      <c r="U394" s="10">
        <v>0</v>
      </c>
      <c r="V394" s="10">
        <v>0</v>
      </c>
      <c r="W394" s="10">
        <v>1</v>
      </c>
      <c r="X394" s="74">
        <v>1</v>
      </c>
      <c r="Y394" s="74">
        <v>0</v>
      </c>
      <c r="Z394" s="74">
        <v>0</v>
      </c>
      <c r="AA394" s="74">
        <v>1</v>
      </c>
      <c r="AB394" s="74">
        <v>0</v>
      </c>
      <c r="AC394" s="74">
        <v>0</v>
      </c>
      <c r="AD394" s="74">
        <v>0</v>
      </c>
      <c r="AE394" s="74">
        <v>0</v>
      </c>
      <c r="AF394" s="74">
        <v>0</v>
      </c>
      <c r="AG394" s="90">
        <f t="shared" si="10"/>
        <v>10</v>
      </c>
      <c r="AH394" s="90">
        <f t="shared" si="11"/>
        <v>7</v>
      </c>
      <c r="AI394" s="90">
        <f t="shared" si="12"/>
        <v>3</v>
      </c>
    </row>
    <row r="395" spans="1:35" x14ac:dyDescent="0.35">
      <c r="C395" s="96">
        <v>46101</v>
      </c>
      <c r="D395" s="97">
        <v>16</v>
      </c>
      <c r="E395" s="97" t="s">
        <v>1122</v>
      </c>
      <c r="F395" s="10">
        <v>1</v>
      </c>
      <c r="G395" s="10">
        <v>0</v>
      </c>
      <c r="H395" s="10">
        <v>1</v>
      </c>
      <c r="I395" s="10">
        <v>1</v>
      </c>
      <c r="J395" s="74">
        <v>0</v>
      </c>
      <c r="K395" s="74">
        <v>0</v>
      </c>
      <c r="L395" s="74">
        <v>0</v>
      </c>
      <c r="M395" s="74">
        <v>0</v>
      </c>
      <c r="N395" s="74">
        <v>0</v>
      </c>
      <c r="O395" s="74">
        <v>0</v>
      </c>
      <c r="P395" s="74">
        <v>0</v>
      </c>
      <c r="Q395" s="74">
        <v>0</v>
      </c>
      <c r="R395" s="74">
        <v>0</v>
      </c>
      <c r="S395" s="97" t="s">
        <v>130</v>
      </c>
      <c r="T395" s="10">
        <v>2</v>
      </c>
      <c r="U395" s="10">
        <v>0</v>
      </c>
      <c r="V395" s="10">
        <v>0</v>
      </c>
      <c r="W395" s="10">
        <v>0</v>
      </c>
      <c r="X395" s="74">
        <v>0</v>
      </c>
      <c r="Y395" s="74">
        <v>0</v>
      </c>
      <c r="Z395" s="74">
        <v>0</v>
      </c>
      <c r="AA395" s="74">
        <v>1</v>
      </c>
      <c r="AB395" s="74">
        <v>0</v>
      </c>
      <c r="AC395" s="74">
        <v>0</v>
      </c>
      <c r="AD395" s="74">
        <v>0</v>
      </c>
      <c r="AE395" s="74">
        <v>0</v>
      </c>
      <c r="AF395" s="74">
        <v>0</v>
      </c>
      <c r="AG395" s="90">
        <f t="shared" si="10"/>
        <v>6</v>
      </c>
      <c r="AH395" s="90">
        <f t="shared" si="11"/>
        <v>5</v>
      </c>
      <c r="AI395" s="90">
        <f t="shared" si="12"/>
        <v>1</v>
      </c>
    </row>
    <row r="396" spans="1:35" x14ac:dyDescent="0.35">
      <c r="C396" s="96">
        <v>46105</v>
      </c>
      <c r="D396" s="97">
        <v>16</v>
      </c>
      <c r="E396" s="97" t="s">
        <v>115</v>
      </c>
      <c r="F396" s="10">
        <v>1</v>
      </c>
      <c r="G396" s="10">
        <v>0</v>
      </c>
      <c r="H396" s="10">
        <v>0</v>
      </c>
      <c r="I396" s="10">
        <v>0</v>
      </c>
      <c r="J396" s="74">
        <v>0</v>
      </c>
      <c r="K396" s="74">
        <v>1</v>
      </c>
      <c r="L396" s="74">
        <v>0</v>
      </c>
      <c r="M396" s="74">
        <v>0</v>
      </c>
      <c r="N396" s="74">
        <v>0</v>
      </c>
      <c r="O396" s="74">
        <v>0</v>
      </c>
      <c r="P396" s="74">
        <v>0</v>
      </c>
      <c r="Q396" s="74">
        <v>0</v>
      </c>
      <c r="R396" s="74">
        <v>0</v>
      </c>
      <c r="S396" s="97" t="s">
        <v>206</v>
      </c>
      <c r="T396" s="10">
        <v>0</v>
      </c>
      <c r="U396" s="10">
        <v>0</v>
      </c>
      <c r="V396" s="10">
        <v>0</v>
      </c>
      <c r="W396" s="10">
        <v>0</v>
      </c>
      <c r="X396" s="74">
        <v>0</v>
      </c>
      <c r="Y396" s="74">
        <v>1</v>
      </c>
      <c r="Z396" s="74">
        <v>0</v>
      </c>
      <c r="AA396" s="74">
        <v>1</v>
      </c>
      <c r="AB396" s="74">
        <v>0</v>
      </c>
      <c r="AC396" s="74">
        <v>0</v>
      </c>
      <c r="AD396" s="74">
        <v>0</v>
      </c>
      <c r="AE396" s="74">
        <v>0</v>
      </c>
      <c r="AF396" s="74">
        <v>0</v>
      </c>
      <c r="AG396" s="90">
        <f t="shared" si="10"/>
        <v>4</v>
      </c>
      <c r="AH396" s="90">
        <f t="shared" si="11"/>
        <v>1</v>
      </c>
      <c r="AI396" s="90">
        <f t="shared" si="12"/>
        <v>3</v>
      </c>
    </row>
    <row r="397" spans="1:35" x14ac:dyDescent="0.35">
      <c r="C397" s="96">
        <v>46080</v>
      </c>
      <c r="D397" s="97">
        <v>16</v>
      </c>
      <c r="E397" s="97" t="s">
        <v>135</v>
      </c>
      <c r="F397" s="10">
        <v>0</v>
      </c>
      <c r="G397" s="10">
        <v>4</v>
      </c>
      <c r="H397" s="10">
        <v>0</v>
      </c>
      <c r="I397" s="10">
        <v>0</v>
      </c>
      <c r="J397" s="74">
        <v>0</v>
      </c>
      <c r="K397" s="74">
        <v>0</v>
      </c>
      <c r="L397" s="74">
        <v>0</v>
      </c>
      <c r="M397" s="74">
        <v>0</v>
      </c>
      <c r="N397" s="74">
        <v>0</v>
      </c>
      <c r="O397" s="74">
        <v>0</v>
      </c>
      <c r="P397" s="74">
        <v>0</v>
      </c>
      <c r="Q397" s="74">
        <v>0</v>
      </c>
      <c r="R397" s="74">
        <v>0</v>
      </c>
      <c r="S397" s="97" t="s">
        <v>168</v>
      </c>
      <c r="T397" s="10">
        <v>2</v>
      </c>
      <c r="U397" s="10">
        <v>1</v>
      </c>
      <c r="V397" s="10">
        <v>0</v>
      </c>
      <c r="W397" s="10">
        <v>0</v>
      </c>
      <c r="X397" s="74">
        <v>0</v>
      </c>
      <c r="Y397" s="74">
        <v>0</v>
      </c>
      <c r="Z397" s="74">
        <v>0</v>
      </c>
      <c r="AA397" s="74">
        <v>2</v>
      </c>
      <c r="AB397" s="74">
        <v>0</v>
      </c>
      <c r="AC397" s="74">
        <v>0</v>
      </c>
      <c r="AD397" s="74">
        <v>0</v>
      </c>
      <c r="AE397" s="74">
        <v>0</v>
      </c>
      <c r="AF397" s="74">
        <v>0</v>
      </c>
      <c r="AG397" s="90">
        <f t="shared" si="10"/>
        <v>9</v>
      </c>
      <c r="AH397" s="90">
        <f t="shared" si="11"/>
        <v>7</v>
      </c>
      <c r="AI397" s="90">
        <f t="shared" si="12"/>
        <v>2</v>
      </c>
    </row>
    <row r="398" spans="1:35" x14ac:dyDescent="0.35">
      <c r="C398" s="96">
        <v>46112</v>
      </c>
      <c r="D398" s="97">
        <v>16</v>
      </c>
      <c r="E398" s="97" t="s">
        <v>521</v>
      </c>
      <c r="F398" s="10">
        <v>1</v>
      </c>
      <c r="G398" s="10">
        <v>3</v>
      </c>
      <c r="H398" s="10">
        <v>0</v>
      </c>
      <c r="I398" s="10">
        <v>0</v>
      </c>
      <c r="J398" s="74">
        <v>0</v>
      </c>
      <c r="K398" s="74">
        <v>0</v>
      </c>
      <c r="L398" s="74">
        <v>0</v>
      </c>
      <c r="M398" s="74">
        <v>0</v>
      </c>
      <c r="N398" s="74">
        <v>0</v>
      </c>
      <c r="O398" s="74">
        <v>0</v>
      </c>
      <c r="P398" s="74">
        <v>0</v>
      </c>
      <c r="Q398" s="74">
        <v>0</v>
      </c>
      <c r="R398" s="74">
        <v>0</v>
      </c>
      <c r="S398" s="97" t="s">
        <v>1169</v>
      </c>
      <c r="T398" s="10">
        <v>3</v>
      </c>
      <c r="U398" s="10">
        <v>0</v>
      </c>
      <c r="V398" s="10">
        <v>0</v>
      </c>
      <c r="W398" s="10">
        <v>0</v>
      </c>
      <c r="X398" s="74">
        <v>0</v>
      </c>
      <c r="Y398" s="74">
        <v>0</v>
      </c>
      <c r="Z398" s="74">
        <v>0</v>
      </c>
      <c r="AA398" s="74">
        <v>1</v>
      </c>
      <c r="AB398" s="74">
        <v>0</v>
      </c>
      <c r="AC398" s="74">
        <v>1</v>
      </c>
      <c r="AD398" s="74">
        <v>0</v>
      </c>
      <c r="AE398" s="74">
        <v>0</v>
      </c>
      <c r="AF398" s="74">
        <v>0</v>
      </c>
      <c r="AG398" s="90">
        <f t="shared" si="10"/>
        <v>9</v>
      </c>
      <c r="AH398" s="90">
        <f t="shared" si="11"/>
        <v>7</v>
      </c>
      <c r="AI398" s="90">
        <f t="shared" si="12"/>
        <v>2</v>
      </c>
    </row>
  </sheetData>
  <mergeCells count="2">
    <mergeCell ref="F1:Q1"/>
    <mergeCell ref="T1:A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0B82-064B-4C6B-AEEA-E2005807B614}">
  <dimension ref="A1:B67"/>
  <sheetViews>
    <sheetView topLeftCell="A50" workbookViewId="0">
      <selection activeCell="D6" sqref="D6"/>
    </sheetView>
  </sheetViews>
  <sheetFormatPr defaultColWidth="8.6328125" defaultRowHeight="14.5" x14ac:dyDescent="0.35"/>
  <cols>
    <col min="1" max="16384" width="8.6328125" style="104"/>
  </cols>
  <sheetData>
    <row r="1" spans="1:2" x14ac:dyDescent="0.35">
      <c r="B1" s="104">
        <v>118</v>
      </c>
    </row>
    <row r="2" spans="1:2" x14ac:dyDescent="0.35">
      <c r="A2" s="104">
        <v>5</v>
      </c>
      <c r="B2" s="104">
        <v>26.23</v>
      </c>
    </row>
    <row r="3" spans="1:2" x14ac:dyDescent="0.35">
      <c r="A3" s="104">
        <v>7</v>
      </c>
      <c r="B3" s="104">
        <v>35.03</v>
      </c>
    </row>
    <row r="4" spans="1:2" x14ac:dyDescent="0.35">
      <c r="A4" s="104">
        <v>9</v>
      </c>
      <c r="B4" s="104">
        <v>32.15</v>
      </c>
    </row>
    <row r="5" spans="1:2" x14ac:dyDescent="0.35">
      <c r="A5" s="104">
        <v>12</v>
      </c>
      <c r="B5" s="104">
        <v>25.3</v>
      </c>
    </row>
    <row r="6" spans="1:2" x14ac:dyDescent="0.35">
      <c r="A6" s="104">
        <v>14</v>
      </c>
      <c r="B6" s="104">
        <v>21.3</v>
      </c>
    </row>
    <row r="7" spans="1:2" x14ac:dyDescent="0.35">
      <c r="A7" s="104">
        <v>16</v>
      </c>
      <c r="B7" s="104">
        <v>24.32</v>
      </c>
    </row>
    <row r="8" spans="1:2" x14ac:dyDescent="0.35">
      <c r="A8" s="104">
        <v>19</v>
      </c>
      <c r="B8" s="104">
        <v>19.920000000000002</v>
      </c>
    </row>
    <row r="9" spans="1:2" x14ac:dyDescent="0.35">
      <c r="A9" s="104">
        <v>21</v>
      </c>
      <c r="B9" s="104">
        <v>17.079999999999998</v>
      </c>
    </row>
    <row r="10" spans="1:2" x14ac:dyDescent="0.35">
      <c r="A10" s="104">
        <v>23</v>
      </c>
      <c r="B10" s="104">
        <v>16.37</v>
      </c>
    </row>
    <row r="11" spans="1:2" x14ac:dyDescent="0.35">
      <c r="A11" s="104">
        <v>26</v>
      </c>
      <c r="B11" s="104">
        <v>15.2</v>
      </c>
    </row>
    <row r="12" spans="1:2" x14ac:dyDescent="0.35">
      <c r="A12" s="104">
        <v>29</v>
      </c>
      <c r="B12" s="104">
        <v>15.73</v>
      </c>
    </row>
    <row r="13" spans="1:2" x14ac:dyDescent="0.35">
      <c r="A13" s="104">
        <v>33</v>
      </c>
      <c r="B13" s="104">
        <v>16.41</v>
      </c>
    </row>
    <row r="14" spans="1:2" x14ac:dyDescent="0.35">
      <c r="A14" s="104">
        <v>36</v>
      </c>
      <c r="B14" s="104">
        <v>13.72</v>
      </c>
    </row>
    <row r="15" spans="1:2" x14ac:dyDescent="0.35">
      <c r="A15" s="104">
        <v>42</v>
      </c>
      <c r="B15" s="104">
        <v>18.760000000000002</v>
      </c>
    </row>
    <row r="16" spans="1:2" x14ac:dyDescent="0.35">
      <c r="A16" s="104">
        <v>48</v>
      </c>
      <c r="B16" s="104">
        <v>10.62</v>
      </c>
    </row>
    <row r="18" spans="1:2" x14ac:dyDescent="0.35">
      <c r="A18" s="104">
        <v>2</v>
      </c>
      <c r="B18" s="104">
        <v>46.18</v>
      </c>
    </row>
    <row r="19" spans="1:2" x14ac:dyDescent="0.35">
      <c r="A19" s="104">
        <v>4</v>
      </c>
      <c r="B19" s="104">
        <v>37.049999999999997</v>
      </c>
    </row>
    <row r="20" spans="1:2" x14ac:dyDescent="0.35">
      <c r="A20" s="104">
        <v>6</v>
      </c>
      <c r="B20" s="104">
        <v>39.409999999999997</v>
      </c>
    </row>
    <row r="21" spans="1:2" x14ac:dyDescent="0.35">
      <c r="A21" s="104">
        <v>9</v>
      </c>
      <c r="B21" s="104">
        <v>29.93</v>
      </c>
    </row>
    <row r="22" spans="1:2" x14ac:dyDescent="0.35">
      <c r="A22" s="104">
        <v>11</v>
      </c>
      <c r="B22" s="104">
        <v>28.48</v>
      </c>
    </row>
    <row r="23" spans="1:2" x14ac:dyDescent="0.35">
      <c r="A23" s="104">
        <v>13</v>
      </c>
      <c r="B23" s="104">
        <v>27.93</v>
      </c>
    </row>
    <row r="24" spans="1:2" x14ac:dyDescent="0.35">
      <c r="A24" s="104">
        <v>16</v>
      </c>
      <c r="B24" s="104">
        <v>29.01</v>
      </c>
    </row>
    <row r="25" spans="1:2" x14ac:dyDescent="0.35">
      <c r="A25" s="104">
        <v>18</v>
      </c>
      <c r="B25" s="104">
        <v>20.170000000000002</v>
      </c>
    </row>
    <row r="26" spans="1:2" x14ac:dyDescent="0.35">
      <c r="A26" s="104">
        <v>20</v>
      </c>
      <c r="B26" s="104">
        <v>27.39</v>
      </c>
    </row>
    <row r="27" spans="1:2" x14ac:dyDescent="0.35">
      <c r="A27" s="104">
        <v>23</v>
      </c>
      <c r="B27" s="104">
        <v>20.88</v>
      </c>
    </row>
    <row r="28" spans="1:2" x14ac:dyDescent="0.35">
      <c r="A28" s="104">
        <v>26</v>
      </c>
      <c r="B28" s="104">
        <v>14.37</v>
      </c>
    </row>
    <row r="29" spans="1:2" x14ac:dyDescent="0.35">
      <c r="A29" s="104">
        <v>30</v>
      </c>
      <c r="B29" s="104">
        <v>19.37</v>
      </c>
    </row>
    <row r="30" spans="1:2" x14ac:dyDescent="0.35">
      <c r="A30" s="104">
        <v>33</v>
      </c>
      <c r="B30" s="104">
        <v>14.91</v>
      </c>
    </row>
    <row r="31" spans="1:2" x14ac:dyDescent="0.35">
      <c r="A31" s="104">
        <v>38</v>
      </c>
      <c r="B31" s="104">
        <v>16.97</v>
      </c>
    </row>
    <row r="32" spans="1:2" x14ac:dyDescent="0.35">
      <c r="A32" s="104">
        <v>44</v>
      </c>
      <c r="B32" s="104">
        <v>9.93</v>
      </c>
    </row>
    <row r="33" spans="1:2" x14ac:dyDescent="0.35">
      <c r="A33" s="104">
        <v>47</v>
      </c>
      <c r="B33" s="104">
        <v>13.34</v>
      </c>
    </row>
    <row r="34" spans="1:2" x14ac:dyDescent="0.35">
      <c r="A34" s="104">
        <v>52</v>
      </c>
      <c r="B34" s="104">
        <v>14.82</v>
      </c>
    </row>
    <row r="36" spans="1:2" x14ac:dyDescent="0.35">
      <c r="A36" s="104">
        <v>1</v>
      </c>
      <c r="B36" s="120">
        <v>36.619999999999997</v>
      </c>
    </row>
    <row r="37" spans="1:2" x14ac:dyDescent="0.35">
      <c r="A37" s="104">
        <v>3</v>
      </c>
      <c r="B37" s="120">
        <v>43.37</v>
      </c>
    </row>
    <row r="38" spans="1:2" x14ac:dyDescent="0.35">
      <c r="A38" s="104">
        <v>5</v>
      </c>
      <c r="B38" s="120">
        <v>51.1</v>
      </c>
    </row>
    <row r="39" spans="1:2" x14ac:dyDescent="0.35">
      <c r="A39" s="104">
        <v>8</v>
      </c>
      <c r="B39" s="120">
        <v>38.950000000000003</v>
      </c>
    </row>
    <row r="40" spans="1:2" x14ac:dyDescent="0.35">
      <c r="A40" s="104">
        <v>10</v>
      </c>
      <c r="B40" s="120">
        <v>22.01</v>
      </c>
    </row>
    <row r="41" spans="1:2" x14ac:dyDescent="0.35">
      <c r="A41" s="104">
        <v>12</v>
      </c>
      <c r="B41" s="120">
        <v>22.2</v>
      </c>
    </row>
    <row r="42" spans="1:2" x14ac:dyDescent="0.35">
      <c r="A42" s="104">
        <v>15</v>
      </c>
      <c r="B42" s="120">
        <v>19.45</v>
      </c>
    </row>
    <row r="43" spans="1:2" x14ac:dyDescent="0.35">
      <c r="A43" s="104">
        <v>17</v>
      </c>
      <c r="B43" s="120">
        <v>18.72</v>
      </c>
    </row>
    <row r="44" spans="1:2" x14ac:dyDescent="0.35">
      <c r="A44" s="104">
        <v>19</v>
      </c>
      <c r="B44" s="120">
        <v>16.98</v>
      </c>
    </row>
    <row r="45" spans="1:2" x14ac:dyDescent="0.35">
      <c r="A45" s="104">
        <v>22</v>
      </c>
      <c r="B45" s="120">
        <v>16.190000000000001</v>
      </c>
    </row>
    <row r="46" spans="1:2" x14ac:dyDescent="0.35">
      <c r="A46" s="104">
        <v>25</v>
      </c>
      <c r="B46" s="120">
        <v>22.06</v>
      </c>
    </row>
    <row r="47" spans="1:2" x14ac:dyDescent="0.35">
      <c r="A47" s="104">
        <v>29</v>
      </c>
      <c r="B47" s="120">
        <v>26.94</v>
      </c>
    </row>
    <row r="48" spans="1:2" x14ac:dyDescent="0.35">
      <c r="A48" s="104">
        <v>32</v>
      </c>
      <c r="B48" s="120">
        <v>16.329999999999998</v>
      </c>
    </row>
    <row r="49" spans="1:2" x14ac:dyDescent="0.35">
      <c r="A49" s="104">
        <v>37</v>
      </c>
      <c r="B49" s="120">
        <v>22.73</v>
      </c>
    </row>
    <row r="50" spans="1:2" x14ac:dyDescent="0.35">
      <c r="A50" s="104">
        <v>43</v>
      </c>
      <c r="B50" s="120">
        <v>19.809999999999999</v>
      </c>
    </row>
    <row r="51" spans="1:2" x14ac:dyDescent="0.35">
      <c r="A51" s="104">
        <v>46</v>
      </c>
      <c r="B51" s="120">
        <v>15.38</v>
      </c>
    </row>
    <row r="52" spans="1:2" x14ac:dyDescent="0.35">
      <c r="B52" s="120"/>
    </row>
    <row r="53" spans="1:2" x14ac:dyDescent="0.35">
      <c r="A53" s="104">
        <v>1</v>
      </c>
    </row>
    <row r="54" spans="1:2" x14ac:dyDescent="0.35">
      <c r="A54" s="104">
        <v>3</v>
      </c>
      <c r="B54" s="104">
        <v>41.27</v>
      </c>
    </row>
    <row r="55" spans="1:2" x14ac:dyDescent="0.35">
      <c r="A55" s="104">
        <v>5</v>
      </c>
      <c r="B55" s="104">
        <v>33.26</v>
      </c>
    </row>
    <row r="56" spans="1:2" x14ac:dyDescent="0.35">
      <c r="A56" s="104">
        <v>8</v>
      </c>
      <c r="B56" s="104">
        <v>26.54</v>
      </c>
    </row>
    <row r="57" spans="1:2" x14ac:dyDescent="0.35">
      <c r="A57" s="104">
        <v>10</v>
      </c>
      <c r="B57" s="104">
        <v>26.35</v>
      </c>
    </row>
    <row r="58" spans="1:2" x14ac:dyDescent="0.35">
      <c r="A58" s="104">
        <v>12</v>
      </c>
      <c r="B58" s="104">
        <v>26.41</v>
      </c>
    </row>
    <row r="59" spans="1:2" x14ac:dyDescent="0.35">
      <c r="A59" s="104">
        <v>15</v>
      </c>
      <c r="B59" s="104">
        <v>29.4</v>
      </c>
    </row>
    <row r="60" spans="1:2" x14ac:dyDescent="0.35">
      <c r="A60" s="104">
        <v>17</v>
      </c>
      <c r="B60" s="104">
        <v>20.079999999999998</v>
      </c>
    </row>
    <row r="61" spans="1:2" x14ac:dyDescent="0.35">
      <c r="A61" s="104">
        <v>19</v>
      </c>
      <c r="B61" s="104">
        <v>26.76</v>
      </c>
    </row>
    <row r="62" spans="1:2" x14ac:dyDescent="0.35">
      <c r="A62" s="104">
        <v>22</v>
      </c>
      <c r="B62" s="104">
        <v>22.09</v>
      </c>
    </row>
    <row r="63" spans="1:2" x14ac:dyDescent="0.35">
      <c r="A63" s="104">
        <v>25</v>
      </c>
      <c r="B63" s="104">
        <v>20.28</v>
      </c>
    </row>
    <row r="64" spans="1:2" x14ac:dyDescent="0.35">
      <c r="A64" s="104">
        <v>29</v>
      </c>
      <c r="B64" s="104">
        <v>17.079999999999998</v>
      </c>
    </row>
    <row r="65" spans="1:2" x14ac:dyDescent="0.35">
      <c r="A65" s="104">
        <v>32</v>
      </c>
      <c r="B65" s="104">
        <v>16.190000000000001</v>
      </c>
    </row>
    <row r="66" spans="1:2" x14ac:dyDescent="0.35">
      <c r="A66" s="104">
        <v>37</v>
      </c>
      <c r="B66" s="104">
        <v>18.059999999999999</v>
      </c>
    </row>
    <row r="67" spans="1:2" x14ac:dyDescent="0.35">
      <c r="A67" s="104">
        <v>43</v>
      </c>
      <c r="B67" s="104">
        <v>17.920000000000002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Pecore</vt:lpstr>
      <vt:lpstr>Agnelli</vt:lpstr>
      <vt:lpstr>Follicoli</vt:lpstr>
      <vt:lpstr>Pecore con maschi</vt:lpstr>
      <vt:lpstr>Agnelli con maschi</vt:lpstr>
      <vt:lpstr>Follicoli con maschi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Pigni</dc:creator>
  <cp:lastModifiedBy>Francesca Pigni</cp:lastModifiedBy>
  <cp:lastPrinted>2025-06-07T09:18:02Z</cp:lastPrinted>
  <dcterms:created xsi:type="dcterms:W3CDTF">2025-05-19T13:19:58Z</dcterms:created>
  <dcterms:modified xsi:type="dcterms:W3CDTF">2026-04-02T16:47:16Z</dcterms:modified>
</cp:coreProperties>
</file>